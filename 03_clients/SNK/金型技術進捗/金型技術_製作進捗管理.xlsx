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5125" windowHeight="12090" activeTab="2"/>
  </bookViews>
  <sheets>
    <sheet name="リードタイム" sheetId="1" r:id="rId1"/>
    <sheet name="製品マスター" sheetId="2" r:id="rId2"/>
    <sheet name="進捗管理" sheetId="3" r:id="rId3"/>
    <sheet name="製品別サマリー" sheetId="4" r:id="rId4"/>
    <sheet name="使い方" sheetId="5" r:id="rId5"/>
  </sheets>
  <calcPr calcId="162913"/>
</workbook>
</file>

<file path=xl/calcChain.xml><?xml version="1.0" encoding="utf-8"?>
<calcChain xmlns="http://schemas.openxmlformats.org/spreadsheetml/2006/main">
  <c r="E182" i="4" l="1"/>
  <c r="D182" i="4"/>
  <c r="C182" i="4"/>
  <c r="B182" i="4"/>
  <c r="F182" i="4" s="1"/>
  <c r="E181" i="4"/>
  <c r="D181" i="4"/>
  <c r="C181" i="4"/>
  <c r="B181" i="4"/>
  <c r="F181" i="4" s="1"/>
  <c r="E180" i="4"/>
  <c r="D180" i="4"/>
  <c r="C180" i="4"/>
  <c r="B180" i="4"/>
  <c r="E179" i="4"/>
  <c r="D179" i="4"/>
  <c r="C179" i="4"/>
  <c r="B179" i="4"/>
  <c r="F179" i="4" s="1"/>
  <c r="E178" i="4"/>
  <c r="D178" i="4"/>
  <c r="C178" i="4"/>
  <c r="B178" i="4"/>
  <c r="E177" i="4"/>
  <c r="D177" i="4"/>
  <c r="C177" i="4"/>
  <c r="B177" i="4"/>
  <c r="F177" i="4" s="1"/>
  <c r="E176" i="4"/>
  <c r="D176" i="4"/>
  <c r="C176" i="4"/>
  <c r="B176" i="4"/>
  <c r="F176" i="4" s="1"/>
  <c r="E175" i="4"/>
  <c r="D175" i="4"/>
  <c r="F175" i="4" s="1"/>
  <c r="C175" i="4"/>
  <c r="B175" i="4"/>
  <c r="E174" i="4"/>
  <c r="D174" i="4"/>
  <c r="C174" i="4"/>
  <c r="B174" i="4"/>
  <c r="F173" i="4"/>
  <c r="E173" i="4"/>
  <c r="D173" i="4"/>
  <c r="C173" i="4"/>
  <c r="B173" i="4"/>
  <c r="E172" i="4"/>
  <c r="D172" i="4"/>
  <c r="C172" i="4"/>
  <c r="B172" i="4"/>
  <c r="F172" i="4" s="1"/>
  <c r="E171" i="4"/>
  <c r="D171" i="4"/>
  <c r="C171" i="4"/>
  <c r="B171" i="4"/>
  <c r="F171" i="4" s="1"/>
  <c r="E170" i="4"/>
  <c r="D170" i="4"/>
  <c r="C170" i="4"/>
  <c r="B170" i="4"/>
  <c r="E169" i="4"/>
  <c r="D169" i="4"/>
  <c r="C169" i="4"/>
  <c r="B169" i="4"/>
  <c r="F169" i="4" s="1"/>
  <c r="E168" i="4"/>
  <c r="D168" i="4"/>
  <c r="C168" i="4"/>
  <c r="B168" i="4"/>
  <c r="E167" i="4"/>
  <c r="D167" i="4"/>
  <c r="C167" i="4"/>
  <c r="B167" i="4"/>
  <c r="F167" i="4" s="1"/>
  <c r="E166" i="4"/>
  <c r="D166" i="4"/>
  <c r="C166" i="4"/>
  <c r="B166" i="4"/>
  <c r="E165" i="4"/>
  <c r="D165" i="4"/>
  <c r="C165" i="4"/>
  <c r="B165" i="4"/>
  <c r="F165" i="4" s="1"/>
  <c r="E164" i="4"/>
  <c r="D164" i="4"/>
  <c r="C164" i="4"/>
  <c r="B164" i="4"/>
  <c r="F164" i="4" s="1"/>
  <c r="E163" i="4"/>
  <c r="D163" i="4"/>
  <c r="F163" i="4" s="1"/>
  <c r="C163" i="4"/>
  <c r="B163" i="4"/>
  <c r="E162" i="4"/>
  <c r="D162" i="4"/>
  <c r="C162" i="4"/>
  <c r="B162" i="4"/>
  <c r="F161" i="4"/>
  <c r="E161" i="4"/>
  <c r="D161" i="4"/>
  <c r="C161" i="4"/>
  <c r="B161" i="4"/>
  <c r="E160" i="4"/>
  <c r="D160" i="4"/>
  <c r="C160" i="4"/>
  <c r="B160" i="4"/>
  <c r="F160" i="4" s="1"/>
  <c r="E159" i="4"/>
  <c r="D159" i="4"/>
  <c r="C159" i="4"/>
  <c r="B159" i="4"/>
  <c r="F159" i="4" s="1"/>
  <c r="E158" i="4"/>
  <c r="D158" i="4"/>
  <c r="C158" i="4"/>
  <c r="B158" i="4"/>
  <c r="E157" i="4"/>
  <c r="D157" i="4"/>
  <c r="C157" i="4"/>
  <c r="B157" i="4"/>
  <c r="F157" i="4" s="1"/>
  <c r="E156" i="4"/>
  <c r="D156" i="4"/>
  <c r="C156" i="4"/>
  <c r="B156" i="4"/>
  <c r="E155" i="4"/>
  <c r="D155" i="4"/>
  <c r="C155" i="4"/>
  <c r="B155" i="4"/>
  <c r="F155" i="4" s="1"/>
  <c r="E154" i="4"/>
  <c r="D154" i="4"/>
  <c r="C154" i="4"/>
  <c r="B154" i="4"/>
  <c r="E153" i="4"/>
  <c r="D153" i="4"/>
  <c r="C153" i="4"/>
  <c r="B153" i="4"/>
  <c r="F153" i="4" s="1"/>
  <c r="E152" i="4"/>
  <c r="D152" i="4"/>
  <c r="C152" i="4"/>
  <c r="B152" i="4"/>
  <c r="F152" i="4" s="1"/>
  <c r="E151" i="4"/>
  <c r="D151" i="4"/>
  <c r="F151" i="4" s="1"/>
  <c r="C151" i="4"/>
  <c r="B151" i="4"/>
  <c r="E150" i="4"/>
  <c r="D150" i="4"/>
  <c r="C150" i="4"/>
  <c r="B150" i="4"/>
  <c r="F149" i="4"/>
  <c r="E149" i="4"/>
  <c r="D149" i="4"/>
  <c r="C149" i="4"/>
  <c r="B149" i="4"/>
  <c r="E148" i="4"/>
  <c r="D148" i="4"/>
  <c r="C148" i="4"/>
  <c r="B148" i="4"/>
  <c r="F148" i="4" s="1"/>
  <c r="E147" i="4"/>
  <c r="D147" i="4"/>
  <c r="C147" i="4"/>
  <c r="B147" i="4"/>
  <c r="F147" i="4" s="1"/>
  <c r="E146" i="4"/>
  <c r="D146" i="4"/>
  <c r="C146" i="4"/>
  <c r="B146" i="4"/>
  <c r="E145" i="4"/>
  <c r="D145" i="4"/>
  <c r="C145" i="4"/>
  <c r="B145" i="4"/>
  <c r="F145" i="4" s="1"/>
  <c r="E144" i="4"/>
  <c r="D144" i="4"/>
  <c r="C144" i="4"/>
  <c r="B144" i="4"/>
  <c r="E143" i="4"/>
  <c r="D143" i="4"/>
  <c r="C143" i="4"/>
  <c r="B143" i="4"/>
  <c r="F143" i="4" s="1"/>
  <c r="E142" i="4"/>
  <c r="D142" i="4"/>
  <c r="C142" i="4"/>
  <c r="B142" i="4"/>
  <c r="E141" i="4"/>
  <c r="D141" i="4"/>
  <c r="C141" i="4"/>
  <c r="B141" i="4"/>
  <c r="F141" i="4" s="1"/>
  <c r="E140" i="4"/>
  <c r="D140" i="4"/>
  <c r="C140" i="4"/>
  <c r="B140" i="4"/>
  <c r="F140" i="4" s="1"/>
  <c r="E139" i="4"/>
  <c r="D139" i="4"/>
  <c r="F139" i="4" s="1"/>
  <c r="C139" i="4"/>
  <c r="B139" i="4"/>
  <c r="E138" i="4"/>
  <c r="D138" i="4"/>
  <c r="C138" i="4"/>
  <c r="B138" i="4"/>
  <c r="F137" i="4"/>
  <c r="E137" i="4"/>
  <c r="D137" i="4"/>
  <c r="C137" i="4"/>
  <c r="B137" i="4"/>
  <c r="E136" i="4"/>
  <c r="D136" i="4"/>
  <c r="C136" i="4"/>
  <c r="B136" i="4"/>
  <c r="F136" i="4" s="1"/>
  <c r="E135" i="4"/>
  <c r="D135" i="4"/>
  <c r="C135" i="4"/>
  <c r="B135" i="4"/>
  <c r="F135" i="4" s="1"/>
  <c r="E134" i="4"/>
  <c r="D134" i="4"/>
  <c r="C134" i="4"/>
  <c r="B134" i="4"/>
  <c r="E133" i="4"/>
  <c r="D133" i="4"/>
  <c r="C133" i="4"/>
  <c r="B133" i="4"/>
  <c r="F133" i="4" s="1"/>
  <c r="E132" i="4"/>
  <c r="D132" i="4"/>
  <c r="C132" i="4"/>
  <c r="B132" i="4"/>
  <c r="E131" i="4"/>
  <c r="D131" i="4"/>
  <c r="C131" i="4"/>
  <c r="B131" i="4"/>
  <c r="F131" i="4" s="1"/>
  <c r="E130" i="4"/>
  <c r="D130" i="4"/>
  <c r="C130" i="4"/>
  <c r="B130" i="4"/>
  <c r="E129" i="4"/>
  <c r="D129" i="4"/>
  <c r="C129" i="4"/>
  <c r="B129" i="4"/>
  <c r="F129" i="4" s="1"/>
  <c r="E128" i="4"/>
  <c r="D128" i="4"/>
  <c r="C128" i="4"/>
  <c r="B128" i="4"/>
  <c r="F128" i="4" s="1"/>
  <c r="E127" i="4"/>
  <c r="D127" i="4"/>
  <c r="C127" i="4"/>
  <c r="B127" i="4"/>
  <c r="F127" i="4" s="1"/>
  <c r="E126" i="4"/>
  <c r="D126" i="4"/>
  <c r="C126" i="4"/>
  <c r="B126" i="4"/>
  <c r="F125" i="4"/>
  <c r="E125" i="4"/>
  <c r="D125" i="4"/>
  <c r="C125" i="4"/>
  <c r="B125" i="4"/>
  <c r="E124" i="4"/>
  <c r="D124" i="4"/>
  <c r="C124" i="4"/>
  <c r="B124" i="4"/>
  <c r="F124" i="4" s="1"/>
  <c r="E123" i="4"/>
  <c r="D123" i="4"/>
  <c r="C123" i="4"/>
  <c r="B123" i="4"/>
  <c r="F123" i="4" s="1"/>
  <c r="E122" i="4"/>
  <c r="D122" i="4"/>
  <c r="C122" i="4"/>
  <c r="B122" i="4"/>
  <c r="E121" i="4"/>
  <c r="D121" i="4"/>
  <c r="C121" i="4"/>
  <c r="B121" i="4"/>
  <c r="F121" i="4" s="1"/>
  <c r="E120" i="4"/>
  <c r="D120" i="4"/>
  <c r="C120" i="4"/>
  <c r="B120" i="4"/>
  <c r="E119" i="4"/>
  <c r="D119" i="4"/>
  <c r="C119" i="4"/>
  <c r="B119" i="4"/>
  <c r="F119" i="4" s="1"/>
  <c r="E118" i="4"/>
  <c r="D118" i="4"/>
  <c r="C118" i="4"/>
  <c r="B118" i="4"/>
  <c r="E117" i="4"/>
  <c r="D117" i="4"/>
  <c r="C117" i="4"/>
  <c r="B117" i="4"/>
  <c r="F117" i="4" s="1"/>
  <c r="E116" i="4"/>
  <c r="D116" i="4"/>
  <c r="C116" i="4"/>
  <c r="B116" i="4"/>
  <c r="F116" i="4" s="1"/>
  <c r="E115" i="4"/>
  <c r="D115" i="4"/>
  <c r="C115" i="4"/>
  <c r="B115" i="4"/>
  <c r="F115" i="4" s="1"/>
  <c r="E114" i="4"/>
  <c r="D114" i="4"/>
  <c r="C114" i="4"/>
  <c r="B114" i="4"/>
  <c r="F113" i="4"/>
  <c r="E113" i="4"/>
  <c r="D113" i="4"/>
  <c r="C113" i="4"/>
  <c r="B113" i="4"/>
  <c r="E112" i="4"/>
  <c r="D112" i="4"/>
  <c r="C112" i="4"/>
  <c r="B112" i="4"/>
  <c r="F112" i="4" s="1"/>
  <c r="E111" i="4"/>
  <c r="D111" i="4"/>
  <c r="C111" i="4"/>
  <c r="B111" i="4"/>
  <c r="F111" i="4" s="1"/>
  <c r="E110" i="4"/>
  <c r="D110" i="4"/>
  <c r="C110" i="4"/>
  <c r="B110" i="4"/>
  <c r="E109" i="4"/>
  <c r="D109" i="4"/>
  <c r="C109" i="4"/>
  <c r="B109" i="4"/>
  <c r="F109" i="4" s="1"/>
  <c r="E108" i="4"/>
  <c r="D108" i="4"/>
  <c r="C108" i="4"/>
  <c r="B108" i="4"/>
  <c r="E107" i="4"/>
  <c r="D107" i="4"/>
  <c r="C107" i="4"/>
  <c r="B107" i="4"/>
  <c r="F107" i="4" s="1"/>
  <c r="E106" i="4"/>
  <c r="D106" i="4"/>
  <c r="C106" i="4"/>
  <c r="B106" i="4"/>
  <c r="E105" i="4"/>
  <c r="D105" i="4"/>
  <c r="C105" i="4"/>
  <c r="B105" i="4"/>
  <c r="F105" i="4" s="1"/>
  <c r="E104" i="4"/>
  <c r="D104" i="4"/>
  <c r="C104" i="4"/>
  <c r="B104" i="4"/>
  <c r="F104" i="4" s="1"/>
  <c r="E103" i="4"/>
  <c r="D103" i="4"/>
  <c r="F103" i="4" s="1"/>
  <c r="C103" i="4"/>
  <c r="B103" i="4"/>
  <c r="E102" i="4"/>
  <c r="D102" i="4"/>
  <c r="C102" i="4"/>
  <c r="B102" i="4"/>
  <c r="F101" i="4"/>
  <c r="E101" i="4"/>
  <c r="D101" i="4"/>
  <c r="C101" i="4"/>
  <c r="B101" i="4"/>
  <c r="E100" i="4"/>
  <c r="D100" i="4"/>
  <c r="C100" i="4"/>
  <c r="B100" i="4"/>
  <c r="F100" i="4" s="1"/>
  <c r="E99" i="4"/>
  <c r="D99" i="4"/>
  <c r="C99" i="4"/>
  <c r="B99" i="4"/>
  <c r="F99" i="4" s="1"/>
  <c r="E98" i="4"/>
  <c r="D98" i="4"/>
  <c r="C98" i="4"/>
  <c r="B98" i="4"/>
  <c r="E97" i="4"/>
  <c r="D97" i="4"/>
  <c r="C97" i="4"/>
  <c r="B97" i="4"/>
  <c r="F97" i="4" s="1"/>
  <c r="E96" i="4"/>
  <c r="D96" i="4"/>
  <c r="C96" i="4"/>
  <c r="B96" i="4"/>
  <c r="E95" i="4"/>
  <c r="D95" i="4"/>
  <c r="C95" i="4"/>
  <c r="B95" i="4"/>
  <c r="F95" i="4" s="1"/>
  <c r="E94" i="4"/>
  <c r="D94" i="4"/>
  <c r="C94" i="4"/>
  <c r="B94" i="4"/>
  <c r="E93" i="4"/>
  <c r="D93" i="4"/>
  <c r="C93" i="4"/>
  <c r="B93" i="4"/>
  <c r="F93" i="4" s="1"/>
  <c r="E92" i="4"/>
  <c r="D92" i="4"/>
  <c r="C92" i="4"/>
  <c r="B92" i="4"/>
  <c r="F92" i="4" s="1"/>
  <c r="E91" i="4"/>
  <c r="D91" i="4"/>
  <c r="F91" i="4" s="1"/>
  <c r="C91" i="4"/>
  <c r="B91" i="4"/>
  <c r="E90" i="4"/>
  <c r="D90" i="4"/>
  <c r="C90" i="4"/>
  <c r="B90" i="4"/>
  <c r="F89" i="4"/>
  <c r="E89" i="4"/>
  <c r="D89" i="4"/>
  <c r="C89" i="4"/>
  <c r="B89" i="4"/>
  <c r="E88" i="4"/>
  <c r="D88" i="4"/>
  <c r="C88" i="4"/>
  <c r="B88" i="4"/>
  <c r="F88" i="4" s="1"/>
  <c r="E87" i="4"/>
  <c r="D87" i="4"/>
  <c r="C87" i="4"/>
  <c r="B87" i="4"/>
  <c r="F87" i="4" s="1"/>
  <c r="E86" i="4"/>
  <c r="D86" i="4"/>
  <c r="C86" i="4"/>
  <c r="B86" i="4"/>
  <c r="E85" i="4"/>
  <c r="D85" i="4"/>
  <c r="C85" i="4"/>
  <c r="B85" i="4"/>
  <c r="F85" i="4" s="1"/>
  <c r="E84" i="4"/>
  <c r="D84" i="4"/>
  <c r="C84" i="4"/>
  <c r="B84" i="4"/>
  <c r="E83" i="4"/>
  <c r="D83" i="4"/>
  <c r="C83" i="4"/>
  <c r="B83" i="4"/>
  <c r="F83" i="4" s="1"/>
  <c r="E82" i="4"/>
  <c r="D82" i="4"/>
  <c r="C82" i="4"/>
  <c r="B82" i="4"/>
  <c r="E81" i="4"/>
  <c r="D81" i="4"/>
  <c r="C81" i="4"/>
  <c r="B81" i="4"/>
  <c r="F81" i="4" s="1"/>
  <c r="E80" i="4"/>
  <c r="D80" i="4"/>
  <c r="C80" i="4"/>
  <c r="B80" i="4"/>
  <c r="F80" i="4" s="1"/>
  <c r="E79" i="4"/>
  <c r="D79" i="4"/>
  <c r="F79" i="4" s="1"/>
  <c r="C79" i="4"/>
  <c r="B79" i="4"/>
  <c r="E78" i="4"/>
  <c r="D78" i="4"/>
  <c r="C78" i="4"/>
  <c r="B78" i="4"/>
  <c r="F77" i="4"/>
  <c r="E77" i="4"/>
  <c r="D77" i="4"/>
  <c r="C77" i="4"/>
  <c r="B77" i="4"/>
  <c r="E76" i="4"/>
  <c r="D76" i="4"/>
  <c r="C76" i="4"/>
  <c r="B76" i="4"/>
  <c r="F76" i="4" s="1"/>
  <c r="E75" i="4"/>
  <c r="D75" i="4"/>
  <c r="C75" i="4"/>
  <c r="B75" i="4"/>
  <c r="F75" i="4" s="1"/>
  <c r="E74" i="4"/>
  <c r="D74" i="4"/>
  <c r="C74" i="4"/>
  <c r="B74" i="4"/>
  <c r="E73" i="4"/>
  <c r="D73" i="4"/>
  <c r="C73" i="4"/>
  <c r="B73" i="4"/>
  <c r="F73" i="4" s="1"/>
  <c r="E72" i="4"/>
  <c r="D72" i="4"/>
  <c r="C72" i="4"/>
  <c r="B72" i="4"/>
  <c r="E71" i="4"/>
  <c r="D71" i="4"/>
  <c r="C71" i="4"/>
  <c r="B71" i="4"/>
  <c r="F71" i="4" s="1"/>
  <c r="E70" i="4"/>
  <c r="D70" i="4"/>
  <c r="C70" i="4"/>
  <c r="B70" i="4"/>
  <c r="E69" i="4"/>
  <c r="D69" i="4"/>
  <c r="C69" i="4"/>
  <c r="B69" i="4"/>
  <c r="F69" i="4" s="1"/>
  <c r="E68" i="4"/>
  <c r="D68" i="4"/>
  <c r="C68" i="4"/>
  <c r="B68" i="4"/>
  <c r="F68" i="4" s="1"/>
  <c r="E67" i="4"/>
  <c r="D67" i="4"/>
  <c r="F67" i="4" s="1"/>
  <c r="C67" i="4"/>
  <c r="B67" i="4"/>
  <c r="E66" i="4"/>
  <c r="D66" i="4"/>
  <c r="C66" i="4"/>
  <c r="B66" i="4"/>
  <c r="F65" i="4"/>
  <c r="E65" i="4"/>
  <c r="D65" i="4"/>
  <c r="C65" i="4"/>
  <c r="B65" i="4"/>
  <c r="E64" i="4"/>
  <c r="D64" i="4"/>
  <c r="C64" i="4"/>
  <c r="B64" i="4"/>
  <c r="F64" i="4" s="1"/>
  <c r="E63" i="4"/>
  <c r="D63" i="4"/>
  <c r="C63" i="4"/>
  <c r="B63" i="4"/>
  <c r="F63" i="4" s="1"/>
  <c r="E62" i="4"/>
  <c r="D62" i="4"/>
  <c r="C62" i="4"/>
  <c r="B62" i="4"/>
  <c r="E61" i="4"/>
  <c r="D61" i="4"/>
  <c r="C61" i="4"/>
  <c r="B61" i="4"/>
  <c r="F61" i="4" s="1"/>
  <c r="E60" i="4"/>
  <c r="D60" i="4"/>
  <c r="C60" i="4"/>
  <c r="B60" i="4"/>
  <c r="E59" i="4"/>
  <c r="D59" i="4"/>
  <c r="C59" i="4"/>
  <c r="B59" i="4"/>
  <c r="F59" i="4" s="1"/>
  <c r="E58" i="4"/>
  <c r="D58" i="4"/>
  <c r="C58" i="4"/>
  <c r="B58" i="4"/>
  <c r="E57" i="4"/>
  <c r="D57" i="4"/>
  <c r="C57" i="4"/>
  <c r="B57" i="4"/>
  <c r="F57" i="4" s="1"/>
  <c r="E56" i="4"/>
  <c r="D56" i="4"/>
  <c r="C56" i="4"/>
  <c r="B56" i="4"/>
  <c r="F56" i="4" s="1"/>
  <c r="E55" i="4"/>
  <c r="D55" i="4"/>
  <c r="F55" i="4" s="1"/>
  <c r="C55" i="4"/>
  <c r="B55" i="4"/>
  <c r="E54" i="4"/>
  <c r="D54" i="4"/>
  <c r="C54" i="4"/>
  <c r="B54" i="4"/>
  <c r="F53" i="4"/>
  <c r="E53" i="4"/>
  <c r="D53" i="4"/>
  <c r="C53" i="4"/>
  <c r="B53" i="4"/>
  <c r="E52" i="4"/>
  <c r="D52" i="4"/>
  <c r="C52" i="4"/>
  <c r="B52" i="4"/>
  <c r="F52" i="4" s="1"/>
  <c r="E51" i="4"/>
  <c r="D51" i="4"/>
  <c r="C51" i="4"/>
  <c r="B51" i="4"/>
  <c r="F51" i="4" s="1"/>
  <c r="E50" i="4"/>
  <c r="D50" i="4"/>
  <c r="C50" i="4"/>
  <c r="B50" i="4"/>
  <c r="E49" i="4"/>
  <c r="D49" i="4"/>
  <c r="C49" i="4"/>
  <c r="B49" i="4"/>
  <c r="F49" i="4" s="1"/>
  <c r="E48" i="4"/>
  <c r="D48" i="4"/>
  <c r="C48" i="4"/>
  <c r="B48" i="4"/>
  <c r="E47" i="4"/>
  <c r="D47" i="4"/>
  <c r="C47" i="4"/>
  <c r="B47" i="4"/>
  <c r="F47" i="4" s="1"/>
  <c r="E46" i="4"/>
  <c r="D46" i="4"/>
  <c r="C46" i="4"/>
  <c r="B46" i="4"/>
  <c r="E45" i="4"/>
  <c r="D45" i="4"/>
  <c r="C45" i="4"/>
  <c r="B45" i="4"/>
  <c r="F45" i="4" s="1"/>
  <c r="E44" i="4"/>
  <c r="D44" i="4"/>
  <c r="C44" i="4"/>
  <c r="B44" i="4"/>
  <c r="F44" i="4" s="1"/>
  <c r="E43" i="4"/>
  <c r="D43" i="4"/>
  <c r="F43" i="4" s="1"/>
  <c r="C43" i="4"/>
  <c r="B43" i="4"/>
  <c r="E42" i="4"/>
  <c r="D42" i="4"/>
  <c r="C42" i="4"/>
  <c r="B42" i="4"/>
  <c r="F41" i="4"/>
  <c r="E41" i="4"/>
  <c r="D41" i="4"/>
  <c r="C41" i="4"/>
  <c r="B41" i="4"/>
  <c r="E40" i="4"/>
  <c r="D40" i="4"/>
  <c r="C40" i="4"/>
  <c r="B40" i="4"/>
  <c r="F40" i="4" s="1"/>
  <c r="E39" i="4"/>
  <c r="D39" i="4"/>
  <c r="C39" i="4"/>
  <c r="B39" i="4"/>
  <c r="F39" i="4" s="1"/>
  <c r="E38" i="4"/>
  <c r="D38" i="4"/>
  <c r="C38" i="4"/>
  <c r="B38" i="4"/>
  <c r="E37" i="4"/>
  <c r="D37" i="4"/>
  <c r="C37" i="4"/>
  <c r="B37" i="4"/>
  <c r="F37" i="4" s="1"/>
  <c r="E36" i="4"/>
  <c r="D36" i="4"/>
  <c r="C36" i="4"/>
  <c r="B36" i="4"/>
  <c r="E35" i="4"/>
  <c r="D35" i="4"/>
  <c r="C35" i="4"/>
  <c r="B35" i="4"/>
  <c r="F35" i="4" s="1"/>
  <c r="E34" i="4"/>
  <c r="D34" i="4"/>
  <c r="C34" i="4"/>
  <c r="B34" i="4"/>
  <c r="E33" i="4"/>
  <c r="D33" i="4"/>
  <c r="C33" i="4"/>
  <c r="B33" i="4"/>
  <c r="F33" i="4" s="1"/>
  <c r="E32" i="4"/>
  <c r="D32" i="4"/>
  <c r="C32" i="4"/>
  <c r="B32" i="4"/>
  <c r="F32" i="4" s="1"/>
  <c r="E31" i="4"/>
  <c r="D31" i="4"/>
  <c r="F31" i="4" s="1"/>
  <c r="C31" i="4"/>
  <c r="B31" i="4"/>
  <c r="E30" i="4"/>
  <c r="D30" i="4"/>
  <c r="C30" i="4"/>
  <c r="B30" i="4"/>
  <c r="F29" i="4"/>
  <c r="E29" i="4"/>
  <c r="D29" i="4"/>
  <c r="C29" i="4"/>
  <c r="B29" i="4"/>
  <c r="E28" i="4"/>
  <c r="D28" i="4"/>
  <c r="C28" i="4"/>
  <c r="B28" i="4"/>
  <c r="F28" i="4" s="1"/>
  <c r="E27" i="4"/>
  <c r="D27" i="4"/>
  <c r="C27" i="4"/>
  <c r="B27" i="4"/>
  <c r="F27" i="4" s="1"/>
  <c r="E26" i="4"/>
  <c r="D26" i="4"/>
  <c r="C26" i="4"/>
  <c r="B26" i="4"/>
  <c r="E25" i="4"/>
  <c r="D25" i="4"/>
  <c r="C25" i="4"/>
  <c r="B25" i="4"/>
  <c r="F25" i="4" s="1"/>
  <c r="E24" i="4"/>
  <c r="D24" i="4"/>
  <c r="C24" i="4"/>
  <c r="B24" i="4"/>
  <c r="F24" i="4" s="1"/>
  <c r="E23" i="4"/>
  <c r="D23" i="4"/>
  <c r="C23" i="4"/>
  <c r="B23" i="4"/>
  <c r="F23" i="4" s="1"/>
  <c r="E22" i="4"/>
  <c r="D22" i="4"/>
  <c r="C22" i="4"/>
  <c r="B22" i="4"/>
  <c r="E21" i="4"/>
  <c r="D21" i="4"/>
  <c r="C21" i="4"/>
  <c r="B21" i="4"/>
  <c r="F21" i="4" s="1"/>
  <c r="E20" i="4"/>
  <c r="D20" i="4"/>
  <c r="C20" i="4"/>
  <c r="B20" i="4"/>
  <c r="F20" i="4" s="1"/>
  <c r="E19" i="4"/>
  <c r="D19" i="4"/>
  <c r="F19" i="4" s="1"/>
  <c r="C19" i="4"/>
  <c r="B19" i="4"/>
  <c r="E18" i="4"/>
  <c r="D18" i="4"/>
  <c r="C18" i="4"/>
  <c r="B18" i="4"/>
  <c r="F17" i="4"/>
  <c r="E17" i="4"/>
  <c r="D17" i="4"/>
  <c r="C17" i="4"/>
  <c r="B17" i="4"/>
  <c r="E16" i="4"/>
  <c r="D16" i="4"/>
  <c r="C16" i="4"/>
  <c r="B16" i="4"/>
  <c r="E15" i="4"/>
  <c r="D15" i="4"/>
  <c r="C15" i="4"/>
  <c r="B15" i="4"/>
  <c r="F15" i="4" s="1"/>
  <c r="E14" i="4"/>
  <c r="D14" i="4"/>
  <c r="C14" i="4"/>
  <c r="B14" i="4"/>
  <c r="F14" i="4" s="1"/>
  <c r="E13" i="4"/>
  <c r="D13" i="4"/>
  <c r="C13" i="4"/>
  <c r="B13" i="4"/>
  <c r="F13" i="4" s="1"/>
  <c r="E12" i="4"/>
  <c r="D12" i="4"/>
  <c r="C12" i="4"/>
  <c r="B12" i="4"/>
  <c r="F12" i="4" s="1"/>
  <c r="E11" i="4"/>
  <c r="D11" i="4"/>
  <c r="C11" i="4"/>
  <c r="B11" i="4"/>
  <c r="F11" i="4" s="1"/>
  <c r="E10" i="4"/>
  <c r="D10" i="4"/>
  <c r="C10" i="4"/>
  <c r="B10" i="4"/>
  <c r="F10" i="4" s="1"/>
  <c r="E9" i="4"/>
  <c r="D9" i="4"/>
  <c r="C9" i="4"/>
  <c r="B9" i="4"/>
  <c r="F9" i="4" s="1"/>
  <c r="E8" i="4"/>
  <c r="D8" i="4"/>
  <c r="C8" i="4"/>
  <c r="B8" i="4"/>
  <c r="F8" i="4" s="1"/>
  <c r="E7" i="4"/>
  <c r="D7" i="4"/>
  <c r="C7" i="4"/>
  <c r="B7" i="4"/>
  <c r="F7" i="4" s="1"/>
  <c r="E6" i="4"/>
  <c r="D6" i="4"/>
  <c r="C6" i="4"/>
  <c r="B6" i="4"/>
  <c r="F6" i="4" s="1"/>
  <c r="E5" i="4"/>
  <c r="D5" i="4"/>
  <c r="C5" i="4"/>
  <c r="B5" i="4"/>
  <c r="F5" i="4" s="1"/>
  <c r="E4" i="4"/>
  <c r="D4" i="4"/>
  <c r="C4" i="4"/>
  <c r="B4" i="4"/>
  <c r="F4" i="4" s="1"/>
  <c r="E3" i="4"/>
  <c r="D3" i="4"/>
  <c r="C3" i="4"/>
  <c r="B3" i="4"/>
  <c r="F3" i="4" s="1"/>
  <c r="E2" i="4"/>
  <c r="D2" i="4"/>
  <c r="C2" i="4"/>
  <c r="B2" i="4"/>
  <c r="F2" i="4" s="1"/>
  <c r="N382" i="3"/>
  <c r="K382" i="3"/>
  <c r="N381" i="3"/>
  <c r="K381" i="3"/>
  <c r="N380" i="3"/>
  <c r="K380" i="3"/>
  <c r="N379" i="3"/>
  <c r="K379" i="3"/>
  <c r="N378" i="3"/>
  <c r="K378" i="3"/>
  <c r="N377" i="3"/>
  <c r="K377" i="3"/>
  <c r="N376" i="3"/>
  <c r="K376" i="3"/>
  <c r="N375" i="3"/>
  <c r="K375" i="3"/>
  <c r="N374" i="3"/>
  <c r="K374" i="3"/>
  <c r="N373" i="3"/>
  <c r="K373" i="3"/>
  <c r="N372" i="3"/>
  <c r="K372" i="3"/>
  <c r="N371" i="3"/>
  <c r="K371" i="3"/>
  <c r="N370" i="3"/>
  <c r="K370" i="3"/>
  <c r="N369" i="3"/>
  <c r="K369" i="3"/>
  <c r="N368" i="3"/>
  <c r="K368" i="3"/>
  <c r="N367" i="3"/>
  <c r="K367" i="3"/>
  <c r="N366" i="3"/>
  <c r="K366" i="3"/>
  <c r="N365" i="3"/>
  <c r="K365" i="3"/>
  <c r="N364" i="3"/>
  <c r="K364" i="3"/>
  <c r="N363" i="3"/>
  <c r="K363" i="3"/>
  <c r="N362" i="3"/>
  <c r="K362" i="3"/>
  <c r="N361" i="3"/>
  <c r="K361" i="3"/>
  <c r="N360" i="3"/>
  <c r="K360" i="3"/>
  <c r="N359" i="3"/>
  <c r="K359" i="3"/>
  <c r="N358" i="3"/>
  <c r="K358" i="3"/>
  <c r="N357" i="3"/>
  <c r="K357" i="3"/>
  <c r="N356" i="3"/>
  <c r="K356" i="3"/>
  <c r="N355" i="3"/>
  <c r="K355" i="3"/>
  <c r="N354" i="3"/>
  <c r="K354" i="3"/>
  <c r="N353" i="3"/>
  <c r="K353" i="3"/>
  <c r="N352" i="3"/>
  <c r="K352" i="3"/>
  <c r="N351" i="3"/>
  <c r="K351" i="3"/>
  <c r="N350" i="3"/>
  <c r="K350" i="3"/>
  <c r="N349" i="3"/>
  <c r="K349" i="3"/>
  <c r="N348" i="3"/>
  <c r="K348" i="3"/>
  <c r="N347" i="3"/>
  <c r="K347" i="3"/>
  <c r="N346" i="3"/>
  <c r="K346" i="3"/>
  <c r="N345" i="3"/>
  <c r="K345" i="3"/>
  <c r="N344" i="3"/>
  <c r="K344" i="3"/>
  <c r="N343" i="3"/>
  <c r="K343" i="3"/>
  <c r="N342" i="3"/>
  <c r="K342" i="3"/>
  <c r="N341" i="3"/>
  <c r="K341" i="3"/>
  <c r="N340" i="3"/>
  <c r="K340" i="3"/>
  <c r="N339" i="3"/>
  <c r="K339" i="3"/>
  <c r="N338" i="3"/>
  <c r="K338" i="3"/>
  <c r="N337" i="3"/>
  <c r="K337" i="3"/>
  <c r="N336" i="3"/>
  <c r="K336" i="3"/>
  <c r="N335" i="3"/>
  <c r="K335" i="3"/>
  <c r="N334" i="3"/>
  <c r="K334" i="3"/>
  <c r="N333" i="3"/>
  <c r="K333" i="3"/>
  <c r="N332" i="3"/>
  <c r="K332" i="3"/>
  <c r="N331" i="3"/>
  <c r="K331" i="3"/>
  <c r="N330" i="3"/>
  <c r="K330" i="3"/>
  <c r="N329" i="3"/>
  <c r="K329" i="3"/>
  <c r="N328" i="3"/>
  <c r="K328" i="3"/>
  <c r="N327" i="3"/>
  <c r="K327" i="3"/>
  <c r="N326" i="3"/>
  <c r="K326" i="3"/>
  <c r="N325" i="3"/>
  <c r="K325" i="3"/>
  <c r="N324" i="3"/>
  <c r="K324" i="3"/>
  <c r="N323" i="3"/>
  <c r="K323" i="3"/>
  <c r="N322" i="3"/>
  <c r="K322" i="3"/>
  <c r="N321" i="3"/>
  <c r="K321" i="3"/>
  <c r="N320" i="3"/>
  <c r="K320" i="3"/>
  <c r="N319" i="3"/>
  <c r="K319" i="3"/>
  <c r="N318" i="3"/>
  <c r="K318" i="3"/>
  <c r="N317" i="3"/>
  <c r="K317" i="3"/>
  <c r="N316" i="3"/>
  <c r="K316" i="3"/>
  <c r="N315" i="3"/>
  <c r="K315" i="3"/>
  <c r="N314" i="3"/>
  <c r="K314" i="3"/>
  <c r="N313" i="3"/>
  <c r="K313" i="3"/>
  <c r="N312" i="3"/>
  <c r="K312" i="3"/>
  <c r="N311" i="3"/>
  <c r="K311" i="3"/>
  <c r="N310" i="3"/>
  <c r="K310" i="3"/>
  <c r="N309" i="3"/>
  <c r="K309" i="3"/>
  <c r="N308" i="3"/>
  <c r="K308" i="3"/>
  <c r="N307" i="3"/>
  <c r="K307" i="3"/>
  <c r="N306" i="3"/>
  <c r="K306" i="3"/>
  <c r="N305" i="3"/>
  <c r="K305" i="3"/>
  <c r="N304" i="3"/>
  <c r="K304" i="3"/>
  <c r="N303" i="3"/>
  <c r="K303" i="3"/>
  <c r="N302" i="3"/>
  <c r="K302" i="3"/>
  <c r="N301" i="3"/>
  <c r="K301" i="3"/>
  <c r="N300" i="3"/>
  <c r="K300" i="3"/>
  <c r="N299" i="3"/>
  <c r="K299" i="3"/>
  <c r="N298" i="3"/>
  <c r="K298" i="3"/>
  <c r="N297" i="3"/>
  <c r="K297" i="3"/>
  <c r="N296" i="3"/>
  <c r="K296" i="3"/>
  <c r="N295" i="3"/>
  <c r="K295" i="3"/>
  <c r="N294" i="3"/>
  <c r="K294" i="3"/>
  <c r="N293" i="3"/>
  <c r="K293" i="3"/>
  <c r="N292" i="3"/>
  <c r="K292" i="3"/>
  <c r="N291" i="3"/>
  <c r="K291" i="3"/>
  <c r="N290" i="3"/>
  <c r="K290" i="3"/>
  <c r="N289" i="3"/>
  <c r="K289" i="3"/>
  <c r="N288" i="3"/>
  <c r="K288" i="3"/>
  <c r="N287" i="3"/>
  <c r="K287" i="3"/>
  <c r="N286" i="3"/>
  <c r="K286" i="3"/>
  <c r="N285" i="3"/>
  <c r="K285" i="3"/>
  <c r="N284" i="3"/>
  <c r="K284" i="3"/>
  <c r="N283" i="3"/>
  <c r="K283" i="3"/>
  <c r="N282" i="3"/>
  <c r="K282" i="3"/>
  <c r="N281" i="3"/>
  <c r="K281" i="3"/>
  <c r="N280" i="3"/>
  <c r="K280" i="3"/>
  <c r="N279" i="3"/>
  <c r="K279" i="3"/>
  <c r="N278" i="3"/>
  <c r="K278" i="3"/>
  <c r="N277" i="3"/>
  <c r="K277" i="3"/>
  <c r="N276" i="3"/>
  <c r="K276" i="3"/>
  <c r="N275" i="3"/>
  <c r="K275" i="3"/>
  <c r="N274" i="3"/>
  <c r="K274" i="3"/>
  <c r="N273" i="3"/>
  <c r="K273" i="3"/>
  <c r="N272" i="3"/>
  <c r="K272" i="3"/>
  <c r="N271" i="3"/>
  <c r="K271" i="3"/>
  <c r="N270" i="3"/>
  <c r="K270" i="3"/>
  <c r="N269" i="3"/>
  <c r="K269" i="3"/>
  <c r="N268" i="3"/>
  <c r="K268" i="3"/>
  <c r="N267" i="3"/>
  <c r="K267" i="3"/>
  <c r="N266" i="3"/>
  <c r="K266" i="3"/>
  <c r="N265" i="3"/>
  <c r="K265" i="3"/>
  <c r="N264" i="3"/>
  <c r="K264" i="3"/>
  <c r="N263" i="3"/>
  <c r="K263" i="3"/>
  <c r="N262" i="3"/>
  <c r="K262" i="3"/>
  <c r="N261" i="3"/>
  <c r="K261" i="3"/>
  <c r="N260" i="3"/>
  <c r="K260" i="3"/>
  <c r="N259" i="3"/>
  <c r="K259" i="3"/>
  <c r="N258" i="3"/>
  <c r="K258" i="3"/>
  <c r="N257" i="3"/>
  <c r="K257" i="3"/>
  <c r="N256" i="3"/>
  <c r="K256" i="3"/>
  <c r="N255" i="3"/>
  <c r="K255" i="3"/>
  <c r="N254" i="3"/>
  <c r="K254" i="3"/>
  <c r="N253" i="3"/>
  <c r="K253" i="3"/>
  <c r="N252" i="3"/>
  <c r="K252" i="3"/>
  <c r="N251" i="3"/>
  <c r="K251" i="3"/>
  <c r="N250" i="3"/>
  <c r="K250" i="3"/>
  <c r="N249" i="3"/>
  <c r="K249" i="3"/>
  <c r="N248" i="3"/>
  <c r="K248" i="3"/>
  <c r="N247" i="3"/>
  <c r="K247" i="3"/>
  <c r="N246" i="3"/>
  <c r="K246" i="3"/>
  <c r="N245" i="3"/>
  <c r="K245" i="3"/>
  <c r="N244" i="3"/>
  <c r="K244" i="3"/>
  <c r="N243" i="3"/>
  <c r="K243" i="3"/>
  <c r="N242" i="3"/>
  <c r="K242" i="3"/>
  <c r="N241" i="3"/>
  <c r="K241" i="3"/>
  <c r="N240" i="3"/>
  <c r="K240" i="3"/>
  <c r="N239" i="3"/>
  <c r="K239" i="3"/>
  <c r="N238" i="3"/>
  <c r="K238" i="3"/>
  <c r="N237" i="3"/>
  <c r="K237" i="3"/>
  <c r="N236" i="3"/>
  <c r="K236" i="3"/>
  <c r="N235" i="3"/>
  <c r="K235" i="3"/>
  <c r="N234" i="3"/>
  <c r="K234" i="3"/>
  <c r="N233" i="3"/>
  <c r="K233" i="3"/>
  <c r="N232" i="3"/>
  <c r="K232" i="3"/>
  <c r="N231" i="3"/>
  <c r="K231" i="3"/>
  <c r="N230" i="3"/>
  <c r="K230" i="3"/>
  <c r="N229" i="3"/>
  <c r="K229" i="3"/>
  <c r="N228" i="3"/>
  <c r="K228" i="3"/>
  <c r="N227" i="3"/>
  <c r="K227" i="3"/>
  <c r="N226" i="3"/>
  <c r="K226" i="3"/>
  <c r="N225" i="3"/>
  <c r="K225" i="3"/>
  <c r="N224" i="3"/>
  <c r="K224" i="3"/>
  <c r="N223" i="3"/>
  <c r="K223" i="3"/>
  <c r="N222" i="3"/>
  <c r="K222" i="3"/>
  <c r="N221" i="3"/>
  <c r="K221" i="3"/>
  <c r="N220" i="3"/>
  <c r="K220" i="3"/>
  <c r="N219" i="3"/>
  <c r="K219" i="3"/>
  <c r="N218" i="3"/>
  <c r="K218" i="3"/>
  <c r="N217" i="3"/>
  <c r="K217" i="3"/>
  <c r="N216" i="3"/>
  <c r="K216" i="3"/>
  <c r="N215" i="3"/>
  <c r="K215" i="3"/>
  <c r="N214" i="3"/>
  <c r="K214" i="3"/>
  <c r="N213" i="3"/>
  <c r="K213" i="3"/>
  <c r="N212" i="3"/>
  <c r="K212" i="3"/>
  <c r="N211" i="3"/>
  <c r="K211" i="3"/>
  <c r="N210" i="3"/>
  <c r="K210" i="3"/>
  <c r="N209" i="3"/>
  <c r="K209" i="3"/>
  <c r="N208" i="3"/>
  <c r="K208" i="3"/>
  <c r="N207" i="3"/>
  <c r="K207" i="3"/>
  <c r="N206" i="3"/>
  <c r="K206" i="3"/>
  <c r="N205" i="3"/>
  <c r="K205" i="3"/>
  <c r="N204" i="3"/>
  <c r="K204" i="3"/>
  <c r="N203" i="3"/>
  <c r="K203" i="3"/>
  <c r="N202" i="3"/>
  <c r="K202" i="3"/>
  <c r="N201" i="3"/>
  <c r="K201" i="3"/>
  <c r="N200" i="3"/>
  <c r="K200" i="3"/>
  <c r="N199" i="3"/>
  <c r="K199" i="3"/>
  <c r="N198" i="3"/>
  <c r="K198" i="3"/>
  <c r="N197" i="3"/>
  <c r="K197" i="3"/>
  <c r="N196" i="3"/>
  <c r="K196" i="3"/>
  <c r="N195" i="3"/>
  <c r="K195" i="3"/>
  <c r="N194" i="3"/>
  <c r="K194" i="3"/>
  <c r="N193" i="3"/>
  <c r="K193" i="3"/>
  <c r="N192" i="3"/>
  <c r="K192" i="3"/>
  <c r="N191" i="3"/>
  <c r="K191" i="3"/>
  <c r="N190" i="3"/>
  <c r="K190" i="3"/>
  <c r="N189" i="3"/>
  <c r="K189" i="3"/>
  <c r="N188" i="3"/>
  <c r="K188" i="3"/>
  <c r="N187" i="3"/>
  <c r="K187" i="3"/>
  <c r="N186" i="3"/>
  <c r="K186" i="3"/>
  <c r="N185" i="3"/>
  <c r="K185" i="3"/>
  <c r="N184" i="3"/>
  <c r="K184" i="3"/>
  <c r="N183" i="3"/>
  <c r="K183" i="3"/>
  <c r="N182" i="3"/>
  <c r="K182" i="3"/>
  <c r="N181" i="3"/>
  <c r="K181" i="3"/>
  <c r="N180" i="3"/>
  <c r="K180" i="3"/>
  <c r="N179" i="3"/>
  <c r="K179" i="3"/>
  <c r="N178" i="3"/>
  <c r="K178" i="3"/>
  <c r="N177" i="3"/>
  <c r="K177" i="3"/>
  <c r="N176" i="3"/>
  <c r="K176" i="3"/>
  <c r="N175" i="3"/>
  <c r="K175" i="3"/>
  <c r="N174" i="3"/>
  <c r="K174" i="3"/>
  <c r="N173" i="3"/>
  <c r="K173" i="3"/>
  <c r="N172" i="3"/>
  <c r="K172" i="3"/>
  <c r="N171" i="3"/>
  <c r="K171" i="3"/>
  <c r="N170" i="3"/>
  <c r="K170" i="3"/>
  <c r="N169" i="3"/>
  <c r="K169" i="3"/>
  <c r="N168" i="3"/>
  <c r="K168" i="3"/>
  <c r="N167" i="3"/>
  <c r="K167" i="3"/>
  <c r="N166" i="3"/>
  <c r="K166" i="3"/>
  <c r="N165" i="3"/>
  <c r="K165" i="3"/>
  <c r="N164" i="3"/>
  <c r="K164" i="3"/>
  <c r="N163" i="3"/>
  <c r="K163" i="3"/>
  <c r="N162" i="3"/>
  <c r="K162" i="3"/>
  <c r="N161" i="3"/>
  <c r="K161" i="3"/>
  <c r="N160" i="3"/>
  <c r="K160" i="3"/>
  <c r="N159" i="3"/>
  <c r="K159" i="3"/>
  <c r="N158" i="3"/>
  <c r="K158" i="3"/>
  <c r="N157" i="3"/>
  <c r="K157" i="3"/>
  <c r="N156" i="3"/>
  <c r="K156" i="3"/>
  <c r="N155" i="3"/>
  <c r="K155" i="3"/>
  <c r="N154" i="3"/>
  <c r="K154" i="3"/>
  <c r="N153" i="3"/>
  <c r="K153" i="3"/>
  <c r="N152" i="3"/>
  <c r="K152" i="3"/>
  <c r="N151" i="3"/>
  <c r="K151" i="3"/>
  <c r="N150" i="3"/>
  <c r="K150" i="3"/>
  <c r="N149" i="3"/>
  <c r="K149" i="3"/>
  <c r="N148" i="3"/>
  <c r="K148" i="3"/>
  <c r="N147" i="3"/>
  <c r="K147" i="3"/>
  <c r="N146" i="3"/>
  <c r="K146" i="3"/>
  <c r="N145" i="3"/>
  <c r="K145" i="3"/>
  <c r="N144" i="3"/>
  <c r="K144" i="3"/>
  <c r="N143" i="3"/>
  <c r="K143" i="3"/>
  <c r="N142" i="3"/>
  <c r="K142" i="3"/>
  <c r="N141" i="3"/>
  <c r="K141" i="3"/>
  <c r="N140" i="3"/>
  <c r="K140" i="3"/>
  <c r="N139" i="3"/>
  <c r="K139" i="3"/>
  <c r="N138" i="3"/>
  <c r="K138" i="3"/>
  <c r="N137" i="3"/>
  <c r="K137" i="3"/>
  <c r="N136" i="3"/>
  <c r="K136" i="3"/>
  <c r="N135" i="3"/>
  <c r="K135" i="3"/>
  <c r="N134" i="3"/>
  <c r="K134" i="3"/>
  <c r="N133" i="3"/>
  <c r="K133" i="3"/>
  <c r="N132" i="3"/>
  <c r="K132" i="3"/>
  <c r="N131" i="3"/>
  <c r="K131" i="3"/>
  <c r="N130" i="3"/>
  <c r="K130" i="3"/>
  <c r="N129" i="3"/>
  <c r="K129" i="3"/>
  <c r="N128" i="3"/>
  <c r="K128" i="3"/>
  <c r="N127" i="3"/>
  <c r="K127" i="3"/>
  <c r="N126" i="3"/>
  <c r="K126" i="3"/>
  <c r="N125" i="3"/>
  <c r="K125" i="3"/>
  <c r="N124" i="3"/>
  <c r="K124" i="3"/>
  <c r="N123" i="3"/>
  <c r="K123" i="3"/>
  <c r="N122" i="3"/>
  <c r="K122" i="3"/>
  <c r="N121" i="3"/>
  <c r="K121" i="3"/>
  <c r="N120" i="3"/>
  <c r="K120" i="3"/>
  <c r="N119" i="3"/>
  <c r="K119" i="3"/>
  <c r="N118" i="3"/>
  <c r="K118" i="3"/>
  <c r="N117" i="3"/>
  <c r="K117" i="3"/>
  <c r="N116" i="3"/>
  <c r="K116" i="3"/>
  <c r="N115" i="3"/>
  <c r="K115" i="3"/>
  <c r="N114" i="3"/>
  <c r="K114" i="3"/>
  <c r="N113" i="3"/>
  <c r="K113" i="3"/>
  <c r="N112" i="3"/>
  <c r="K112" i="3"/>
  <c r="N111" i="3"/>
  <c r="K111" i="3"/>
  <c r="N110" i="3"/>
  <c r="K110" i="3"/>
  <c r="N109" i="3"/>
  <c r="K109" i="3"/>
  <c r="N108" i="3"/>
  <c r="K108" i="3"/>
  <c r="N107" i="3"/>
  <c r="K107" i="3"/>
  <c r="N106" i="3"/>
  <c r="K106" i="3"/>
  <c r="N105" i="3"/>
  <c r="K105" i="3"/>
  <c r="N104" i="3"/>
  <c r="K104" i="3"/>
  <c r="N103" i="3"/>
  <c r="K103" i="3"/>
  <c r="N102" i="3"/>
  <c r="K102" i="3"/>
  <c r="N101" i="3"/>
  <c r="K101" i="3"/>
  <c r="N100" i="3"/>
  <c r="K100" i="3"/>
  <c r="N99" i="3"/>
  <c r="K99" i="3"/>
  <c r="N98" i="3"/>
  <c r="K98" i="3"/>
  <c r="N97" i="3"/>
  <c r="K97" i="3"/>
  <c r="N96" i="3"/>
  <c r="K96" i="3"/>
  <c r="N95" i="3"/>
  <c r="K95" i="3"/>
  <c r="N94" i="3"/>
  <c r="K94" i="3"/>
  <c r="N93" i="3"/>
  <c r="K93" i="3"/>
  <c r="N92" i="3"/>
  <c r="K92" i="3"/>
  <c r="N91" i="3"/>
  <c r="K91" i="3"/>
  <c r="N90" i="3"/>
  <c r="K90" i="3"/>
  <c r="N89" i="3"/>
  <c r="K89" i="3"/>
  <c r="N88" i="3"/>
  <c r="K88" i="3"/>
  <c r="N87" i="3"/>
  <c r="K87" i="3"/>
  <c r="N86" i="3"/>
  <c r="K86" i="3"/>
  <c r="N85" i="3"/>
  <c r="K85" i="3"/>
  <c r="N84" i="3"/>
  <c r="K84" i="3"/>
  <c r="N83" i="3"/>
  <c r="K83" i="3"/>
  <c r="N82" i="3"/>
  <c r="K82" i="3"/>
  <c r="N81" i="3"/>
  <c r="K81" i="3"/>
  <c r="N80" i="3"/>
  <c r="K80" i="3"/>
  <c r="N79" i="3"/>
  <c r="K79" i="3"/>
  <c r="N78" i="3"/>
  <c r="K78" i="3"/>
  <c r="N77" i="3"/>
  <c r="K77" i="3"/>
  <c r="N76" i="3"/>
  <c r="K76" i="3"/>
  <c r="N75" i="3"/>
  <c r="K75" i="3"/>
  <c r="N74" i="3"/>
  <c r="K74" i="3"/>
  <c r="N73" i="3"/>
  <c r="K73" i="3"/>
  <c r="N72" i="3"/>
  <c r="K72" i="3"/>
  <c r="N71" i="3"/>
  <c r="K71" i="3"/>
  <c r="N70" i="3"/>
  <c r="K70" i="3"/>
  <c r="N69" i="3"/>
  <c r="K69" i="3"/>
  <c r="N68" i="3"/>
  <c r="K68" i="3"/>
  <c r="N67" i="3"/>
  <c r="K67" i="3"/>
  <c r="N66" i="3"/>
  <c r="K66" i="3"/>
  <c r="N65" i="3"/>
  <c r="K65" i="3"/>
  <c r="N64" i="3"/>
  <c r="K64" i="3"/>
  <c r="N63" i="3"/>
  <c r="K63" i="3"/>
  <c r="N62" i="3"/>
  <c r="K62" i="3"/>
  <c r="N61" i="3"/>
  <c r="K61" i="3"/>
  <c r="N60" i="3"/>
  <c r="K60" i="3"/>
  <c r="N59" i="3"/>
  <c r="K59" i="3"/>
  <c r="N58" i="3"/>
  <c r="K58" i="3"/>
  <c r="N57" i="3"/>
  <c r="K57" i="3"/>
  <c r="N56" i="3"/>
  <c r="K56" i="3"/>
  <c r="N55" i="3"/>
  <c r="K55" i="3"/>
  <c r="N54" i="3"/>
  <c r="K54" i="3"/>
  <c r="N53" i="3"/>
  <c r="K53" i="3"/>
  <c r="N52" i="3"/>
  <c r="K52" i="3"/>
  <c r="N51" i="3"/>
  <c r="K51" i="3"/>
  <c r="N50" i="3"/>
  <c r="K50" i="3"/>
  <c r="N49" i="3"/>
  <c r="K49" i="3"/>
  <c r="N48" i="3"/>
  <c r="K48" i="3"/>
  <c r="N47" i="3"/>
  <c r="K47" i="3"/>
  <c r="N46" i="3"/>
  <c r="K46" i="3"/>
  <c r="N45" i="3"/>
  <c r="K45" i="3"/>
  <c r="N44" i="3"/>
  <c r="K44" i="3"/>
  <c r="N43" i="3"/>
  <c r="K43" i="3"/>
  <c r="N42" i="3"/>
  <c r="K42" i="3"/>
  <c r="N41" i="3"/>
  <c r="K41" i="3"/>
  <c r="N40" i="3"/>
  <c r="K40" i="3"/>
  <c r="N39" i="3"/>
  <c r="K39" i="3"/>
  <c r="N38" i="3"/>
  <c r="K38" i="3"/>
  <c r="N37" i="3"/>
  <c r="K37" i="3"/>
  <c r="N36" i="3"/>
  <c r="K36" i="3"/>
  <c r="N35" i="3"/>
  <c r="K35" i="3"/>
  <c r="N34" i="3"/>
  <c r="K34" i="3"/>
  <c r="N33" i="3"/>
  <c r="K33" i="3"/>
  <c r="N32" i="3"/>
  <c r="K32" i="3"/>
  <c r="N31" i="3"/>
  <c r="K31" i="3"/>
  <c r="N30" i="3"/>
  <c r="K30" i="3"/>
  <c r="N29" i="3"/>
  <c r="K29" i="3"/>
  <c r="N28" i="3"/>
  <c r="K28" i="3"/>
  <c r="N27" i="3"/>
  <c r="K27" i="3"/>
  <c r="N26" i="3"/>
  <c r="K26" i="3"/>
  <c r="N25" i="3"/>
  <c r="K25" i="3"/>
  <c r="N24" i="3"/>
  <c r="K24" i="3"/>
  <c r="N23" i="3"/>
  <c r="K23" i="3"/>
  <c r="N22" i="3"/>
  <c r="K22" i="3"/>
  <c r="N21" i="3"/>
  <c r="K21" i="3"/>
  <c r="N20" i="3"/>
  <c r="K20" i="3"/>
  <c r="N19" i="3"/>
  <c r="K19" i="3"/>
  <c r="N18" i="3"/>
  <c r="K18" i="3"/>
  <c r="N17" i="3"/>
  <c r="K17" i="3"/>
  <c r="N16" i="3"/>
  <c r="K16" i="3"/>
  <c r="N15" i="3"/>
  <c r="K15" i="3"/>
  <c r="N14" i="3"/>
  <c r="K14" i="3"/>
  <c r="N13" i="3"/>
  <c r="K13" i="3"/>
  <c r="N12" i="3"/>
  <c r="K12" i="3"/>
  <c r="N11" i="3"/>
  <c r="K11" i="3"/>
  <c r="N10" i="3"/>
  <c r="K10" i="3"/>
  <c r="N9" i="3"/>
  <c r="K9" i="3"/>
  <c r="N8" i="3"/>
  <c r="K8" i="3"/>
  <c r="N7" i="3"/>
  <c r="K7" i="3"/>
  <c r="N6" i="3"/>
  <c r="K6" i="3"/>
  <c r="N5" i="3"/>
  <c r="K5" i="3"/>
  <c r="N4" i="3"/>
  <c r="K4" i="3"/>
  <c r="N3" i="3"/>
  <c r="K3" i="3"/>
  <c r="N2" i="3"/>
  <c r="K2" i="3"/>
  <c r="G182" i="4"/>
  <c r="G180" i="4"/>
  <c r="G178" i="4"/>
  <c r="G176" i="4"/>
  <c r="G174" i="4"/>
  <c r="G172" i="4"/>
  <c r="G170" i="4"/>
  <c r="G168" i="4"/>
  <c r="G166" i="4"/>
  <c r="G164" i="4"/>
  <c r="G162" i="4"/>
  <c r="G160" i="4"/>
  <c r="G158" i="4"/>
  <c r="G156" i="4"/>
  <c r="G154" i="4"/>
  <c r="G152" i="4"/>
  <c r="G150" i="4"/>
  <c r="G148" i="4"/>
  <c r="G146" i="4"/>
  <c r="G144" i="4"/>
  <c r="G142" i="4"/>
  <c r="G140" i="4"/>
  <c r="G138" i="4"/>
  <c r="G136" i="4"/>
  <c r="G134" i="4"/>
  <c r="G132" i="4"/>
  <c r="G130" i="4"/>
  <c r="G128" i="4"/>
  <c r="G126" i="4"/>
  <c r="G124" i="4"/>
  <c r="G122" i="4"/>
  <c r="G120" i="4"/>
  <c r="G118" i="4"/>
  <c r="G116" i="4"/>
  <c r="G114" i="4"/>
  <c r="G112" i="4"/>
  <c r="G110" i="4"/>
  <c r="G108" i="4"/>
  <c r="G106" i="4"/>
  <c r="G104" i="4"/>
  <c r="G102" i="4"/>
  <c r="G100" i="4"/>
  <c r="G98" i="4"/>
  <c r="G96" i="4"/>
  <c r="G94" i="4"/>
  <c r="G92" i="4"/>
  <c r="G90" i="4"/>
  <c r="G88" i="4"/>
  <c r="G86" i="4"/>
  <c r="G84" i="4"/>
  <c r="G82" i="4"/>
  <c r="G80" i="4"/>
  <c r="G78" i="4"/>
  <c r="G76" i="4"/>
  <c r="G74" i="4"/>
  <c r="G72" i="4"/>
  <c r="G70" i="4"/>
  <c r="G68" i="4"/>
  <c r="G66" i="4"/>
  <c r="G64" i="4"/>
  <c r="G62" i="4"/>
  <c r="G60" i="4"/>
  <c r="G58" i="4"/>
  <c r="G56" i="4"/>
  <c r="G54" i="4"/>
  <c r="G52" i="4"/>
  <c r="G50" i="4"/>
  <c r="G48" i="4"/>
  <c r="G46" i="4"/>
  <c r="G44" i="4"/>
  <c r="G42" i="4"/>
  <c r="G40" i="4"/>
  <c r="G38" i="4"/>
  <c r="G36" i="4"/>
  <c r="G34" i="4"/>
  <c r="G32" i="4"/>
  <c r="G30" i="4"/>
  <c r="G28" i="4"/>
  <c r="G26" i="4"/>
  <c r="G24" i="4"/>
  <c r="G22" i="4"/>
  <c r="G20" i="4"/>
  <c r="G18" i="4"/>
  <c r="G177" i="4"/>
  <c r="G165" i="4"/>
  <c r="G153" i="4"/>
  <c r="G141" i="4"/>
  <c r="G129" i="4"/>
  <c r="G117" i="4"/>
  <c r="G105" i="4"/>
  <c r="G93" i="4"/>
  <c r="G81" i="4"/>
  <c r="G69" i="4"/>
  <c r="G57" i="4"/>
  <c r="G45" i="4"/>
  <c r="G33" i="4"/>
  <c r="G21" i="4"/>
  <c r="G12" i="4"/>
  <c r="G10" i="4"/>
  <c r="G8" i="4"/>
  <c r="G6" i="4"/>
  <c r="G4" i="4"/>
  <c r="G2" i="4"/>
  <c r="G14" i="4"/>
  <c r="G95" i="4"/>
  <c r="G83" i="4"/>
  <c r="G71" i="4"/>
  <c r="G59" i="4"/>
  <c r="G47" i="4"/>
  <c r="G35" i="4"/>
  <c r="G23" i="4"/>
  <c r="G16" i="4"/>
  <c r="G179" i="4"/>
  <c r="G167" i="4"/>
  <c r="G155" i="4"/>
  <c r="G143" i="4"/>
  <c r="G131" i="4"/>
  <c r="G119" i="4"/>
  <c r="G107" i="4"/>
  <c r="G73" i="4"/>
  <c r="G61" i="4"/>
  <c r="G49" i="4"/>
  <c r="G37" i="4"/>
  <c r="G181" i="4"/>
  <c r="G169" i="4"/>
  <c r="G157" i="4"/>
  <c r="G145" i="4"/>
  <c r="G133" i="4"/>
  <c r="G121" i="4"/>
  <c r="G109" i="4"/>
  <c r="G97" i="4"/>
  <c r="G85" i="4"/>
  <c r="G87" i="4"/>
  <c r="G75" i="4"/>
  <c r="G63" i="4"/>
  <c r="G51" i="4"/>
  <c r="G39" i="4"/>
  <c r="G27" i="4"/>
  <c r="G13" i="4"/>
  <c r="G11" i="4"/>
  <c r="G9" i="4"/>
  <c r="G7" i="4"/>
  <c r="G5" i="4"/>
  <c r="G3" i="4"/>
  <c r="G171" i="4"/>
  <c r="G159" i="4"/>
  <c r="G147" i="4"/>
  <c r="G135" i="4"/>
  <c r="G123" i="4"/>
  <c r="G111" i="4"/>
  <c r="G99" i="4"/>
  <c r="G15" i="4"/>
  <c r="G89" i="4"/>
  <c r="G77" i="4"/>
  <c r="G65" i="4"/>
  <c r="G53" i="4"/>
  <c r="G41" i="4"/>
  <c r="G29" i="4"/>
  <c r="G17" i="4"/>
  <c r="G173" i="4"/>
  <c r="G161" i="4"/>
  <c r="G149" i="4"/>
  <c r="G137" i="4"/>
  <c r="G125" i="4"/>
  <c r="G113" i="4"/>
  <c r="G101" i="4"/>
  <c r="G19" i="4"/>
  <c r="G175" i="4"/>
  <c r="G163" i="4"/>
  <c r="G151" i="4"/>
  <c r="G139" i="4"/>
  <c r="G127" i="4"/>
  <c r="G115" i="4"/>
  <c r="G103" i="4"/>
  <c r="G91" i="4"/>
  <c r="G79" i="4"/>
  <c r="G67" i="4"/>
  <c r="G55" i="4"/>
  <c r="G43" i="4"/>
  <c r="G31" i="4"/>
  <c r="G25" i="4"/>
  <c r="F22" i="4" l="1"/>
  <c r="F34" i="4"/>
  <c r="F46" i="4"/>
  <c r="F58" i="4"/>
  <c r="F70" i="4"/>
  <c r="F82" i="4"/>
  <c r="F94" i="4"/>
  <c r="F106" i="4"/>
  <c r="F118" i="4"/>
  <c r="F130" i="4"/>
  <c r="F142" i="4"/>
  <c r="F154" i="4"/>
  <c r="F166" i="4"/>
  <c r="F178" i="4"/>
  <c r="F18" i="4"/>
  <c r="F30" i="4"/>
  <c r="F42" i="4"/>
  <c r="F54" i="4"/>
  <c r="F66" i="4"/>
  <c r="F78" i="4"/>
  <c r="F90" i="4"/>
  <c r="F102" i="4"/>
  <c r="F114" i="4"/>
  <c r="F126" i="4"/>
  <c r="F138" i="4"/>
  <c r="F150" i="4"/>
  <c r="F162" i="4"/>
  <c r="F174" i="4"/>
  <c r="F16" i="4"/>
  <c r="F26" i="4"/>
  <c r="F38" i="4"/>
  <c r="F50" i="4"/>
  <c r="F62" i="4"/>
  <c r="F74" i="4"/>
  <c r="F86" i="4"/>
  <c r="F98" i="4"/>
  <c r="F110" i="4"/>
  <c r="F122" i="4"/>
  <c r="F134" i="4"/>
  <c r="F146" i="4"/>
  <c r="F158" i="4"/>
  <c r="F170" i="4"/>
  <c r="F36" i="4"/>
  <c r="F48" i="4"/>
  <c r="F60" i="4"/>
  <c r="F72" i="4"/>
  <c r="F84" i="4"/>
  <c r="F96" i="4"/>
  <c r="F108" i="4"/>
  <c r="F120" i="4"/>
  <c r="F132" i="4"/>
  <c r="F144" i="4"/>
  <c r="F156" i="4"/>
  <c r="F168" i="4"/>
  <c r="F180" i="4"/>
</calcChain>
</file>

<file path=xl/sharedStrings.xml><?xml version="1.0" encoding="utf-8"?>
<sst xmlns="http://schemas.openxmlformats.org/spreadsheetml/2006/main" count="5651" uniqueCount="559">
  <si>
    <t>種類コード</t>
  </si>
  <si>
    <t>種類名</t>
  </si>
  <si>
    <t>設計工数（日）</t>
  </si>
  <si>
    <t>製作工数（日）</t>
  </si>
  <si>
    <t>Die</t>
  </si>
  <si>
    <t>Die（金型）</t>
  </si>
  <si>
    <t>TP</t>
  </si>
  <si>
    <t>TP（トリム型）</t>
  </si>
  <si>
    <t>Tem</t>
  </si>
  <si>
    <t>Tem（ベント落とし）</t>
  </si>
  <si>
    <t>Mill</t>
  </si>
  <si>
    <t>Mill（加工治具）</t>
  </si>
  <si>
    <t>GC</t>
  </si>
  <si>
    <t>GC（切断治具）</t>
  </si>
  <si>
    <t>Ins</t>
  </si>
  <si>
    <t>Ins（検査治具）</t>
  </si>
  <si>
    <t>S</t>
  </si>
  <si>
    <t>S（強度試験治具）</t>
  </si>
  <si>
    <t>Other</t>
  </si>
  <si>
    <t>Other（その他）</t>
  </si>
  <si>
    <t>受注番号</t>
  </si>
  <si>
    <t>製品品番</t>
  </si>
  <si>
    <t>製作アイテム</t>
  </si>
  <si>
    <t>種類</t>
  </si>
  <si>
    <t>設計担当者</t>
  </si>
  <si>
    <t>製作担当者</t>
  </si>
  <si>
    <t>依頼担当者名</t>
  </si>
  <si>
    <t>依頼部署</t>
  </si>
  <si>
    <t>納期</t>
  </si>
  <si>
    <t>見積り金額</t>
  </si>
  <si>
    <t>備考</t>
  </si>
  <si>
    <t>0.5882352941176471</t>
  </si>
  <si>
    <t/>
  </si>
  <si>
    <t>売上予定</t>
  </si>
  <si>
    <t>079618-1380スリーブ</t>
  </si>
  <si>
    <t>型番ピン４</t>
  </si>
  <si>
    <t>1</t>
  </si>
  <si>
    <t>2025.11.3</t>
  </si>
  <si>
    <t>2025.12.8</t>
  </si>
  <si>
    <t>2026.1.9</t>
  </si>
  <si>
    <t>11-652</t>
  </si>
  <si>
    <t>ﾄﾘﾑ型_新作</t>
  </si>
  <si>
    <t>SRK-TN向け　部品点数多</t>
  </si>
  <si>
    <t>11-658B-1</t>
  </si>
  <si>
    <t>SRK-TN向け</t>
  </si>
  <si>
    <t>11-661B-1</t>
  </si>
  <si>
    <t>11220W080P-13</t>
  </si>
  <si>
    <t>金型_修理</t>
  </si>
  <si>
    <t>切断治具_改造</t>
  </si>
  <si>
    <t>11220W090P-13</t>
  </si>
  <si>
    <t>金型_修正</t>
  </si>
  <si>
    <t>押ﾋﾟﾝ孔ﾊﾞﾘ修正(47,850)  分流子押ﾋﾟﾝ追加(177,320)</t>
  </si>
  <si>
    <t>12-382</t>
  </si>
  <si>
    <t>更新3次型_修正</t>
  </si>
  <si>
    <t>更新2次型_ﾛｯﾄﾏｰｸﾋﾟﾝ</t>
  </si>
  <si>
    <t>12-382B-1</t>
  </si>
  <si>
    <t>更新3次型（前型八州）</t>
  </si>
  <si>
    <t>122ｓ</t>
  </si>
  <si>
    <t>A型_部品</t>
  </si>
  <si>
    <t>3/24現　タイマ処理中</t>
  </si>
  <si>
    <t>12305-B2430</t>
  </si>
  <si>
    <t>切断治具_新作</t>
  </si>
  <si>
    <t>ﾍﾞﾝﾄ落とし_新作</t>
  </si>
  <si>
    <t>強度試験治具</t>
  </si>
  <si>
    <t>加工治具_新作　</t>
  </si>
  <si>
    <t>S500平置き仕様</t>
  </si>
  <si>
    <t>金型_改造</t>
  </si>
  <si>
    <t>金型のポカヨケ移動工事(溶接埋め→新しい位置に掘り込み)</t>
  </si>
  <si>
    <t>12306-B2150</t>
  </si>
  <si>
    <t>更新7,8,9次型_ﾛｯﾄﾏｰｸﾋﾟﾝ</t>
  </si>
  <si>
    <t>技術依頼分</t>
  </si>
  <si>
    <t>123s</t>
  </si>
  <si>
    <t>固定2ｘ12</t>
  </si>
  <si>
    <t>固定3ｘ12</t>
  </si>
  <si>
    <t>可動2-13 x12</t>
  </si>
  <si>
    <t>1340ｓ</t>
  </si>
  <si>
    <t>ﾄﾘﾑ型_部品</t>
  </si>
  <si>
    <t>下刃</t>
  </si>
  <si>
    <t>1380ｓ</t>
  </si>
  <si>
    <t>W/C渋滞待ち</t>
  </si>
  <si>
    <t>14-244</t>
  </si>
  <si>
    <t>14-247</t>
  </si>
  <si>
    <t>14-250</t>
  </si>
  <si>
    <t>14-253</t>
  </si>
  <si>
    <t>14-260</t>
  </si>
  <si>
    <t>14-260 Inner(ﾀｺﾏ)</t>
  </si>
  <si>
    <t>外周PLはVLで拾う</t>
  </si>
  <si>
    <t>14-260A-1(UN-438)</t>
  </si>
  <si>
    <t>更新次型_ﾛｯﾄﾏｰｸﾋﾟﾝ</t>
  </si>
  <si>
    <t>14-264 Inner(ﾀｺﾏ)</t>
  </si>
  <si>
    <t>外周PLはVLで拾う　開発中止につき調整休止</t>
  </si>
  <si>
    <t>14-267</t>
  </si>
  <si>
    <t>14-267 Inner(ﾀｺﾏ)</t>
  </si>
  <si>
    <t>14-270 Inner(ﾀｺﾏ)</t>
  </si>
  <si>
    <t>146250-4470</t>
  </si>
  <si>
    <t>光ss ｱﾙﾐﾌﾞﾗｹｯﾄ</t>
  </si>
  <si>
    <t>コンタ切断治具</t>
  </si>
  <si>
    <t>15821-04995　ベアリングケース　ホイル2</t>
  </si>
  <si>
    <t>鋳抜きピン冷却径拡大</t>
  </si>
  <si>
    <t>最低価格記載　　ピン４本放電</t>
  </si>
  <si>
    <t>17A03Z1Da00</t>
  </si>
  <si>
    <t>試作鋳造金型</t>
  </si>
  <si>
    <t>試加工治具</t>
  </si>
  <si>
    <t>17A03Z4Da00</t>
  </si>
  <si>
    <t>17A0C8PAa00</t>
  </si>
  <si>
    <t>試作型_新作</t>
  </si>
  <si>
    <t>納期厳守</t>
  </si>
  <si>
    <t>加工治具 _新作</t>
  </si>
  <si>
    <t>22-158F</t>
  </si>
  <si>
    <t>3pin,4pin</t>
  </si>
  <si>
    <t>ﾍﾞﾝﾄ落とし_部品</t>
  </si>
  <si>
    <t>ミスミ部品</t>
  </si>
  <si>
    <t>48331-48090-RING</t>
  </si>
  <si>
    <t>SupportRing(HPDC350t-8)1st</t>
  </si>
  <si>
    <t>ﾄﾘﾑ型_修正</t>
  </si>
  <si>
    <t>設計ミスの為、購入品費のみ</t>
  </si>
  <si>
    <t>56PL設変 L</t>
  </si>
  <si>
    <t>SRK-TN (350tx1)　3連ﾄﾘﾑ  5/中に送る  →　出図いつ？</t>
  </si>
  <si>
    <t>(1000tx2)</t>
  </si>
  <si>
    <t>56PL設変 R</t>
  </si>
  <si>
    <t>6AUｺﾝﾛｯﾄ</t>
  </si>
  <si>
    <t>88431-B2050-H</t>
  </si>
  <si>
    <t>加工治具_改造</t>
  </si>
  <si>
    <t>99103-00122</t>
  </si>
  <si>
    <t>金型部品_固定2</t>
  </si>
  <si>
    <t>金型部品_固定3</t>
  </si>
  <si>
    <t>更新12次型_新作</t>
  </si>
  <si>
    <t>更新13次型_新作</t>
  </si>
  <si>
    <t>99103-00123</t>
  </si>
  <si>
    <t>自動バリ取り機_部品</t>
  </si>
  <si>
    <t>金型部品</t>
  </si>
  <si>
    <t>固定③ｘ12</t>
  </si>
  <si>
    <t>更新29次型_新作</t>
  </si>
  <si>
    <t>更新28次型_新作</t>
  </si>
  <si>
    <t>99103-00137</t>
  </si>
  <si>
    <t>名光精機</t>
  </si>
  <si>
    <t>A1017</t>
  </si>
  <si>
    <t>ﾛｯﾄﾏｰｸﾋﾟﾝ(2026年)</t>
  </si>
  <si>
    <t>A1018</t>
  </si>
  <si>
    <t>１次型_ﾛｯﾄﾏｰｸﾋﾟﾝ 再製作</t>
  </si>
  <si>
    <t>再製作</t>
  </si>
  <si>
    <t>A2030B0A</t>
  </si>
  <si>
    <t>更新1次型_ﾛｯﾄﾏｰｸﾋﾟﾝ</t>
  </si>
  <si>
    <t>技術依頼分　多分写真はA2030B10と書いてるやつ</t>
  </si>
  <si>
    <t>A2030B10</t>
  </si>
  <si>
    <t>２面幅変形確認ｹﾞｰｼﾞ_新作</t>
  </si>
  <si>
    <t>素材変形確認ﾋﾟｯﾁｹﾞｰｼﾞ_新作</t>
  </si>
  <si>
    <t>A2032B00</t>
  </si>
  <si>
    <t>A2032B10</t>
  </si>
  <si>
    <t>加工治具_部品</t>
  </si>
  <si>
    <t>変換ﾌﾟﾚｰﾄのみ製作</t>
  </si>
  <si>
    <t>BMEN830</t>
  </si>
  <si>
    <t>新規金型_新作</t>
  </si>
  <si>
    <t>シマノ新規</t>
  </si>
  <si>
    <t>一次型_改造</t>
  </si>
  <si>
    <t>BMEN830
LOWER</t>
  </si>
  <si>
    <t>ゲージ_新作</t>
  </si>
  <si>
    <t>BMEN830
UPPER</t>
  </si>
  <si>
    <t>BMEN830 LOWER</t>
  </si>
  <si>
    <t>真空ﾌﾞﾛｯｸ_部品</t>
  </si>
  <si>
    <t>真空ブロック製作及びチルベントに取付タップ追加工</t>
  </si>
  <si>
    <t>BMEN830 UPPER</t>
  </si>
  <si>
    <t>ガス抜き追加</t>
  </si>
  <si>
    <t>BR-M8100 L</t>
  </si>
  <si>
    <t>製品押さえ</t>
  </si>
  <si>
    <t>樹脂</t>
  </si>
  <si>
    <t>BR-M8100 R</t>
  </si>
  <si>
    <t>BRG8000-L</t>
  </si>
  <si>
    <t>加工治具_新作</t>
  </si>
  <si>
    <t>１工程目(ｲﾝﾃﾞｨｯｸｽ)</t>
  </si>
  <si>
    <t>3.4工程目(旋盤)　２台製作（60万×2台＝100万）</t>
  </si>
  <si>
    <t>2工程目(５軸)</t>
  </si>
  <si>
    <t>BRG8000-LR</t>
  </si>
  <si>
    <t>1工程加工ﾋﾟｯﾁ確認治具</t>
  </si>
  <si>
    <t>BRG8000-R</t>
  </si>
  <si>
    <t>６月　LO　５月set up HVPT</t>
  </si>
  <si>
    <t>BRG8000L</t>
  </si>
  <si>
    <t>同軸ｹﾞｰｼﾞ</t>
  </si>
  <si>
    <t>ﾋﾟｯﾁｹﾞｰｼﾞ</t>
  </si>
  <si>
    <t>３次元測定治具</t>
  </si>
  <si>
    <t>形状測定治具</t>
  </si>
  <si>
    <t>輪郭ｹﾞｰｼﾞ</t>
  </si>
  <si>
    <t>加工治具_調整</t>
  </si>
  <si>
    <t>BRG8000R</t>
  </si>
  <si>
    <t>ﾋﾟｯﾁｹﾞｰｼﾞ,輪郭ｹﾞｰｼﾞ</t>
  </si>
  <si>
    <t>CS-M8000</t>
  </si>
  <si>
    <t>125t つば付きﾌﾗﾝｼﾞ</t>
  </si>
  <si>
    <t>CS-M8100-B</t>
  </si>
  <si>
    <t>更新5次型_部品</t>
  </si>
  <si>
    <t>セレーションピン新作</t>
  </si>
  <si>
    <t>CS-R8100 LowB</t>
  </si>
  <si>
    <t>破損修正</t>
  </si>
  <si>
    <t>CSLG700 Spider</t>
  </si>
  <si>
    <t>ﾄﾘﾑ型_改造</t>
  </si>
  <si>
    <t>CSM8100-B</t>
  </si>
  <si>
    <t>予備ｾﾚｰｼｮﾝﾋﾟﾝ</t>
  </si>
  <si>
    <t>CSR8100</t>
  </si>
  <si>
    <t>つば付きﾌﾗﾝｼﾞ</t>
  </si>
  <si>
    <t>DA-654</t>
  </si>
  <si>
    <t>φ3水抜き孔ﾋﾟﾝ</t>
  </si>
  <si>
    <t>DA-695</t>
  </si>
  <si>
    <t>ﾄﾘﾑ型_修理</t>
  </si>
  <si>
    <t>DFR9 28 681/2</t>
  </si>
  <si>
    <t>DFR9 28 681/682</t>
  </si>
  <si>
    <t>EY-183</t>
  </si>
  <si>
    <t>EY-201</t>
  </si>
  <si>
    <t>EY-205</t>
  </si>
  <si>
    <t>FCRX810</t>
  </si>
  <si>
    <t>検査ﾋﾟﾝ</t>
  </si>
  <si>
    <t>外製部向け</t>
  </si>
  <si>
    <t>FDR9350</t>
  </si>
  <si>
    <t>同軸ｹﾞｰｼﾞ _新作</t>
  </si>
  <si>
    <t>測定治具</t>
  </si>
  <si>
    <t>「337606</t>
  </si>
  <si>
    <t>２台目</t>
  </si>
  <si>
    <t>G/C下ベース</t>
  </si>
  <si>
    <t>ベース板</t>
  </si>
  <si>
    <t>G2315-B5010</t>
  </si>
  <si>
    <t>ﾎﾟｶﾖｹ回収ﾎﾞｯｸｽ設置</t>
  </si>
  <si>
    <t>G2315-D47T1</t>
  </si>
  <si>
    <t>ﾍﾞﾝﾄ落とし_改造</t>
  </si>
  <si>
    <t>OF飛散防止</t>
  </si>
  <si>
    <t>G2321-5030 D47T1</t>
  </si>
  <si>
    <t>G2325-B5010</t>
  </si>
  <si>
    <t>G2325-D47T1</t>
  </si>
  <si>
    <t>GF600826</t>
  </si>
  <si>
    <t>更新6次型_ﾛｯﾄﾏｰｸﾋﾟﾝ</t>
  </si>
  <si>
    <t>GF600827</t>
  </si>
  <si>
    <t>更新3次型_ﾛｯﾄﾏｰｸﾋﾟﾝ</t>
  </si>
  <si>
    <t>HZ-261</t>
  </si>
  <si>
    <t>HZ-303</t>
  </si>
  <si>
    <t>７次型_部品</t>
  </si>
  <si>
    <t>ﾁﾙﾍﾞﾝﾄ</t>
  </si>
  <si>
    <t>HZ-351</t>
  </si>
  <si>
    <t>HZ312</t>
  </si>
  <si>
    <t>JJA37</t>
  </si>
  <si>
    <t>ﾛｯﾄﾏｰｸﾋﾟﾝ</t>
  </si>
  <si>
    <t>JLA17</t>
  </si>
  <si>
    <t>名光精機依頼　組付け中</t>
  </si>
  <si>
    <t>JLA17-000010</t>
  </si>
  <si>
    <t>JT75 BRKT</t>
  </si>
  <si>
    <t>ﾄﾘﾑ型 _改造</t>
  </si>
  <si>
    <t>（ﾏﾆﾎｰﾙﾄﾞ追加）課内ミスの為費用取れず</t>
  </si>
  <si>
    <t>JT75 SPINDLE BRKT</t>
  </si>
  <si>
    <t>K1054</t>
  </si>
  <si>
    <t>更新8次型_ﾛｯﾄﾏｰｸﾋﾟﾝ</t>
  </si>
  <si>
    <t>K1065</t>
  </si>
  <si>
    <t>更新8,9次型_ﾛｯﾄﾏｰｸﾋﾟﾝ</t>
  </si>
  <si>
    <t>K1084</t>
  </si>
  <si>
    <t>更新４次型_修理</t>
  </si>
  <si>
    <t>水抜き孔修理</t>
  </si>
  <si>
    <t>更新5次型_ﾛｯﾄﾏｰｸﾋﾟﾝ</t>
  </si>
  <si>
    <t>更新4次型_修正</t>
  </si>
  <si>
    <t>溶損修理＋タフト　金額UP</t>
  </si>
  <si>
    <t>K1103</t>
  </si>
  <si>
    <t>ﾛｯﾄﾏｰｸﾋﾟﾝ(2026年)　</t>
  </si>
  <si>
    <t>K1108</t>
  </si>
  <si>
    <t>更新3次型_部品</t>
  </si>
  <si>
    <t>ｽﾗｲﾄﾞﾋﾟﾝ</t>
  </si>
  <si>
    <t>更新３次型_ﾛｯﾄﾏｰｸﾋﾟﾝ</t>
  </si>
  <si>
    <t>月ﾛｯﾄﾏｰｸﾋﾟﾝ</t>
  </si>
  <si>
    <t>12か月分</t>
  </si>
  <si>
    <t>K1113</t>
  </si>
  <si>
    <t>更新4次型_ﾛｯﾄﾏｰｸﾋﾟﾝ</t>
  </si>
  <si>
    <t>嵩上げ。生援 田代B　製作中止　材料購入済　検収OK</t>
  </si>
  <si>
    <t>K1133B30</t>
  </si>
  <si>
    <t>K2085からK1133仕様へ改造</t>
  </si>
  <si>
    <t>金型_部品</t>
  </si>
  <si>
    <t>4月完成　DHA－サーモ材にて２ケ新作</t>
  </si>
  <si>
    <t>K2030B0D</t>
  </si>
  <si>
    <t>更新12,13次型_ﾛｯﾄﾏｰｸﾋﾟﾝ</t>
  </si>
  <si>
    <t>更新10,11次型_ﾛｯﾄﾏｰｸﾋﾟﾝ</t>
  </si>
  <si>
    <t>K2045</t>
  </si>
  <si>
    <t>爪</t>
  </si>
  <si>
    <t>２分割４セット</t>
  </si>
  <si>
    <t>K2045B1C</t>
  </si>
  <si>
    <t>更新12,13,14,15次型_ﾛｯﾄﾏｰｸﾋﾟﾝ</t>
  </si>
  <si>
    <t>K2046</t>
  </si>
  <si>
    <t>更新10次型_ﾛｯﾄﾏｰｸﾋﾟﾝ</t>
  </si>
  <si>
    <t>K2068B1C</t>
  </si>
  <si>
    <t>更新7,8次型_ﾛｯﾄﾏｰｸﾋﾟﾝ</t>
  </si>
  <si>
    <t>K2068B20</t>
  </si>
  <si>
    <t>ランナー受けのみ3D形状なし、払い戻し側側見て左（出図待ち、予定2025.6.26）</t>
  </si>
  <si>
    <t>K2070</t>
  </si>
  <si>
    <t>技術依頼分  固定方取られ調整</t>
  </si>
  <si>
    <t>更新６次型_ﾛｯﾄﾏｰｸﾋﾟﾝ</t>
  </si>
  <si>
    <t>ﾛｯﾄﾏｰｸﾋﾟﾝ一式</t>
  </si>
  <si>
    <t>6次型_修正</t>
  </si>
  <si>
    <t>クラック修正</t>
  </si>
  <si>
    <t>K2089</t>
  </si>
  <si>
    <t>型ﾒｰｶｰの指示と形状の相違ありの為</t>
  </si>
  <si>
    <t>K20シリーズ</t>
  </si>
  <si>
    <t>加工ハンド</t>
  </si>
  <si>
    <t>樹脂15ケ　プレート１・２各２枚づつ</t>
  </si>
  <si>
    <t>K4006</t>
  </si>
  <si>
    <t>更新7次型_ﾛｯﾄﾏｰｸﾋﾟﾝ</t>
  </si>
  <si>
    <t>K4007</t>
  </si>
  <si>
    <t>10月??????</t>
  </si>
  <si>
    <t>加工治具 _改造</t>
  </si>
  <si>
    <t>ランナーEP,ﾋﾟﾝｽﾘｰﾌﾞ取り除き</t>
  </si>
  <si>
    <t>K4012</t>
  </si>
  <si>
    <t>技術依頼分 8.9次型のみ</t>
  </si>
  <si>
    <t>K4019</t>
  </si>
  <si>
    <t>更新２次型_ﾛｯﾄﾏｰｸﾋﾟﾝ</t>
  </si>
  <si>
    <t>KE01A22300</t>
  </si>
  <si>
    <t>MJ117-36053</t>
  </si>
  <si>
    <t>NAK576A392</t>
  </si>
  <si>
    <t>真空ブロック</t>
  </si>
  <si>
    <t>金型改造</t>
  </si>
  <si>
    <t>ND-111</t>
  </si>
  <si>
    <t>NZ-060</t>
  </si>
  <si>
    <t>PDR8200</t>
  </si>
  <si>
    <t>強度試験治具_新作</t>
  </si>
  <si>
    <t>PEDL AXLE(外製部向け)</t>
  </si>
  <si>
    <t>PZ119-00D67</t>
  </si>
  <si>
    <t>追加工治具</t>
  </si>
  <si>
    <t>12361‐38310用</t>
  </si>
  <si>
    <t>RD-G8000 OUTER LINK</t>
  </si>
  <si>
    <t>3次元測定用治具</t>
  </si>
  <si>
    <t>RDG8000 OUTER LINK</t>
  </si>
  <si>
    <t>ｹﾞｰｼﾞ</t>
  </si>
  <si>
    <t>3/20出図予定</t>
  </si>
  <si>
    <t>RF3264-11</t>
  </si>
  <si>
    <t>更新11,12次型_ﾛｯﾄﾏｰｸﾋﾟﾝ</t>
  </si>
  <si>
    <t>RF3264-14</t>
  </si>
  <si>
    <t>RF3265-11</t>
  </si>
  <si>
    <t>RJ-0624</t>
  </si>
  <si>
    <t>型待ち　大野次長3/26連絡済　3/30夕方大野次長持ってくる</t>
  </si>
  <si>
    <t>RJ0624-17</t>
  </si>
  <si>
    <t>更新9次型_ﾛｯﾄﾏｰｸﾋﾟﾝ</t>
  </si>
  <si>
    <t>STR7020</t>
  </si>
  <si>
    <t>ﾃｰﾊﾟｰ付きねじｹﾞｰｼﾞ</t>
  </si>
  <si>
    <t>金型ﾀﾞｲﾊﾞﾙﾌﾞ押さえ版</t>
  </si>
  <si>
    <t>佐藤顧問依頼　8個</t>
  </si>
  <si>
    <t>TG-719</t>
  </si>
  <si>
    <t>ﾘﾋﾟｰﾄ 2x2set</t>
  </si>
  <si>
    <t>TG-719-01</t>
  </si>
  <si>
    <t>更新40-44次型_ﾛｯﾄﾏｰｸﾋﾟﾝ</t>
  </si>
  <si>
    <t>TK-001</t>
  </si>
  <si>
    <t>TK-056-2</t>
  </si>
  <si>
    <t>更新2次型_新作</t>
  </si>
  <si>
    <t>TK-087</t>
  </si>
  <si>
    <t>更新3次型_新作</t>
  </si>
  <si>
    <t>ｺｱﾋﾟﾝ製作</t>
  </si>
  <si>
    <t>更新２次型_部品</t>
  </si>
  <si>
    <t>鋳抜きﾋﾟﾝ</t>
  </si>
  <si>
    <t>更新2次型_部品</t>
  </si>
  <si>
    <t>固定入子ﾋﾟﾝ</t>
  </si>
  <si>
    <t>TK-092</t>
  </si>
  <si>
    <t>押し出しﾋﾟﾝ</t>
  </si>
  <si>
    <t>TK-308</t>
  </si>
  <si>
    <t>更新２次型_ﾛｯﾄﾏｰｸﾋﾟﾝ 再製作</t>
  </si>
  <si>
    <t>TK-314</t>
  </si>
  <si>
    <t>ﾊﾞﾘ立ち修正</t>
  </si>
  <si>
    <t>TK-329</t>
  </si>
  <si>
    <t>更新４次型_ﾛｯﾄﾏｰｸﾋﾟﾝ 再製作</t>
  </si>
  <si>
    <t>TK-340</t>
  </si>
  <si>
    <t>金型工事</t>
  </si>
  <si>
    <t>9/15依頼、9/18完成希望   押しﾋﾟﾝｽﾘｰﾌﾞ加工調整</t>
  </si>
  <si>
    <t>TK-438</t>
  </si>
  <si>
    <t>No2.PDC化</t>
  </si>
  <si>
    <t>TK477</t>
  </si>
  <si>
    <t>TQ-427</t>
  </si>
  <si>
    <t>ﾋﾟｯﾁｹﾞｰｼﾞ_修正</t>
  </si>
  <si>
    <t>TQ-471</t>
  </si>
  <si>
    <t>ﾊﾞﾘ取り・加工検査機</t>
  </si>
  <si>
    <t>改造準備、在庫確保待ち</t>
  </si>
  <si>
    <t>TQ471</t>
  </si>
  <si>
    <t>更新4-7次型_ﾛｯﾄﾏｰｸﾋﾟﾝ</t>
  </si>
  <si>
    <t>UN-329</t>
  </si>
  <si>
    <t>技術分？</t>
  </si>
  <si>
    <t>UN-442A-1(14-267A-1)</t>
  </si>
  <si>
    <t>UN-444A-2(14-270A-1)</t>
  </si>
  <si>
    <t>VB-206</t>
  </si>
  <si>
    <t>VB-295A-1　1次</t>
  </si>
  <si>
    <t>焼き入れ品にて新作</t>
  </si>
  <si>
    <t>VB-459</t>
  </si>
  <si>
    <t>VB-459A-2</t>
  </si>
  <si>
    <t>ﾌﾟﾚｽかじりの調整</t>
  </si>
  <si>
    <t>VB-487</t>
  </si>
  <si>
    <t>VB-498A-2</t>
  </si>
  <si>
    <t>VB487</t>
  </si>
  <si>
    <t>VC-051-02</t>
  </si>
  <si>
    <t>更新2.3次型_ﾛｯﾄﾏｰｸﾋﾟﾝ</t>
  </si>
  <si>
    <t>技術依頼分  焼き入れ</t>
  </si>
  <si>
    <t>VC-051-1</t>
  </si>
  <si>
    <t>ﾌﾟﾚｰﾄ位置決め反対につける</t>
  </si>
  <si>
    <t>ロボットハンド爪剣山</t>
  </si>
  <si>
    <t>2次ﾄﾘﾑ型_改造</t>
  </si>
  <si>
    <t>2次ﾌﾟﾚｽ</t>
  </si>
  <si>
    <t>上刃欠け</t>
  </si>
  <si>
    <t>下型改造内容の図面反映と正規部品への置き換え</t>
  </si>
  <si>
    <t>メタコン設置</t>
  </si>
  <si>
    <t>VC-051-2</t>
  </si>
  <si>
    <t>2台目改造</t>
  </si>
  <si>
    <t>10/13依頼、10/14納期厳守</t>
  </si>
  <si>
    <t>ランナー改造</t>
  </si>
  <si>
    <t>1次型改造　見積変更有</t>
  </si>
  <si>
    <t>加工治具_新作 3rd</t>
  </si>
  <si>
    <t>加工治具_新作 4th</t>
  </si>
  <si>
    <t>カラー、分流子 2次型用</t>
  </si>
  <si>
    <t>分流子、カラー、主型加工、組付け　3rd</t>
  </si>
  <si>
    <t>1次型_部品</t>
  </si>
  <si>
    <t>ﾛｯﾄﾏｰｸﾋﾟﾝ 焼き有</t>
  </si>
  <si>
    <t>ﾋﾟｯﾁｹﾞｰｼﾞ_改造</t>
  </si>
  <si>
    <t>VC-051A-2　1次</t>
  </si>
  <si>
    <t>焼き入れ品にて新作　3/31ピン入荷⇒NC⇒当日出荷予定</t>
  </si>
  <si>
    <t>VC-051A-2　2次</t>
  </si>
  <si>
    <t>VC-052-02</t>
  </si>
  <si>
    <t>VC-052-1</t>
  </si>
  <si>
    <t>予定</t>
  </si>
  <si>
    <t>VC-052-2</t>
  </si>
  <si>
    <t>加工治具_新作_3rd</t>
  </si>
  <si>
    <t>加工治具_新作_4rd</t>
  </si>
  <si>
    <t>切断治具 _改造</t>
  </si>
  <si>
    <t>EP折れ除去</t>
  </si>
  <si>
    <t>予定？  治具待ち</t>
  </si>
  <si>
    <t>VC-262</t>
  </si>
  <si>
    <t>350tﾗｲﾝ用</t>
  </si>
  <si>
    <t>VC-263</t>
  </si>
  <si>
    <t>ｷｬﾘﾊﾟｰ BRKT</t>
  </si>
  <si>
    <t>TOYOTA 　㋃末までに→GW明けでもOK</t>
  </si>
  <si>
    <t>TOYOTA　夏量産</t>
  </si>
  <si>
    <t>ｽﾃｱﾘﾝｸﾞﾎﾞｽ</t>
  </si>
  <si>
    <t>ﾀﾞｲﾒﾀLH</t>
  </si>
  <si>
    <t>ﾛｰﾀｰﾊﾌﾞ</t>
  </si>
  <si>
    <t>営業</t>
  </si>
  <si>
    <t>ｼﾏﾉ廃棄型処理</t>
  </si>
  <si>
    <t>ﾛﾎﾞｯﾄﾊﾝﾄﾞ_assy</t>
  </si>
  <si>
    <t>加工</t>
  </si>
  <si>
    <t>バリ取り器_部品</t>
  </si>
  <si>
    <t>TG-719用 回転砥石</t>
  </si>
  <si>
    <t>外製</t>
  </si>
  <si>
    <t>ｽﾘｯﾄｹﾞｰｼﾞ_改造</t>
  </si>
  <si>
    <t>技術</t>
  </si>
  <si>
    <t>冷却ﾌﾟﾚｰﾄ</t>
  </si>
  <si>
    <t>油圧ﾏﾆﾎｰﾙﾄﾞｘ20</t>
  </si>
  <si>
    <t>六角ﾏﾆﾎｰﾙﾄﾞ</t>
  </si>
  <si>
    <t>角ﾏﾆﾎｰﾙﾄﾞ</t>
  </si>
  <si>
    <t>ｽﾌﾟﾚｰｶｾｯﾄA</t>
  </si>
  <si>
    <t>738300 10/16見積分 ﾏﾆﾎｰﾙﾄﾞ200 取付けプレート150</t>
  </si>
  <si>
    <t>標準ｽﾌﾟﾚｰｶｾｯﾄ</t>
  </si>
  <si>
    <t>x10</t>
  </si>
  <si>
    <t>ﾘﾀﾙﾎﾞﾝ潤滑装置_部品</t>
  </si>
  <si>
    <t>金型部品(12306-B2170)</t>
  </si>
  <si>
    <t>4set</t>
  </si>
  <si>
    <t>仕様変更品　 注文書は104,774</t>
  </si>
  <si>
    <t>ｽﾌﾟﾚｰｶｾｯﾄ125T用</t>
  </si>
  <si>
    <t>本社仕様</t>
  </si>
  <si>
    <t>２分→１分</t>
  </si>
  <si>
    <t>冷却ﾏﾆﾎｰﾙﾄﾞ(集合２系統)</t>
  </si>
  <si>
    <t>K4000用加工治具</t>
  </si>
  <si>
    <t>初品加工用</t>
  </si>
  <si>
    <t>試作ｽﾄﾗｯﾄ</t>
  </si>
  <si>
    <t>春近ss</t>
  </si>
  <si>
    <t>ﾋﾟｯﾁｹﾞｰｼﾞ_新作</t>
  </si>
  <si>
    <t>生援</t>
  </si>
  <si>
    <t>BEET 28681/682</t>
  </si>
  <si>
    <t>中継ﾎﾞｯｸｽﾌﾞﾗｹｯﾄ</t>
  </si>
  <si>
    <t>3月鈑金入荷予定⇒出荷と成る</t>
  </si>
  <si>
    <t>生技</t>
  </si>
  <si>
    <t>1000tﾊﾝﾄﾞﾌﾞﾛｯｸ</t>
  </si>
  <si>
    <t>ｼｮｯﾄ機ｼｬﾌﾄ</t>
  </si>
  <si>
    <t>ｶﾒﾗ取付ﾌﾞﾗｹｯﾄ_部品</t>
  </si>
  <si>
    <t>反転機部品</t>
  </si>
  <si>
    <t>ｼｮｯﾄ機_部品</t>
  </si>
  <si>
    <t>ﾛﾎﾞｯﾄﾊﾝﾄﾞ_部品</t>
  </si>
  <si>
    <t>シャフト x10</t>
  </si>
  <si>
    <t>ｶﾒﾗ検査ｽﾄｯｶｰ用</t>
  </si>
  <si>
    <t>K4000用ｼﾘﾝﾀﾞ取付ﾌﾟﾚｰﾄ</t>
  </si>
  <si>
    <t>ﾌﾟﾚｽ蹴り出し棒</t>
  </si>
  <si>
    <t>K4000用2次側ﾊﾝﾄﾞ一式</t>
  </si>
  <si>
    <t>ｶﾒﾗ取付ﾌﾞﾗｹｯﾄ</t>
  </si>
  <si>
    <t>切断機払い出し用ｼｬﾌﾄ</t>
  </si>
  <si>
    <t>特殊仕様 x4</t>
  </si>
  <si>
    <t>TP標ﾔｸﾞﾗ</t>
  </si>
  <si>
    <t>ﾛﾎﾞｯﾄﾊﾝﾄﾞ爪延長部品</t>
  </si>
  <si>
    <t>離型剤圧送装置_部品</t>
  </si>
  <si>
    <t>ｶﾒﾗ用ﾛﾎﾞｯﾄﾌﾞﾗｹｯﾄ</t>
  </si>
  <si>
    <t>UN440,UN444用ﾊﾝﾄﾞ</t>
  </si>
  <si>
    <t>開発中止の為、発生済み費用分</t>
  </si>
  <si>
    <t xml:space="preserve">生技 </t>
  </si>
  <si>
    <t>試作ﾛｯﾄﾞ</t>
  </si>
  <si>
    <t>製造</t>
  </si>
  <si>
    <t>加圧ﾋﾟﾝ外し用ｽﾍﾟｰｻｰ</t>
  </si>
  <si>
    <t>切断治具_部品</t>
  </si>
  <si>
    <t>切断機共用ジョイント　依頼書(K4006)</t>
  </si>
  <si>
    <t>ﾆｰﾄﾞﾙ弁</t>
  </si>
  <si>
    <t>26年ﾛｯﾄﾏｰｸﾋﾟﾝ一式</t>
  </si>
  <si>
    <t>製造依頼分</t>
  </si>
  <si>
    <t>標準ｽﾌﾟﾚｰｶｾｯﾄ 125t</t>
  </si>
  <si>
    <t>SNK 佐藤顧問発注分 125ｔ  x6 　技術発注分ｘ5</t>
  </si>
  <si>
    <t>11.7 x8    12.5 x8</t>
  </si>
  <si>
    <t>Kﾓｰﾙﾄﾞ型_新作</t>
  </si>
  <si>
    <t>表面事業部</t>
  </si>
  <si>
    <t>表面処理</t>
  </si>
  <si>
    <t>爪部品</t>
  </si>
  <si>
    <t>表面処理外製</t>
  </si>
  <si>
    <t>403Z圧漏れ検査機_新作</t>
  </si>
  <si>
    <t>納期厳守  安全装置追加</t>
  </si>
  <si>
    <t>品管</t>
  </si>
  <si>
    <t>測定治具_新作</t>
  </si>
  <si>
    <t>BMEN830  LOWER BRKT</t>
  </si>
  <si>
    <t>BMEN830  UPPER BRKT</t>
  </si>
  <si>
    <t>FDR9350_ｹﾞｰｼﾞ</t>
  </si>
  <si>
    <t>ﾃｰﾊﾟｰﾈｼﾞ付きﾋﾟﾝｹﾞｰｼﾞ</t>
  </si>
  <si>
    <t>品管 ST-R7020</t>
  </si>
  <si>
    <t>三次元測定用治具</t>
  </si>
  <si>
    <t>No</t>
  </si>
  <si>
    <t>設計担当</t>
  </si>
  <si>
    <t>製作担当</t>
  </si>
  <si>
    <t>設計開始日</t>
  </si>
  <si>
    <t>設計完了日</t>
  </si>
  <si>
    <t>設計ST</t>
  </si>
  <si>
    <t>制作開始日</t>
  </si>
  <si>
    <t>制作完了日</t>
  </si>
  <si>
    <t>制作ST</t>
  </si>
  <si>
    <t>全体ST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</si>
  <si>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</si>
  <si>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</si>
  <si>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</si>
  <si>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</si>
  <si>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</si>
  <si>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</si>
  <si>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</si>
  <si>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</si>
  <si>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</si>
  <si>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</si>
  <si>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</si>
  <si>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</si>
  <si>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未着手</t>
  </si>
  <si>
    <t>完了</t>
  </si>
  <si>
    <t>制作完了</t>
  </si>
  <si>
    <t>出荷済</t>
  </si>
  <si>
    <t>アイテム数</t>
  </si>
  <si>
    <t>設計完了</t>
  </si>
  <si>
    <t>進捗率</t>
  </si>
  <si>
    <t>最終納期</t>
  </si>
  <si>
    <t>金型技術 製作進捗管理 — 使い方</t>
  </si>
  <si>
    <t>■ 進捗管理シート（メイン）— データもガントチャートも1シートに統合</t>
  </si>
  <si>
    <t xml:space="preserve">  A〜H列: 基本情報を入力（受注番号・品番・種類・担当者・納期）</t>
  </si>
  <si>
    <t xml:space="preserve">  I列: 設計開始日を入力 → J列（設計完了日）が自動計算される</t>
  </si>
  <si>
    <t xml:space="preserve">  L列: 制作開始日を入力 → M列（制作完了日）が自動計算される</t>
  </si>
  <si>
    <t xml:space="preserve">  K/N/O列: ステータスをドロップダウンから選択</t>
  </si>
  <si>
    <t xml:space="preserve">  Q列以降: ガントチャート（自動表示。触らなくてOK）</t>
  </si>
  <si>
    <t>■ ガントチャートの見方</t>
  </si>
  <si>
    <t xml:space="preserve">  紫バー = 設計期間（I列〜J列）</t>
  </si>
  <si>
    <t xml:space="preserve">  水色バー = 制作期間（L列〜M列）</t>
  </si>
  <si>
    <t xml:space="preserve">  赤い縦線 = 今日の日付</t>
  </si>
  <si>
    <t>■ ソートについて</t>
  </si>
  <si>
    <t xml:space="preserve">  受注番号・製品名・ステータスなど、どの列でもソートOK</t>
  </si>
  <si>
    <t xml:space="preserve">  ガントバーも一緒に移動するので壊れません</t>
  </si>
  <si>
    <t>■ 自動計算の仕組み</t>
  </si>
  <si>
    <t xml:space="preserve">  設計完了日 = 設計開始日 + リードタイム（リードタイムシートから自動取得）</t>
  </si>
  <si>
    <t xml:space="preserve">  制作完了日 = 制作開始日 + リードタイム</t>
  </si>
  <si>
    <t xml:space="preserve">  リードタイムの日数はリードタイムシートで変更できます</t>
  </si>
  <si>
    <t>■ リードタイムの初期値（仮 — 実態に合わせて調整してください）</t>
  </si>
  <si>
    <t xml:space="preserve">  Die=設計30日/製作45日, TP=20/30, Tem=15/20, Mill=15/25</t>
  </si>
  <si>
    <t xml:space="preserve">  GC=15/20, Ins=10/15, S=10/15, Other=10/15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</si>
</sst>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7" x14ac:knownFonts="1">
    <font>
      <sz val="11"/>
      <color theme="1"/>
      <name val="游ゴシック"/>
      <family val="2"/>
      <scheme val="minor"/>
    </font>
    <font>
      <b/>
      <sz val="11"/>
      <color rgb="FFFFFFFF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b/>
      <sz val="7"/>
      <color rgb="FFFFFFFF"/>
      <name val="游ゴシック"/>
      <family val="3"/>
      <charset val="128"/>
    </font>
    <font>
      <sz val="7"/>
      <color rgb="FF6B7280"/>
      <name val="游ゴシック"/>
      <family val="3"/>
      <charset val="128"/>
    </font>
    <font>
      <b/>
      <sz val="14"/>
      <color rgb="FF1E3A5F"/>
      <name val="游ゴシック"/>
      <family val="3"/>
      <charset val="128"/>
    </font>
    <font>
      <sz val="6"/>
      <name val="游ゴシック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F3F4F6"/>
      </patternFill>
    </fill>
    <fill>
      <patternFill patternType="solid">
        <fgColor rgb="FF1E3A5F"/>
      </patternFill>
    </fill>
    <fill>
      <patternFill patternType="solid">
        <fgColor rgb="FF6D28D9"/>
      </patternFill>
    </fill>
    <fill>
      <patternFill patternType="solid">
        <fgColor rgb="FF0E7490"/>
      </patternFill>
    </fill>
    <fill>
      <patternFill patternType="solid">
        <fgColor rgb="FFB45309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0891B2"/>
      </patternFill>
    </fill>
    <fill>
      <patternFill patternType="solid">
        <fgColor rgb="FF059669"/>
      </patternFill>
    </fill>
    <fill>
      <patternFill patternType="solid">
        <fgColor rgb="FF65A30D"/>
      </patternFill>
    </fill>
    <fill>
      <patternFill patternType="solid">
        <fgColor rgb="FFCA8A04"/>
      </patternFill>
    </fill>
    <fill>
      <patternFill patternType="solid">
        <fgColor rgb="FFEA580C"/>
      </patternFill>
    </fill>
    <fill>
      <patternFill patternType="solid">
        <fgColor rgb="FFDC2626"/>
      </patternFill>
    </fill>
    <fill>
      <patternFill patternType="solid">
        <fgColor rgb="FF9333E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E5E7EB"/>
      </left>
      <right style="hair">
        <color rgb="FFE5E7EB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9" fontId="0" fillId="3" borderId="1" xfId="0" applyNumberFormat="1" applyFill="1" applyBorder="1"/>
    <xf numFmtId="176" fontId="0" fillId="3" borderId="1" xfId="0" applyNumberFormat="1" applyFill="1" applyBorder="1"/>
    <xf numFmtId="0" fontId="0" fillId="0" borderId="1" xfId="0" applyBorder="1"/>
    <xf numFmtId="9" fontId="0" fillId="0" borderId="1" xfId="0" applyNumberFormat="1" applyBorder="1"/>
    <xf numFmtId="176" fontId="0" fillId="0" borderId="1" xfId="0" applyNumberFormat="1" applyBorder="1"/>
    <xf numFmtId="0" fontId="5" fillId="0" borderId="0" xfId="0" applyFont="1"/>
  </cellXfs>
  <cellStyles count="1">
    <cellStyle name="標準" xfId="0" builtinId="0"/>
  </cellStyles>
  <dxfs count="15">
    <dxf>
      <font>
        <b/>
        <color rgb="FFD97706"/>
      </font>
    </dxf>
    <dxf>
      <font>
        <b/>
        <color rgb="FFDC2626"/>
      </font>
    </dxf>
    <dxf>
      <font>
        <color rgb="FF15803D"/>
      </font>
      <fill>
        <patternFill patternType="solid">
          <bgColor rgb="FFDCFCE7"/>
        </patternFill>
      </fill>
    </dxf>
    <dxf>
      <font>
        <color rgb="FF0E7490"/>
      </font>
      <fill>
        <patternFill patternType="solid">
          <bgColor rgb="FFCFFAFE"/>
        </patternFill>
      </fill>
    </dxf>
    <dxf>
      <font>
        <color rgb="FF15803D"/>
      </font>
      <fill>
        <patternFill patternType="solid">
          <bgColor rgb="FFDCFCE7"/>
        </patternFill>
      </fill>
    </dxf>
    <dxf>
      <font>
        <color rgb="FF6D28D9"/>
      </font>
      <fill>
        <patternFill patternType="solid">
          <bgColor rgb="FFEDE9FE"/>
        </patternFill>
      </fill>
    </dxf>
    <dxf>
      <font>
        <color rgb="FF9CA3AF"/>
      </font>
      <fill>
        <patternFill patternType="solid">
          <bgColor rgb="FFE5E7EB"/>
        </patternFill>
      </fill>
    </dxf>
    <dxf>
      <font>
        <color rgb="FF15803D"/>
      </font>
      <fill>
        <patternFill patternType="solid">
          <bgColor rgb="FFDCFCE7"/>
        </patternFill>
      </fill>
    </dxf>
    <dxf>
      <font>
        <color rgb="FF0E7490"/>
      </font>
      <fill>
        <patternFill patternType="solid">
          <bgColor rgb="FFCFFAFE"/>
        </patternFill>
      </fill>
    </dxf>
    <dxf>
      <font>
        <color rgb="FF1D4ED8"/>
      </font>
      <fill>
        <patternFill patternType="solid">
          <bgColor rgb="FFDBEAFE"/>
        </patternFill>
      </fill>
    </dxf>
    <dxf>
      <font>
        <color rgb="FF6D28D9"/>
      </font>
      <fill>
        <patternFill patternType="solid">
          <bgColor rgb="FFEDE9FE"/>
        </patternFill>
      </fill>
    </dxf>
    <dxf>
      <font>
        <color rgb="FF6B7280"/>
      </font>
      <fill>
        <patternFill patternType="solid">
          <bgColor rgb="FFF3F4F6"/>
        </patternFill>
      </fill>
    </dxf>
    <dxf>
      <border>
        <left style="medium">
          <color rgb="FFDC2626"/>
        </left>
        <right style="medium">
          <color rgb="FFDC2626"/>
        </right>
        <top/>
        <bottom/>
      </border>
    </dxf>
    <dxf>
      <fill>
        <patternFill patternType="solid">
          <bgColor rgb="FF67E8F9"/>
        </patternFill>
      </fill>
    </dxf>
    <dxf>
      <fill>
        <patternFill patternType="solid">
          <bgColor rgb="FFC4B5F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 activeCell="C19" sqref="C19"/>
    </sheetView>
  </sheetViews>
  <sheetFormatPr defaultRowHeight="18.75" x14ac:dyDescent="0.4"/>
  <cols>
    <col min="1" max="1" width="14" customWidth="1"/>
    <col min="2" max="2" width="22" customWidth="1"/>
    <col min="3" max="4" width="16" customWidth="1"/>
  </cols>
  <sheetData>
    <row r="1" spans="1:4" s="1" customFormat="1" ht="27.95" customHeigh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24" customHeight="1" x14ac:dyDescent="0.4">
      <c r="A2" s="4" t="s">
        <v>4</v>
      </c>
      <c r="B2" s="4" t="s">
        <v>5</v>
      </c>
      <c r="C2" s="4">
        <v>30</v>
      </c>
      <c r="D2" s="4">
        <v>45</v>
      </c>
    </row>
    <row r="3" spans="1:4" s="3" customFormat="1" ht="24" customHeight="1" x14ac:dyDescent="0.4">
      <c r="A3" s="5" t="s">
        <v>6</v>
      </c>
      <c r="B3" s="5" t="s">
        <v>7</v>
      </c>
      <c r="C3" s="5">
        <v>20</v>
      </c>
      <c r="D3" s="5">
        <v>30</v>
      </c>
    </row>
    <row r="4" spans="1:4" s="3" customFormat="1" ht="24" customHeight="1" x14ac:dyDescent="0.4">
      <c r="A4" s="4" t="s">
        <v>8</v>
      </c>
      <c r="B4" s="4" t="s">
        <v>9</v>
      </c>
      <c r="C4" s="4">
        <v>15</v>
      </c>
      <c r="D4" s="4">
        <v>20</v>
      </c>
    </row>
    <row r="5" spans="1:4" s="3" customFormat="1" ht="24" customHeight="1" x14ac:dyDescent="0.4">
      <c r="A5" s="5" t="s">
        <v>10</v>
      </c>
      <c r="B5" s="5" t="s">
        <v>11</v>
      </c>
      <c r="C5" s="5">
        <v>15</v>
      </c>
      <c r="D5" s="5">
        <v>25</v>
      </c>
    </row>
    <row r="6" spans="1:4" s="3" customFormat="1" ht="24" customHeight="1" x14ac:dyDescent="0.4">
      <c r="A6" s="4" t="s">
        <v>12</v>
      </c>
      <c r="B6" s="4" t="s">
        <v>13</v>
      </c>
      <c r="C6" s="4">
        <v>15</v>
      </c>
      <c r="D6" s="4">
        <v>20</v>
      </c>
    </row>
    <row r="7" spans="1:4" s="3" customFormat="1" ht="24" customHeight="1" x14ac:dyDescent="0.4">
      <c r="A7" s="5" t="s">
        <v>14</v>
      </c>
      <c r="B7" s="5" t="s">
        <v>15</v>
      </c>
      <c r="C7" s="5">
        <v>10</v>
      </c>
      <c r="D7" s="5">
        <v>15</v>
      </c>
    </row>
    <row r="8" spans="1:4" s="3" customFormat="1" ht="24" customHeight="1" x14ac:dyDescent="0.4">
      <c r="A8" s="4" t="s">
        <v>16</v>
      </c>
      <c r="B8" s="4" t="s">
        <v>17</v>
      </c>
      <c r="C8" s="4">
        <v>10</v>
      </c>
      <c r="D8" s="4">
        <v>15</v>
      </c>
    </row>
    <row r="9" spans="1:4" s="3" customFormat="1" ht="24" customHeight="1" x14ac:dyDescent="0.4">
      <c r="A9" s="5" t="s">
        <v>18</v>
      </c>
      <c r="B9" s="5" t="s">
        <v>19</v>
      </c>
      <c r="C9" s="5">
        <v>10</v>
      </c>
      <c r="D9" s="5">
        <v>15</v>
      </c>
    </row>
  </sheetData>
  <phoneticPr fontId="6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2"/>
  <sheetViews>
    <sheetView workbookViewId="0">
      <pane ySplit="1" topLeftCell="A2" activePane="bottomLeft" state="frozen"/>
      <selection pane="bottomLeft"/>
    </sheetView>
  </sheetViews>
  <sheetFormatPr defaultRowHeight="18.75" x14ac:dyDescent="0.4"/>
  <cols>
    <col min="1" max="1" width="12" customWidth="1"/>
    <col min="2" max="3" width="24" customWidth="1"/>
    <col min="4" max="4" width="12" customWidth="1"/>
    <col min="5" max="10" width="14" customWidth="1"/>
    <col min="11" max="11" width="30" customWidth="1"/>
  </cols>
  <sheetData>
    <row r="1" spans="1:11" s="1" customFormat="1" ht="27.95" customHeight="1" x14ac:dyDescent="0.4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</row>
    <row r="2" spans="1:11" s="3" customFormat="1" ht="21.95" customHeight="1" x14ac:dyDescent="0.4">
      <c r="A2" s="4">
        <v>30</v>
      </c>
      <c r="B2" s="4" t="s">
        <v>31</v>
      </c>
      <c r="C2" s="4" t="s">
        <v>32</v>
      </c>
      <c r="D2" s="4" t="s">
        <v>33</v>
      </c>
      <c r="E2" s="4"/>
      <c r="F2" s="4"/>
      <c r="G2" s="4"/>
      <c r="H2" s="4"/>
      <c r="I2" s="6"/>
      <c r="J2" s="7">
        <v>14371145</v>
      </c>
      <c r="K2" s="4">
        <v>0.17910354394169706</v>
      </c>
    </row>
    <row r="3" spans="1:11" s="3" customFormat="1" ht="21.95" customHeight="1" x14ac:dyDescent="0.4">
      <c r="A3" s="5">
        <v>1927</v>
      </c>
      <c r="B3" s="5" t="s">
        <v>34</v>
      </c>
      <c r="C3" s="5" t="s">
        <v>35</v>
      </c>
      <c r="D3" s="5" t="s">
        <v>4</v>
      </c>
      <c r="E3" s="5"/>
      <c r="F3" s="5"/>
      <c r="G3" s="5"/>
      <c r="H3" s="5"/>
      <c r="I3" s="8"/>
      <c r="J3" s="9">
        <v>10240</v>
      </c>
      <c r="K3" s="5" t="s">
        <v>32</v>
      </c>
    </row>
    <row r="4" spans="1:11" s="3" customFormat="1" ht="21.95" customHeight="1" x14ac:dyDescent="0.4">
      <c r="A4" s="4">
        <v>29</v>
      </c>
      <c r="B4" s="4" t="s">
        <v>36</v>
      </c>
      <c r="C4" s="4" t="s">
        <v>32</v>
      </c>
      <c r="D4" s="4" t="s">
        <v>32</v>
      </c>
      <c r="E4" s="4"/>
      <c r="F4" s="4"/>
      <c r="G4" s="4"/>
      <c r="H4" s="4"/>
      <c r="I4" s="6"/>
      <c r="J4" s="7">
        <v>14117160</v>
      </c>
      <c r="K4" s="4" t="s">
        <v>37</v>
      </c>
    </row>
    <row r="5" spans="1:11" s="3" customFormat="1" ht="21.95" customHeight="1" x14ac:dyDescent="0.4">
      <c r="A5" s="5">
        <v>41</v>
      </c>
      <c r="B5" s="5" t="s">
        <v>36</v>
      </c>
      <c r="C5" s="5" t="s">
        <v>32</v>
      </c>
      <c r="D5" s="5" t="s">
        <v>32</v>
      </c>
      <c r="E5" s="5"/>
      <c r="F5" s="5"/>
      <c r="G5" s="5"/>
      <c r="H5" s="5"/>
      <c r="I5" s="8"/>
      <c r="J5" s="9">
        <v>17114285</v>
      </c>
      <c r="K5" s="5" t="s">
        <v>37</v>
      </c>
    </row>
    <row r="6" spans="1:11" s="3" customFormat="1" ht="21.95" customHeight="1" x14ac:dyDescent="0.4">
      <c r="A6" s="4">
        <v>47</v>
      </c>
      <c r="B6" s="4" t="s">
        <v>36</v>
      </c>
      <c r="C6" s="4" t="s">
        <v>32</v>
      </c>
      <c r="D6" s="4" t="s">
        <v>32</v>
      </c>
      <c r="E6" s="4"/>
      <c r="F6" s="4"/>
      <c r="G6" s="4"/>
      <c r="H6" s="4"/>
      <c r="I6" s="6"/>
      <c r="J6" s="7">
        <v>16120281</v>
      </c>
      <c r="K6" s="4" t="s">
        <v>38</v>
      </c>
    </row>
    <row r="7" spans="1:11" s="3" customFormat="1" ht="21.95" customHeight="1" x14ac:dyDescent="0.4">
      <c r="A7" s="5">
        <v>70</v>
      </c>
      <c r="B7" s="5" t="s">
        <v>36</v>
      </c>
      <c r="C7" s="5" t="s">
        <v>32</v>
      </c>
      <c r="D7" s="5" t="s">
        <v>32</v>
      </c>
      <c r="E7" s="5"/>
      <c r="F7" s="5"/>
      <c r="G7" s="5"/>
      <c r="H7" s="5"/>
      <c r="I7" s="8"/>
      <c r="J7" s="9">
        <v>15930669</v>
      </c>
      <c r="K7" s="5" t="s">
        <v>39</v>
      </c>
    </row>
    <row r="8" spans="1:11" s="3" customFormat="1" ht="21.95" customHeight="1" x14ac:dyDescent="0.4">
      <c r="A8" s="4">
        <v>41</v>
      </c>
      <c r="B8" s="4" t="s">
        <v>36</v>
      </c>
      <c r="C8" s="4" t="s">
        <v>32</v>
      </c>
      <c r="D8" s="4" t="s">
        <v>33</v>
      </c>
      <c r="E8" s="4"/>
      <c r="F8" s="4"/>
      <c r="G8" s="4"/>
      <c r="H8" s="4"/>
      <c r="I8" s="6"/>
      <c r="J8" s="7">
        <v>13033450</v>
      </c>
      <c r="K8" s="4">
        <v>0.99999386194752737</v>
      </c>
    </row>
    <row r="9" spans="1:11" s="3" customFormat="1" ht="21.95" customHeight="1" x14ac:dyDescent="0.4">
      <c r="A9" s="5">
        <v>40</v>
      </c>
      <c r="B9" s="5" t="s">
        <v>36</v>
      </c>
      <c r="C9" s="5">
        <v>159409</v>
      </c>
      <c r="D9" s="5" t="s">
        <v>33</v>
      </c>
      <c r="E9" s="5"/>
      <c r="F9" s="5"/>
      <c r="G9" s="5"/>
      <c r="H9" s="5"/>
      <c r="I9" s="8"/>
      <c r="J9" s="9">
        <v>9395331</v>
      </c>
      <c r="K9" s="5">
        <v>1</v>
      </c>
    </row>
    <row r="10" spans="1:11" s="3" customFormat="1" ht="21.95" customHeight="1" x14ac:dyDescent="0.4">
      <c r="A10" s="4">
        <v>1613</v>
      </c>
      <c r="B10" s="4" t="s">
        <v>40</v>
      </c>
      <c r="C10" s="4" t="s">
        <v>41</v>
      </c>
      <c r="D10" s="4" t="s">
        <v>6</v>
      </c>
      <c r="E10" s="4"/>
      <c r="F10" s="4"/>
      <c r="G10" s="4"/>
      <c r="H10" s="4"/>
      <c r="I10" s="6">
        <v>46141.625</v>
      </c>
      <c r="J10" s="7">
        <v>2316101</v>
      </c>
      <c r="K10" s="4" t="s">
        <v>42</v>
      </c>
    </row>
    <row r="11" spans="1:11" s="3" customFormat="1" ht="21.95" customHeight="1" x14ac:dyDescent="0.4">
      <c r="A11" s="5">
        <v>2000</v>
      </c>
      <c r="B11" s="5" t="s">
        <v>43</v>
      </c>
      <c r="C11" s="5" t="s">
        <v>41</v>
      </c>
      <c r="D11" s="5" t="s">
        <v>6</v>
      </c>
      <c r="E11" s="5"/>
      <c r="F11" s="5"/>
      <c r="G11" s="5"/>
      <c r="H11" s="5"/>
      <c r="I11" s="8">
        <v>46156.625</v>
      </c>
      <c r="J11" s="9"/>
      <c r="K11" s="5" t="s">
        <v>44</v>
      </c>
    </row>
    <row r="12" spans="1:11" s="3" customFormat="1" ht="21.95" customHeight="1" x14ac:dyDescent="0.4">
      <c r="A12" s="4">
        <v>2001</v>
      </c>
      <c r="B12" s="4" t="s">
        <v>45</v>
      </c>
      <c r="C12" s="4" t="s">
        <v>41</v>
      </c>
      <c r="D12" s="4" t="s">
        <v>6</v>
      </c>
      <c r="E12" s="4"/>
      <c r="F12" s="4"/>
      <c r="G12" s="4"/>
      <c r="H12" s="4"/>
      <c r="I12" s="6">
        <v>46156.625</v>
      </c>
      <c r="J12" s="7"/>
      <c r="K12" s="4" t="s">
        <v>44</v>
      </c>
    </row>
    <row r="13" spans="1:11" s="3" customFormat="1" ht="21.95" customHeight="1" x14ac:dyDescent="0.4">
      <c r="A13" s="5">
        <v>1974</v>
      </c>
      <c r="B13" s="5" t="s">
        <v>46</v>
      </c>
      <c r="C13" s="5" t="s">
        <v>47</v>
      </c>
      <c r="D13" s="5" t="s">
        <v>4</v>
      </c>
      <c r="E13" s="5"/>
      <c r="F13" s="5"/>
      <c r="G13" s="5"/>
      <c r="H13" s="5"/>
      <c r="I13" s="8"/>
      <c r="J13" s="9">
        <v>78164</v>
      </c>
      <c r="K13" s="5" t="s">
        <v>32</v>
      </c>
    </row>
    <row r="14" spans="1:11" s="3" customFormat="1" ht="21.95" customHeight="1" x14ac:dyDescent="0.4">
      <c r="A14" s="4">
        <v>1203</v>
      </c>
      <c r="B14" s="4" t="s">
        <v>46</v>
      </c>
      <c r="C14" s="4" t="s">
        <v>48</v>
      </c>
      <c r="D14" s="4" t="s">
        <v>12</v>
      </c>
      <c r="E14" s="4"/>
      <c r="F14" s="4"/>
      <c r="G14" s="4"/>
      <c r="H14" s="4"/>
      <c r="I14" s="6">
        <v>46084.625</v>
      </c>
      <c r="J14" s="7">
        <v>20030</v>
      </c>
      <c r="K14" s="4" t="s">
        <v>32</v>
      </c>
    </row>
    <row r="15" spans="1:11" s="3" customFormat="1" ht="21.95" customHeight="1" x14ac:dyDescent="0.4">
      <c r="A15" s="5">
        <v>1792</v>
      </c>
      <c r="B15" s="5" t="s">
        <v>49</v>
      </c>
      <c r="C15" s="5" t="s">
        <v>50</v>
      </c>
      <c r="D15" s="5" t="s">
        <v>4</v>
      </c>
      <c r="E15" s="5"/>
      <c r="F15" s="5"/>
      <c r="G15" s="5"/>
      <c r="H15" s="5"/>
      <c r="I15" s="8">
        <v>45970.625</v>
      </c>
      <c r="J15" s="9">
        <v>225170</v>
      </c>
      <c r="K15" s="5" t="s">
        <v>51</v>
      </c>
    </row>
    <row r="16" spans="1:11" s="3" customFormat="1" ht="21.95" customHeight="1" x14ac:dyDescent="0.4">
      <c r="A16" s="4">
        <v>1919</v>
      </c>
      <c r="B16" s="4" t="s">
        <v>52</v>
      </c>
      <c r="C16" s="4" t="s">
        <v>53</v>
      </c>
      <c r="D16" s="4" t="s">
        <v>4</v>
      </c>
      <c r="E16" s="4"/>
      <c r="F16" s="4"/>
      <c r="G16" s="4"/>
      <c r="H16" s="4"/>
      <c r="I16" s="6"/>
      <c r="J16" s="7">
        <v>56560</v>
      </c>
      <c r="K16" s="4" t="s">
        <v>32</v>
      </c>
    </row>
    <row r="17" spans="1:11" s="3" customFormat="1" ht="21.95" customHeight="1" x14ac:dyDescent="0.4">
      <c r="A17" s="5">
        <v>1927</v>
      </c>
      <c r="B17" s="5" t="s">
        <v>52</v>
      </c>
      <c r="C17" s="5" t="s">
        <v>54</v>
      </c>
      <c r="D17" s="5" t="s">
        <v>4</v>
      </c>
      <c r="E17" s="5"/>
      <c r="F17" s="5"/>
      <c r="G17" s="5"/>
      <c r="H17" s="5"/>
      <c r="I17" s="8"/>
      <c r="J17" s="9">
        <v>5756.6</v>
      </c>
      <c r="K17" s="5" t="s">
        <v>32</v>
      </c>
    </row>
    <row r="18" spans="1:11" s="3" customFormat="1" ht="21.95" customHeight="1" x14ac:dyDescent="0.4">
      <c r="A18" s="4">
        <v>1919</v>
      </c>
      <c r="B18" s="4" t="s">
        <v>55</v>
      </c>
      <c r="C18" s="4" t="s">
        <v>56</v>
      </c>
      <c r="D18" s="4" t="s">
        <v>4</v>
      </c>
      <c r="E18" s="4"/>
      <c r="F18" s="4"/>
      <c r="G18" s="4"/>
      <c r="H18" s="4"/>
      <c r="I18" s="6">
        <v>45988.625</v>
      </c>
      <c r="J18" s="7">
        <v>4300000</v>
      </c>
      <c r="K18" s="4" t="s">
        <v>32</v>
      </c>
    </row>
    <row r="19" spans="1:11" s="3" customFormat="1" ht="21.95" customHeight="1" x14ac:dyDescent="0.4">
      <c r="A19" s="5">
        <v>1786</v>
      </c>
      <c r="B19" s="5" t="s">
        <v>57</v>
      </c>
      <c r="C19" s="5" t="s">
        <v>58</v>
      </c>
      <c r="D19" s="5" t="s">
        <v>4</v>
      </c>
      <c r="E19" s="5"/>
      <c r="F19" s="5"/>
      <c r="G19" s="5"/>
      <c r="H19" s="5"/>
      <c r="I19" s="8"/>
      <c r="J19" s="9">
        <v>263008</v>
      </c>
      <c r="K19" s="5" t="s">
        <v>59</v>
      </c>
    </row>
    <row r="20" spans="1:11" s="3" customFormat="1" ht="21.95" customHeight="1" x14ac:dyDescent="0.4">
      <c r="A20" s="4">
        <v>1901</v>
      </c>
      <c r="B20" s="4" t="s">
        <v>60</v>
      </c>
      <c r="C20" s="4" t="s">
        <v>41</v>
      </c>
      <c r="D20" s="4" t="s">
        <v>6</v>
      </c>
      <c r="E20" s="4"/>
      <c r="F20" s="4"/>
      <c r="G20" s="4"/>
      <c r="H20" s="4"/>
      <c r="I20" s="6">
        <v>45988.625</v>
      </c>
      <c r="J20" s="7">
        <v>1187678</v>
      </c>
      <c r="K20" s="4" t="s">
        <v>32</v>
      </c>
    </row>
    <row r="21" spans="1:11" s="3" customFormat="1" ht="21.95" customHeight="1" x14ac:dyDescent="0.4">
      <c r="A21" s="5">
        <v>1902</v>
      </c>
      <c r="B21" s="5" t="s">
        <v>60</v>
      </c>
      <c r="C21" s="5" t="s">
        <v>61</v>
      </c>
      <c r="D21" s="5" t="s">
        <v>12</v>
      </c>
      <c r="E21" s="5"/>
      <c r="F21" s="5"/>
      <c r="G21" s="5"/>
      <c r="H21" s="5"/>
      <c r="I21" s="8">
        <v>45988.625</v>
      </c>
      <c r="J21" s="9">
        <v>247363</v>
      </c>
      <c r="K21" s="5" t="s">
        <v>32</v>
      </c>
    </row>
    <row r="22" spans="1:11" s="3" customFormat="1" ht="21.95" customHeight="1" x14ac:dyDescent="0.4">
      <c r="A22" s="4">
        <v>1903</v>
      </c>
      <c r="B22" s="4" t="s">
        <v>60</v>
      </c>
      <c r="C22" s="4" t="s">
        <v>62</v>
      </c>
      <c r="D22" s="4" t="s">
        <v>8</v>
      </c>
      <c r="E22" s="4"/>
      <c r="F22" s="4"/>
      <c r="G22" s="4"/>
      <c r="H22" s="4"/>
      <c r="I22" s="6">
        <v>45988.625</v>
      </c>
      <c r="J22" s="7">
        <v>154743</v>
      </c>
      <c r="K22" s="4" t="s">
        <v>32</v>
      </c>
    </row>
    <row r="23" spans="1:11" s="3" customFormat="1" ht="21.95" customHeight="1" x14ac:dyDescent="0.4">
      <c r="A23" s="5">
        <v>1924</v>
      </c>
      <c r="B23" s="5" t="s">
        <v>60</v>
      </c>
      <c r="C23" s="5" t="s">
        <v>63</v>
      </c>
      <c r="D23" s="5" t="s">
        <v>16</v>
      </c>
      <c r="E23" s="5"/>
      <c r="F23" s="5"/>
      <c r="G23" s="5"/>
      <c r="H23" s="5"/>
      <c r="I23" s="8">
        <v>45990.625</v>
      </c>
      <c r="J23" s="9">
        <v>97410</v>
      </c>
      <c r="K23" s="5" t="s">
        <v>32</v>
      </c>
    </row>
    <row r="24" spans="1:11" s="3" customFormat="1" ht="21.95" customHeight="1" x14ac:dyDescent="0.4">
      <c r="A24" s="4">
        <v>1900</v>
      </c>
      <c r="B24" s="4" t="s">
        <v>60</v>
      </c>
      <c r="C24" s="4" t="s">
        <v>64</v>
      </c>
      <c r="D24" s="4" t="s">
        <v>10</v>
      </c>
      <c r="E24" s="4"/>
      <c r="F24" s="4"/>
      <c r="G24" s="4"/>
      <c r="H24" s="4"/>
      <c r="I24" s="6">
        <v>45960.625</v>
      </c>
      <c r="J24" s="7">
        <v>624987</v>
      </c>
      <c r="K24" s="4" t="s">
        <v>65</v>
      </c>
    </row>
    <row r="25" spans="1:11" s="3" customFormat="1" ht="21.95" customHeight="1" x14ac:dyDescent="0.4">
      <c r="A25" s="5">
        <v>1990</v>
      </c>
      <c r="B25" s="5" t="s">
        <v>60</v>
      </c>
      <c r="C25" s="5" t="s">
        <v>66</v>
      </c>
      <c r="D25" s="5" t="s">
        <v>4</v>
      </c>
      <c r="E25" s="5"/>
      <c r="F25" s="5"/>
      <c r="G25" s="5"/>
      <c r="H25" s="5"/>
      <c r="I25" s="8"/>
      <c r="J25" s="9">
        <v>74087</v>
      </c>
      <c r="K25" s="5" t="s">
        <v>67</v>
      </c>
    </row>
    <row r="26" spans="1:11" s="3" customFormat="1" ht="21.95" customHeight="1" x14ac:dyDescent="0.4">
      <c r="A26" s="4">
        <v>1927</v>
      </c>
      <c r="B26" s="4" t="s">
        <v>68</v>
      </c>
      <c r="C26" s="4" t="s">
        <v>69</v>
      </c>
      <c r="D26" s="4" t="s">
        <v>4</v>
      </c>
      <c r="E26" s="4"/>
      <c r="F26" s="4"/>
      <c r="G26" s="4"/>
      <c r="H26" s="4"/>
      <c r="I26" s="6"/>
      <c r="J26" s="7">
        <v>24075</v>
      </c>
      <c r="K26" s="4" t="s">
        <v>70</v>
      </c>
    </row>
    <row r="27" spans="1:11" s="3" customFormat="1" ht="21.95" customHeight="1" x14ac:dyDescent="0.4">
      <c r="A27" s="5">
        <v>713</v>
      </c>
      <c r="B27" s="5" t="s">
        <v>71</v>
      </c>
      <c r="C27" s="5" t="s">
        <v>72</v>
      </c>
      <c r="D27" s="5" t="s">
        <v>4</v>
      </c>
      <c r="E27" s="5"/>
      <c r="F27" s="5"/>
      <c r="G27" s="5"/>
      <c r="H27" s="5"/>
      <c r="I27" s="8"/>
      <c r="J27" s="9">
        <v>148800</v>
      </c>
      <c r="K27" s="5" t="s">
        <v>32</v>
      </c>
    </row>
    <row r="28" spans="1:11" s="3" customFormat="1" ht="21.95" customHeight="1" x14ac:dyDescent="0.4">
      <c r="A28" s="4">
        <v>714</v>
      </c>
      <c r="B28" s="4" t="s">
        <v>71</v>
      </c>
      <c r="C28" s="4" t="s">
        <v>73</v>
      </c>
      <c r="D28" s="4" t="s">
        <v>4</v>
      </c>
      <c r="E28" s="4"/>
      <c r="F28" s="4"/>
      <c r="G28" s="4"/>
      <c r="H28" s="4"/>
      <c r="I28" s="6"/>
      <c r="J28" s="7">
        <v>174000</v>
      </c>
      <c r="K28" s="4" t="s">
        <v>32</v>
      </c>
    </row>
    <row r="29" spans="1:11" s="3" customFormat="1" ht="21.95" customHeight="1" x14ac:dyDescent="0.4">
      <c r="A29" s="5">
        <v>717</v>
      </c>
      <c r="B29" s="5" t="s">
        <v>71</v>
      </c>
      <c r="C29" s="5" t="s">
        <v>74</v>
      </c>
      <c r="D29" s="5" t="s">
        <v>4</v>
      </c>
      <c r="E29" s="5"/>
      <c r="F29" s="5"/>
      <c r="G29" s="5"/>
      <c r="H29" s="5"/>
      <c r="I29" s="8"/>
      <c r="J29" s="9">
        <v>195600</v>
      </c>
      <c r="K29" s="5" t="s">
        <v>32</v>
      </c>
    </row>
    <row r="30" spans="1:11" s="3" customFormat="1" ht="21.95" customHeight="1" x14ac:dyDescent="0.4">
      <c r="A30" s="4">
        <v>404</v>
      </c>
      <c r="B30" s="4" t="s">
        <v>75</v>
      </c>
      <c r="C30" s="4" t="s">
        <v>76</v>
      </c>
      <c r="D30" s="4" t="s">
        <v>6</v>
      </c>
      <c r="E30" s="4"/>
      <c r="F30" s="4"/>
      <c r="G30" s="4"/>
      <c r="H30" s="4"/>
      <c r="I30" s="6"/>
      <c r="J30" s="7">
        <v>89473</v>
      </c>
      <c r="K30" s="4" t="s">
        <v>77</v>
      </c>
    </row>
    <row r="31" spans="1:11" s="3" customFormat="1" ht="21.95" customHeight="1" x14ac:dyDescent="0.4">
      <c r="A31" s="5">
        <v>258</v>
      </c>
      <c r="B31" s="5" t="s">
        <v>78</v>
      </c>
      <c r="C31" s="5" t="s">
        <v>76</v>
      </c>
      <c r="D31" s="5" t="s">
        <v>6</v>
      </c>
      <c r="E31" s="5"/>
      <c r="F31" s="5"/>
      <c r="G31" s="5"/>
      <c r="H31" s="5"/>
      <c r="I31" s="8"/>
      <c r="J31" s="9">
        <v>72760</v>
      </c>
      <c r="K31" s="5" t="s">
        <v>79</v>
      </c>
    </row>
    <row r="32" spans="1:11" s="3" customFormat="1" ht="21.95" customHeight="1" x14ac:dyDescent="0.4">
      <c r="A32" s="4">
        <v>1853</v>
      </c>
      <c r="B32" s="4" t="s">
        <v>80</v>
      </c>
      <c r="C32" s="4" t="s">
        <v>41</v>
      </c>
      <c r="D32" s="4" t="s">
        <v>6</v>
      </c>
      <c r="E32" s="4"/>
      <c r="F32" s="4"/>
      <c r="G32" s="4"/>
      <c r="H32" s="4"/>
      <c r="I32" s="6">
        <v>45929.625</v>
      </c>
      <c r="J32" s="7">
        <v>2300000</v>
      </c>
      <c r="K32" s="4" t="s">
        <v>32</v>
      </c>
    </row>
    <row r="33" spans="1:11" s="3" customFormat="1" ht="21.95" customHeight="1" x14ac:dyDescent="0.4">
      <c r="A33" s="5">
        <v>1854</v>
      </c>
      <c r="B33" s="5" t="s">
        <v>81</v>
      </c>
      <c r="C33" s="5" t="s">
        <v>76</v>
      </c>
      <c r="D33" s="5" t="s">
        <v>6</v>
      </c>
      <c r="E33" s="5"/>
      <c r="F33" s="5"/>
      <c r="G33" s="5"/>
      <c r="H33" s="5"/>
      <c r="I33" s="8"/>
      <c r="J33" s="9">
        <v>103833</v>
      </c>
      <c r="K33" s="5" t="s">
        <v>44</v>
      </c>
    </row>
    <row r="34" spans="1:11" s="3" customFormat="1" ht="21.95" customHeight="1" x14ac:dyDescent="0.4">
      <c r="A34" s="4" t="s">
        <v>32</v>
      </c>
      <c r="B34" s="4" t="s">
        <v>82</v>
      </c>
      <c r="C34" s="4" t="s">
        <v>41</v>
      </c>
      <c r="D34" s="4" t="s">
        <v>6</v>
      </c>
      <c r="E34" s="4"/>
      <c r="F34" s="4"/>
      <c r="G34" s="4"/>
      <c r="H34" s="4"/>
      <c r="I34" s="6"/>
      <c r="J34" s="7">
        <v>2300000</v>
      </c>
      <c r="K34" s="4" t="s">
        <v>44</v>
      </c>
    </row>
    <row r="35" spans="1:11" s="3" customFormat="1" ht="21.95" customHeight="1" x14ac:dyDescent="0.4">
      <c r="A35" s="5" t="s">
        <v>32</v>
      </c>
      <c r="B35" s="5" t="s">
        <v>83</v>
      </c>
      <c r="C35" s="5" t="s">
        <v>41</v>
      </c>
      <c r="D35" s="5" t="s">
        <v>6</v>
      </c>
      <c r="E35" s="5"/>
      <c r="F35" s="5"/>
      <c r="G35" s="5"/>
      <c r="H35" s="5"/>
      <c r="I35" s="8"/>
      <c r="J35" s="9">
        <v>2300000</v>
      </c>
      <c r="K35" s="5" t="s">
        <v>44</v>
      </c>
    </row>
    <row r="36" spans="1:11" s="3" customFormat="1" ht="21.95" customHeight="1" x14ac:dyDescent="0.4">
      <c r="A36" s="4">
        <v>1906</v>
      </c>
      <c r="B36" s="4" t="s">
        <v>84</v>
      </c>
      <c r="C36" s="4" t="s">
        <v>48</v>
      </c>
      <c r="D36" s="4" t="s">
        <v>12</v>
      </c>
      <c r="E36" s="4"/>
      <c r="F36" s="4"/>
      <c r="G36" s="4"/>
      <c r="H36" s="4"/>
      <c r="I36" s="6"/>
      <c r="J36" s="7">
        <v>57716</v>
      </c>
      <c r="K36" s="4" t="s">
        <v>32</v>
      </c>
    </row>
    <row r="37" spans="1:11" s="3" customFormat="1" ht="21.95" customHeight="1" x14ac:dyDescent="0.4">
      <c r="A37" s="5">
        <v>1906</v>
      </c>
      <c r="B37" s="5" t="s">
        <v>85</v>
      </c>
      <c r="C37" s="5" t="s">
        <v>61</v>
      </c>
      <c r="D37" s="5" t="s">
        <v>12</v>
      </c>
      <c r="E37" s="5"/>
      <c r="F37" s="5"/>
      <c r="G37" s="5"/>
      <c r="H37" s="5"/>
      <c r="I37" s="8">
        <v>45988.625</v>
      </c>
      <c r="J37" s="9">
        <v>184425</v>
      </c>
      <c r="K37" s="5" t="s">
        <v>32</v>
      </c>
    </row>
    <row r="38" spans="1:11" s="3" customFormat="1" ht="21.95" customHeight="1" x14ac:dyDescent="0.4">
      <c r="A38" s="4">
        <v>1907</v>
      </c>
      <c r="B38" s="4" t="s">
        <v>85</v>
      </c>
      <c r="C38" s="4" t="s">
        <v>62</v>
      </c>
      <c r="D38" s="4" t="s">
        <v>8</v>
      </c>
      <c r="E38" s="4"/>
      <c r="F38" s="4"/>
      <c r="G38" s="4"/>
      <c r="H38" s="4"/>
      <c r="I38" s="6">
        <v>45988.625</v>
      </c>
      <c r="J38" s="7">
        <v>108798</v>
      </c>
      <c r="K38" s="4" t="s">
        <v>32</v>
      </c>
    </row>
    <row r="39" spans="1:11" s="3" customFormat="1" ht="21.95" customHeight="1" x14ac:dyDescent="0.4">
      <c r="A39" s="5">
        <v>1905</v>
      </c>
      <c r="B39" s="5" t="s">
        <v>85</v>
      </c>
      <c r="C39" s="5" t="s">
        <v>41</v>
      </c>
      <c r="D39" s="5" t="s">
        <v>6</v>
      </c>
      <c r="E39" s="5"/>
      <c r="F39" s="5"/>
      <c r="G39" s="5"/>
      <c r="H39" s="5"/>
      <c r="I39" s="8">
        <v>45988.625</v>
      </c>
      <c r="J39" s="9">
        <v>896489</v>
      </c>
      <c r="K39" s="5" t="s">
        <v>86</v>
      </c>
    </row>
    <row r="40" spans="1:11" s="3" customFormat="1" ht="21.95" customHeight="1" x14ac:dyDescent="0.4">
      <c r="A40" s="4">
        <v>1927</v>
      </c>
      <c r="B40" s="4" t="s">
        <v>87</v>
      </c>
      <c r="C40" s="4" t="s">
        <v>88</v>
      </c>
      <c r="D40" s="4" t="s">
        <v>4</v>
      </c>
      <c r="E40" s="4"/>
      <c r="F40" s="4"/>
      <c r="G40" s="4"/>
      <c r="H40" s="4"/>
      <c r="I40" s="6"/>
      <c r="J40" s="7">
        <v>14980</v>
      </c>
      <c r="K40" s="4" t="s">
        <v>70</v>
      </c>
    </row>
    <row r="41" spans="1:11" s="3" customFormat="1" ht="21.95" customHeight="1" x14ac:dyDescent="0.4">
      <c r="A41" s="5">
        <v>1909</v>
      </c>
      <c r="B41" s="5" t="s">
        <v>89</v>
      </c>
      <c r="C41" s="5" t="s">
        <v>61</v>
      </c>
      <c r="D41" s="5" t="s">
        <v>12</v>
      </c>
      <c r="E41" s="5"/>
      <c r="F41" s="5"/>
      <c r="G41" s="5"/>
      <c r="H41" s="5"/>
      <c r="I41" s="8">
        <v>45988.625</v>
      </c>
      <c r="J41" s="9">
        <v>184425</v>
      </c>
      <c r="K41" s="5" t="s">
        <v>32</v>
      </c>
    </row>
    <row r="42" spans="1:11" s="3" customFormat="1" ht="21.95" customHeight="1" x14ac:dyDescent="0.4">
      <c r="A42" s="4">
        <v>1910</v>
      </c>
      <c r="B42" s="4" t="s">
        <v>89</v>
      </c>
      <c r="C42" s="4" t="s">
        <v>62</v>
      </c>
      <c r="D42" s="4" t="s">
        <v>8</v>
      </c>
      <c r="E42" s="4"/>
      <c r="F42" s="4"/>
      <c r="G42" s="4"/>
      <c r="H42" s="4"/>
      <c r="I42" s="6">
        <v>45988.625</v>
      </c>
      <c r="J42" s="7">
        <v>108798</v>
      </c>
      <c r="K42" s="4" t="s">
        <v>32</v>
      </c>
    </row>
    <row r="43" spans="1:11" s="3" customFormat="1" ht="21.95" customHeight="1" x14ac:dyDescent="0.4">
      <c r="A43" s="5">
        <v>1908</v>
      </c>
      <c r="B43" s="5" t="s">
        <v>89</v>
      </c>
      <c r="C43" s="5" t="s">
        <v>41</v>
      </c>
      <c r="D43" s="5" t="s">
        <v>6</v>
      </c>
      <c r="E43" s="5"/>
      <c r="F43" s="5"/>
      <c r="G43" s="5"/>
      <c r="H43" s="5"/>
      <c r="I43" s="8">
        <v>45988.625</v>
      </c>
      <c r="J43" s="9">
        <v>903979</v>
      </c>
      <c r="K43" s="5" t="s">
        <v>90</v>
      </c>
    </row>
    <row r="44" spans="1:11" s="3" customFormat="1" ht="21.95" customHeight="1" x14ac:dyDescent="0.4">
      <c r="A44" s="4">
        <v>1912</v>
      </c>
      <c r="B44" s="4" t="s">
        <v>91</v>
      </c>
      <c r="C44" s="4" t="s">
        <v>48</v>
      </c>
      <c r="D44" s="4" t="s">
        <v>12</v>
      </c>
      <c r="E44" s="4"/>
      <c r="F44" s="4"/>
      <c r="G44" s="4"/>
      <c r="H44" s="4"/>
      <c r="I44" s="6"/>
      <c r="J44" s="7">
        <v>57716</v>
      </c>
      <c r="K44" s="4" t="s">
        <v>32</v>
      </c>
    </row>
    <row r="45" spans="1:11" s="3" customFormat="1" ht="21.95" customHeight="1" x14ac:dyDescent="0.4">
      <c r="A45" s="5">
        <v>1912</v>
      </c>
      <c r="B45" s="5" t="s">
        <v>92</v>
      </c>
      <c r="C45" s="5" t="s">
        <v>61</v>
      </c>
      <c r="D45" s="5" t="s">
        <v>12</v>
      </c>
      <c r="E45" s="5"/>
      <c r="F45" s="5"/>
      <c r="G45" s="5"/>
      <c r="H45" s="5"/>
      <c r="I45" s="8">
        <v>45988.625</v>
      </c>
      <c r="J45" s="9">
        <v>184425</v>
      </c>
      <c r="K45" s="5" t="s">
        <v>32</v>
      </c>
    </row>
    <row r="46" spans="1:11" s="3" customFormat="1" ht="21.95" customHeight="1" x14ac:dyDescent="0.4">
      <c r="A46" s="4">
        <v>1913</v>
      </c>
      <c r="B46" s="4" t="s">
        <v>92</v>
      </c>
      <c r="C46" s="4" t="s">
        <v>62</v>
      </c>
      <c r="D46" s="4" t="s">
        <v>8</v>
      </c>
      <c r="E46" s="4"/>
      <c r="F46" s="4"/>
      <c r="G46" s="4"/>
      <c r="H46" s="4"/>
      <c r="I46" s="6">
        <v>45988.625</v>
      </c>
      <c r="J46" s="7">
        <v>108798</v>
      </c>
      <c r="K46" s="4" t="s">
        <v>32</v>
      </c>
    </row>
    <row r="47" spans="1:11" s="3" customFormat="1" ht="21.95" customHeight="1" x14ac:dyDescent="0.4">
      <c r="A47" s="5">
        <v>1911</v>
      </c>
      <c r="B47" s="5" t="s">
        <v>92</v>
      </c>
      <c r="C47" s="5" t="s">
        <v>41</v>
      </c>
      <c r="D47" s="5" t="s">
        <v>6</v>
      </c>
      <c r="E47" s="5"/>
      <c r="F47" s="5"/>
      <c r="G47" s="5"/>
      <c r="H47" s="5"/>
      <c r="I47" s="8">
        <v>45988.625</v>
      </c>
      <c r="J47" s="9">
        <v>903979</v>
      </c>
      <c r="K47" s="5" t="s">
        <v>86</v>
      </c>
    </row>
    <row r="48" spans="1:11" s="3" customFormat="1" ht="21.95" customHeight="1" x14ac:dyDescent="0.4">
      <c r="A48" s="4">
        <v>1915</v>
      </c>
      <c r="B48" s="4" t="s">
        <v>93</v>
      </c>
      <c r="C48" s="4" t="s">
        <v>61</v>
      </c>
      <c r="D48" s="4" t="s">
        <v>12</v>
      </c>
      <c r="E48" s="4"/>
      <c r="F48" s="4"/>
      <c r="G48" s="4"/>
      <c r="H48" s="4"/>
      <c r="I48" s="6">
        <v>45988.625</v>
      </c>
      <c r="J48" s="7">
        <v>184425</v>
      </c>
      <c r="K48" s="4" t="s">
        <v>32</v>
      </c>
    </row>
    <row r="49" spans="1:11" s="3" customFormat="1" ht="21.95" customHeight="1" x14ac:dyDescent="0.4">
      <c r="A49" s="5">
        <v>1916</v>
      </c>
      <c r="B49" s="5" t="s">
        <v>93</v>
      </c>
      <c r="C49" s="5" t="s">
        <v>62</v>
      </c>
      <c r="D49" s="5" t="s">
        <v>8</v>
      </c>
      <c r="E49" s="5"/>
      <c r="F49" s="5"/>
      <c r="G49" s="5"/>
      <c r="H49" s="5"/>
      <c r="I49" s="8">
        <v>45988.625</v>
      </c>
      <c r="J49" s="9">
        <v>108798</v>
      </c>
      <c r="K49" s="5" t="s">
        <v>32</v>
      </c>
    </row>
    <row r="50" spans="1:11" s="3" customFormat="1" ht="21.95" customHeight="1" x14ac:dyDescent="0.4">
      <c r="A50" s="4">
        <v>1914</v>
      </c>
      <c r="B50" s="4" t="s">
        <v>93</v>
      </c>
      <c r="C50" s="4" t="s">
        <v>41</v>
      </c>
      <c r="D50" s="4" t="s">
        <v>6</v>
      </c>
      <c r="E50" s="4"/>
      <c r="F50" s="4"/>
      <c r="G50" s="4"/>
      <c r="H50" s="4"/>
      <c r="I50" s="6">
        <v>45988.625</v>
      </c>
      <c r="J50" s="7">
        <v>903979</v>
      </c>
      <c r="K50" s="4" t="s">
        <v>32</v>
      </c>
    </row>
    <row r="51" spans="1:11" s="3" customFormat="1" ht="21.95" customHeight="1" x14ac:dyDescent="0.4">
      <c r="A51" s="5">
        <v>1898</v>
      </c>
      <c r="B51" s="5" t="s">
        <v>94</v>
      </c>
      <c r="C51" s="5" t="s">
        <v>66</v>
      </c>
      <c r="D51" s="5" t="s">
        <v>4</v>
      </c>
      <c r="E51" s="5"/>
      <c r="F51" s="5"/>
      <c r="G51" s="5"/>
      <c r="H51" s="5"/>
      <c r="I51" s="8">
        <v>45960.625</v>
      </c>
      <c r="J51" s="9">
        <v>785016</v>
      </c>
      <c r="K51" s="5" t="s">
        <v>95</v>
      </c>
    </row>
    <row r="52" spans="1:11" s="3" customFormat="1" ht="21.95" customHeight="1" x14ac:dyDescent="0.4">
      <c r="A52" s="4">
        <v>1917</v>
      </c>
      <c r="B52" s="4" t="s">
        <v>94</v>
      </c>
      <c r="C52" s="4" t="s">
        <v>96</v>
      </c>
      <c r="D52" s="4" t="s">
        <v>18</v>
      </c>
      <c r="E52" s="4"/>
      <c r="F52" s="4"/>
      <c r="G52" s="4"/>
      <c r="H52" s="4"/>
      <c r="I52" s="6">
        <v>45960.625</v>
      </c>
      <c r="J52" s="7">
        <v>148259</v>
      </c>
      <c r="K52" s="4" t="s">
        <v>95</v>
      </c>
    </row>
    <row r="53" spans="1:11" s="3" customFormat="1" ht="21.95" customHeight="1" x14ac:dyDescent="0.4">
      <c r="A53" s="5" t="s">
        <v>32</v>
      </c>
      <c r="B53" s="5" t="s">
        <v>97</v>
      </c>
      <c r="C53" s="5" t="s">
        <v>98</v>
      </c>
      <c r="D53" s="5" t="s">
        <v>4</v>
      </c>
      <c r="E53" s="5"/>
      <c r="F53" s="5"/>
      <c r="G53" s="5"/>
      <c r="H53" s="5"/>
      <c r="I53" s="8"/>
      <c r="J53" s="9">
        <v>31073</v>
      </c>
      <c r="K53" s="5" t="s">
        <v>99</v>
      </c>
    </row>
    <row r="54" spans="1:11" s="3" customFormat="1" ht="21.95" customHeight="1" x14ac:dyDescent="0.4">
      <c r="A54" s="4">
        <v>1965</v>
      </c>
      <c r="B54" s="4" t="s">
        <v>100</v>
      </c>
      <c r="C54" s="4" t="s">
        <v>101</v>
      </c>
      <c r="D54" s="4" t="s">
        <v>4</v>
      </c>
      <c r="E54" s="4"/>
      <c r="F54" s="4"/>
      <c r="G54" s="4"/>
      <c r="H54" s="4"/>
      <c r="I54" s="6">
        <v>46067.625</v>
      </c>
      <c r="J54" s="7">
        <v>2800000</v>
      </c>
      <c r="K54" s="4" t="s">
        <v>32</v>
      </c>
    </row>
    <row r="55" spans="1:11" s="3" customFormat="1" ht="21.95" customHeight="1" x14ac:dyDescent="0.4">
      <c r="A55" s="5">
        <v>1967</v>
      </c>
      <c r="B55" s="5" t="s">
        <v>100</v>
      </c>
      <c r="C55" s="5" t="s">
        <v>102</v>
      </c>
      <c r="D55" s="5" t="s">
        <v>10</v>
      </c>
      <c r="E55" s="5"/>
      <c r="F55" s="5"/>
      <c r="G55" s="5"/>
      <c r="H55" s="5"/>
      <c r="I55" s="8">
        <v>46067.625</v>
      </c>
      <c r="J55" s="9">
        <v>198742</v>
      </c>
      <c r="K55" s="5" t="s">
        <v>32</v>
      </c>
    </row>
    <row r="56" spans="1:11" s="3" customFormat="1" ht="21.95" customHeight="1" x14ac:dyDescent="0.4">
      <c r="A56" s="4">
        <v>1966</v>
      </c>
      <c r="B56" s="4" t="s">
        <v>103</v>
      </c>
      <c r="C56" s="4" t="s">
        <v>101</v>
      </c>
      <c r="D56" s="4" t="s">
        <v>4</v>
      </c>
      <c r="E56" s="4"/>
      <c r="F56" s="4"/>
      <c r="G56" s="4"/>
      <c r="H56" s="4"/>
      <c r="I56" s="6">
        <v>46072.625</v>
      </c>
      <c r="J56" s="7">
        <v>3300000</v>
      </c>
      <c r="K56" s="4" t="s">
        <v>32</v>
      </c>
    </row>
    <row r="57" spans="1:11" s="3" customFormat="1" ht="21.95" customHeight="1" x14ac:dyDescent="0.4">
      <c r="A57" s="5">
        <v>1968</v>
      </c>
      <c r="B57" s="5" t="s">
        <v>103</v>
      </c>
      <c r="C57" s="5" t="s">
        <v>102</v>
      </c>
      <c r="D57" s="5" t="s">
        <v>10</v>
      </c>
      <c r="E57" s="5"/>
      <c r="F57" s="5"/>
      <c r="G57" s="5"/>
      <c r="H57" s="5"/>
      <c r="I57" s="8">
        <v>46072.625</v>
      </c>
      <c r="J57" s="9">
        <v>198742</v>
      </c>
      <c r="K57" s="5" t="s">
        <v>32</v>
      </c>
    </row>
    <row r="58" spans="1:11" s="3" customFormat="1" ht="21.95" customHeight="1" x14ac:dyDescent="0.4">
      <c r="A58" s="4">
        <v>1930</v>
      </c>
      <c r="B58" s="4" t="s">
        <v>104</v>
      </c>
      <c r="C58" s="4" t="s">
        <v>105</v>
      </c>
      <c r="D58" s="4" t="s">
        <v>4</v>
      </c>
      <c r="E58" s="4"/>
      <c r="F58" s="4"/>
      <c r="G58" s="4"/>
      <c r="H58" s="4"/>
      <c r="I58" s="6">
        <v>46000.625</v>
      </c>
      <c r="J58" s="7">
        <v>1980000</v>
      </c>
      <c r="K58" s="4" t="s">
        <v>106</v>
      </c>
    </row>
    <row r="59" spans="1:11" s="3" customFormat="1" ht="21.95" customHeight="1" x14ac:dyDescent="0.4">
      <c r="A59" s="5">
        <v>1933</v>
      </c>
      <c r="B59" s="5" t="s">
        <v>104</v>
      </c>
      <c r="C59" s="5" t="s">
        <v>107</v>
      </c>
      <c r="D59" s="5" t="s">
        <v>10</v>
      </c>
      <c r="E59" s="5"/>
      <c r="F59" s="5"/>
      <c r="G59" s="5"/>
      <c r="H59" s="5"/>
      <c r="I59" s="8">
        <v>46000.625</v>
      </c>
      <c r="J59" s="9">
        <v>73702</v>
      </c>
      <c r="K59" s="5" t="s">
        <v>32</v>
      </c>
    </row>
    <row r="60" spans="1:11" s="3" customFormat="1" ht="21.95" customHeight="1" x14ac:dyDescent="0.4">
      <c r="A60" s="4">
        <v>1949</v>
      </c>
      <c r="B60" s="4" t="s">
        <v>108</v>
      </c>
      <c r="C60" s="4" t="s">
        <v>41</v>
      </c>
      <c r="D60" s="4" t="s">
        <v>6</v>
      </c>
      <c r="E60" s="4"/>
      <c r="F60" s="4"/>
      <c r="G60" s="4"/>
      <c r="H60" s="4"/>
      <c r="I60" s="6"/>
      <c r="J60" s="7">
        <v>2000301</v>
      </c>
      <c r="K60" s="4" t="s">
        <v>44</v>
      </c>
    </row>
    <row r="61" spans="1:11" s="3" customFormat="1" ht="21.95" customHeight="1" x14ac:dyDescent="0.4">
      <c r="A61" s="5">
        <v>1023</v>
      </c>
      <c r="B61" s="5" t="s">
        <v>109</v>
      </c>
      <c r="C61" s="5" t="s">
        <v>110</v>
      </c>
      <c r="D61" s="5" t="s">
        <v>8</v>
      </c>
      <c r="E61" s="5"/>
      <c r="F61" s="5"/>
      <c r="G61" s="5"/>
      <c r="H61" s="5"/>
      <c r="I61" s="8"/>
      <c r="J61" s="9">
        <v>7704</v>
      </c>
      <c r="K61" s="5" t="s">
        <v>111</v>
      </c>
    </row>
    <row r="62" spans="1:11" s="3" customFormat="1" ht="21.95" customHeight="1" x14ac:dyDescent="0.4">
      <c r="A62" s="4">
        <v>1875</v>
      </c>
      <c r="B62" s="4" t="s">
        <v>112</v>
      </c>
      <c r="C62" s="4" t="s">
        <v>113</v>
      </c>
      <c r="D62" s="4" t="s">
        <v>4</v>
      </c>
      <c r="E62" s="4"/>
      <c r="F62" s="4"/>
      <c r="G62" s="4"/>
      <c r="H62" s="4"/>
      <c r="I62" s="6">
        <v>45929.625</v>
      </c>
      <c r="J62" s="7">
        <v>4200000</v>
      </c>
      <c r="K62" s="4" t="s">
        <v>32</v>
      </c>
    </row>
    <row r="63" spans="1:11" s="3" customFormat="1" ht="21.95" customHeight="1" x14ac:dyDescent="0.4">
      <c r="A63" s="5">
        <v>1891</v>
      </c>
      <c r="B63" s="5" t="s">
        <v>112</v>
      </c>
      <c r="C63" s="5" t="s">
        <v>41</v>
      </c>
      <c r="D63" s="5" t="s">
        <v>6</v>
      </c>
      <c r="E63" s="5"/>
      <c r="F63" s="5"/>
      <c r="G63" s="5"/>
      <c r="H63" s="5"/>
      <c r="I63" s="8">
        <v>45960.625</v>
      </c>
      <c r="J63" s="9">
        <v>933126</v>
      </c>
      <c r="K63" s="5" t="s">
        <v>32</v>
      </c>
    </row>
    <row r="64" spans="1:11" s="3" customFormat="1" ht="21.95" customHeight="1" x14ac:dyDescent="0.4">
      <c r="A64" s="4">
        <v>1892</v>
      </c>
      <c r="B64" s="4" t="s">
        <v>112</v>
      </c>
      <c r="C64" s="4" t="s">
        <v>62</v>
      </c>
      <c r="D64" s="4" t="s">
        <v>8</v>
      </c>
      <c r="E64" s="4"/>
      <c r="F64" s="4"/>
      <c r="G64" s="4"/>
      <c r="H64" s="4"/>
      <c r="I64" s="6">
        <v>45960.625</v>
      </c>
      <c r="J64" s="7">
        <v>150442</v>
      </c>
      <c r="K64" s="4" t="s">
        <v>32</v>
      </c>
    </row>
    <row r="65" spans="1:11" s="3" customFormat="1" ht="21.95" customHeight="1" x14ac:dyDescent="0.4">
      <c r="A65" s="5">
        <v>1891</v>
      </c>
      <c r="B65" s="5" t="s">
        <v>112</v>
      </c>
      <c r="C65" s="5" t="s">
        <v>114</v>
      </c>
      <c r="D65" s="5" t="s">
        <v>6</v>
      </c>
      <c r="E65" s="5"/>
      <c r="F65" s="5"/>
      <c r="G65" s="5"/>
      <c r="H65" s="5"/>
      <c r="I65" s="8"/>
      <c r="J65" s="9">
        <v>2482</v>
      </c>
      <c r="K65" s="5" t="s">
        <v>115</v>
      </c>
    </row>
    <row r="66" spans="1:11" s="3" customFormat="1" ht="21.95" customHeight="1" x14ac:dyDescent="0.4">
      <c r="A66" s="4" t="s">
        <v>32</v>
      </c>
      <c r="B66" s="4" t="s">
        <v>116</v>
      </c>
      <c r="C66" s="4" t="s">
        <v>41</v>
      </c>
      <c r="D66" s="4" t="s">
        <v>6</v>
      </c>
      <c r="E66" s="4"/>
      <c r="F66" s="4"/>
      <c r="G66" s="4"/>
      <c r="H66" s="4"/>
      <c r="I66" s="6"/>
      <c r="J66" s="7">
        <v>2500000</v>
      </c>
      <c r="K66" s="4" t="s">
        <v>117</v>
      </c>
    </row>
    <row r="67" spans="1:11" s="3" customFormat="1" ht="21.95" customHeight="1" x14ac:dyDescent="0.4">
      <c r="A67" s="5" t="s">
        <v>32</v>
      </c>
      <c r="B67" s="5" t="s">
        <v>116</v>
      </c>
      <c r="C67" s="5" t="s">
        <v>41</v>
      </c>
      <c r="D67" s="5" t="s">
        <v>6</v>
      </c>
      <c r="E67" s="5"/>
      <c r="F67" s="5"/>
      <c r="G67" s="5"/>
      <c r="H67" s="5"/>
      <c r="I67" s="8"/>
      <c r="J67" s="9"/>
      <c r="K67" s="5" t="s">
        <v>118</v>
      </c>
    </row>
    <row r="68" spans="1:11" s="3" customFormat="1" ht="21.95" customHeight="1" x14ac:dyDescent="0.4">
      <c r="A68" s="4" t="s">
        <v>32</v>
      </c>
      <c r="B68" s="4" t="s">
        <v>119</v>
      </c>
      <c r="C68" s="4" t="s">
        <v>41</v>
      </c>
      <c r="D68" s="4" t="s">
        <v>6</v>
      </c>
      <c r="E68" s="4"/>
      <c r="F68" s="4"/>
      <c r="G68" s="4"/>
      <c r="H68" s="4"/>
      <c r="I68" s="6"/>
      <c r="J68" s="7">
        <v>2500000</v>
      </c>
      <c r="K68" s="4" t="s">
        <v>117</v>
      </c>
    </row>
    <row r="69" spans="1:11" s="3" customFormat="1" ht="21.95" customHeight="1" x14ac:dyDescent="0.4">
      <c r="A69" s="5" t="s">
        <v>32</v>
      </c>
      <c r="B69" s="5" t="s">
        <v>119</v>
      </c>
      <c r="C69" s="5" t="s">
        <v>41</v>
      </c>
      <c r="D69" s="5" t="s">
        <v>6</v>
      </c>
      <c r="E69" s="5"/>
      <c r="F69" s="5"/>
      <c r="G69" s="5"/>
      <c r="H69" s="5"/>
      <c r="I69" s="8"/>
      <c r="J69" s="9"/>
      <c r="K69" s="5" t="s">
        <v>118</v>
      </c>
    </row>
    <row r="70" spans="1:11" s="3" customFormat="1" ht="21.95" customHeight="1" x14ac:dyDescent="0.4">
      <c r="A70" s="4">
        <v>848</v>
      </c>
      <c r="B70" s="4" t="s">
        <v>120</v>
      </c>
      <c r="C70" s="4" t="s">
        <v>76</v>
      </c>
      <c r="D70" s="4" t="s">
        <v>6</v>
      </c>
      <c r="E70" s="4"/>
      <c r="F70" s="4"/>
      <c r="G70" s="4"/>
      <c r="H70" s="4"/>
      <c r="I70" s="6"/>
      <c r="J70" s="7">
        <v>70620</v>
      </c>
      <c r="K70" s="4" t="s">
        <v>32</v>
      </c>
    </row>
    <row r="71" spans="1:11" s="3" customFormat="1" ht="21.95" customHeight="1" x14ac:dyDescent="0.4">
      <c r="A71" s="5">
        <v>1397</v>
      </c>
      <c r="B71" s="5" t="s">
        <v>121</v>
      </c>
      <c r="C71" s="5" t="s">
        <v>122</v>
      </c>
      <c r="D71" s="5" t="s">
        <v>10</v>
      </c>
      <c r="E71" s="5"/>
      <c r="F71" s="5"/>
      <c r="G71" s="5"/>
      <c r="H71" s="5"/>
      <c r="I71" s="8"/>
      <c r="J71" s="9">
        <v>199705</v>
      </c>
      <c r="K71" s="5" t="s">
        <v>32</v>
      </c>
    </row>
    <row r="72" spans="1:11" s="3" customFormat="1" ht="21.95" customHeight="1" x14ac:dyDescent="0.4">
      <c r="A72" s="4">
        <v>702</v>
      </c>
      <c r="B72" s="4" t="s">
        <v>123</v>
      </c>
      <c r="C72" s="4" t="s">
        <v>124</v>
      </c>
      <c r="D72" s="4" t="s">
        <v>4</v>
      </c>
      <c r="E72" s="4"/>
      <c r="F72" s="4"/>
      <c r="G72" s="4"/>
      <c r="H72" s="4"/>
      <c r="I72" s="6"/>
      <c r="J72" s="7">
        <v>148800</v>
      </c>
      <c r="K72" s="4" t="s">
        <v>32</v>
      </c>
    </row>
    <row r="73" spans="1:11" s="3" customFormat="1" ht="21.95" customHeight="1" x14ac:dyDescent="0.4">
      <c r="A73" s="5">
        <v>703</v>
      </c>
      <c r="B73" s="5" t="s">
        <v>123</v>
      </c>
      <c r="C73" s="5" t="s">
        <v>125</v>
      </c>
      <c r="D73" s="5" t="s">
        <v>4</v>
      </c>
      <c r="E73" s="5"/>
      <c r="F73" s="5"/>
      <c r="G73" s="5"/>
      <c r="H73" s="5"/>
      <c r="I73" s="8"/>
      <c r="J73" s="9">
        <v>174000</v>
      </c>
      <c r="K73" s="5" t="s">
        <v>32</v>
      </c>
    </row>
    <row r="74" spans="1:11" s="3" customFormat="1" ht="21.95" customHeight="1" x14ac:dyDescent="0.4">
      <c r="A74" s="4">
        <v>1959</v>
      </c>
      <c r="B74" s="4" t="s">
        <v>123</v>
      </c>
      <c r="C74" s="4" t="s">
        <v>126</v>
      </c>
      <c r="D74" s="4" t="s">
        <v>4</v>
      </c>
      <c r="E74" s="4"/>
      <c r="F74" s="4"/>
      <c r="G74" s="4"/>
      <c r="H74" s="4"/>
      <c r="I74" s="6">
        <v>46114.625</v>
      </c>
      <c r="J74" s="7">
        <v>4140000</v>
      </c>
      <c r="K74" s="4" t="s">
        <v>32</v>
      </c>
    </row>
    <row r="75" spans="1:11" s="3" customFormat="1" ht="21.95" customHeight="1" x14ac:dyDescent="0.4">
      <c r="A75" s="5">
        <v>1960</v>
      </c>
      <c r="B75" s="5" t="s">
        <v>123</v>
      </c>
      <c r="C75" s="5" t="s">
        <v>127</v>
      </c>
      <c r="D75" s="5" t="s">
        <v>4</v>
      </c>
      <c r="E75" s="5"/>
      <c r="F75" s="5"/>
      <c r="G75" s="5"/>
      <c r="H75" s="5"/>
      <c r="I75" s="8">
        <v>46114.625</v>
      </c>
      <c r="J75" s="9">
        <v>3700000</v>
      </c>
      <c r="K75" s="5" t="s">
        <v>32</v>
      </c>
    </row>
    <row r="76" spans="1:11" s="3" customFormat="1" ht="21.95" customHeight="1" x14ac:dyDescent="0.4">
      <c r="A76" s="4">
        <v>713</v>
      </c>
      <c r="B76" s="4" t="s">
        <v>128</v>
      </c>
      <c r="C76" s="4" t="s">
        <v>124</v>
      </c>
      <c r="D76" s="4" t="s">
        <v>4</v>
      </c>
      <c r="E76" s="4"/>
      <c r="F76" s="4"/>
      <c r="G76" s="4"/>
      <c r="H76" s="4"/>
      <c r="I76" s="6"/>
      <c r="J76" s="7">
        <v>148800</v>
      </c>
      <c r="K76" s="4" t="s">
        <v>32</v>
      </c>
    </row>
    <row r="77" spans="1:11" s="3" customFormat="1" ht="21.95" customHeight="1" x14ac:dyDescent="0.4">
      <c r="A77" s="5">
        <v>714</v>
      </c>
      <c r="B77" s="5" t="s">
        <v>128</v>
      </c>
      <c r="C77" s="5" t="s">
        <v>125</v>
      </c>
      <c r="D77" s="5" t="s">
        <v>4</v>
      </c>
      <c r="E77" s="5"/>
      <c r="F77" s="5"/>
      <c r="G77" s="5"/>
      <c r="H77" s="5"/>
      <c r="I77" s="8"/>
      <c r="J77" s="9">
        <v>174000</v>
      </c>
      <c r="K77" s="5" t="s">
        <v>32</v>
      </c>
    </row>
    <row r="78" spans="1:11" s="3" customFormat="1" ht="21.95" customHeight="1" x14ac:dyDescent="0.4">
      <c r="A78" s="4">
        <v>184</v>
      </c>
      <c r="B78" s="4" t="s">
        <v>128</v>
      </c>
      <c r="C78" s="4" t="s">
        <v>129</v>
      </c>
      <c r="D78" s="4" t="s">
        <v>18</v>
      </c>
      <c r="E78" s="4"/>
      <c r="F78" s="4"/>
      <c r="G78" s="4"/>
      <c r="H78" s="4"/>
      <c r="I78" s="6"/>
      <c r="J78" s="7">
        <v>115614</v>
      </c>
      <c r="K78" s="4" t="s">
        <v>32</v>
      </c>
    </row>
    <row r="79" spans="1:11" s="3" customFormat="1" ht="21.95" customHeight="1" x14ac:dyDescent="0.4">
      <c r="A79" s="5">
        <v>714</v>
      </c>
      <c r="B79" s="5" t="s">
        <v>128</v>
      </c>
      <c r="C79" s="5" t="s">
        <v>130</v>
      </c>
      <c r="D79" s="5" t="s">
        <v>4</v>
      </c>
      <c r="E79" s="5"/>
      <c r="F79" s="5"/>
      <c r="G79" s="5"/>
      <c r="H79" s="5"/>
      <c r="I79" s="8"/>
      <c r="J79" s="9">
        <v>174000</v>
      </c>
      <c r="K79" s="5" t="s">
        <v>131</v>
      </c>
    </row>
    <row r="80" spans="1:11" s="3" customFormat="1" ht="21.95" customHeight="1" x14ac:dyDescent="0.4">
      <c r="A80" s="4">
        <v>1962</v>
      </c>
      <c r="B80" s="4" t="s">
        <v>128</v>
      </c>
      <c r="C80" s="4" t="s">
        <v>132</v>
      </c>
      <c r="D80" s="4" t="s">
        <v>4</v>
      </c>
      <c r="E80" s="4"/>
      <c r="F80" s="4"/>
      <c r="G80" s="4"/>
      <c r="H80" s="4"/>
      <c r="I80" s="6">
        <v>46114.625</v>
      </c>
      <c r="J80" s="7">
        <v>4150000</v>
      </c>
      <c r="K80" s="4" t="s">
        <v>32</v>
      </c>
    </row>
    <row r="81" spans="1:11" s="3" customFormat="1" ht="21.95" customHeight="1" x14ac:dyDescent="0.4">
      <c r="A81" s="5">
        <v>1961</v>
      </c>
      <c r="B81" s="5" t="s">
        <v>128</v>
      </c>
      <c r="C81" s="5" t="s">
        <v>133</v>
      </c>
      <c r="D81" s="5" t="s">
        <v>4</v>
      </c>
      <c r="E81" s="5"/>
      <c r="F81" s="5"/>
      <c r="G81" s="5"/>
      <c r="H81" s="5"/>
      <c r="I81" s="8">
        <v>46114.625</v>
      </c>
      <c r="J81" s="9">
        <v>3700000</v>
      </c>
      <c r="K81" s="5" t="s">
        <v>32</v>
      </c>
    </row>
    <row r="82" spans="1:11" s="3" customFormat="1" ht="21.95" customHeight="1" x14ac:dyDescent="0.4">
      <c r="A82" s="4">
        <v>1626</v>
      </c>
      <c r="B82" s="4" t="s">
        <v>134</v>
      </c>
      <c r="C82" s="4" t="s">
        <v>41</v>
      </c>
      <c r="D82" s="4" t="s">
        <v>6</v>
      </c>
      <c r="E82" s="4"/>
      <c r="F82" s="4"/>
      <c r="G82" s="4"/>
      <c r="H82" s="4"/>
      <c r="I82" s="6">
        <v>45990.625</v>
      </c>
      <c r="J82" s="7">
        <v>1050000</v>
      </c>
      <c r="K82" s="4" t="s">
        <v>135</v>
      </c>
    </row>
    <row r="83" spans="1:11" s="3" customFormat="1" ht="21.95" customHeight="1" x14ac:dyDescent="0.4">
      <c r="A83" s="5">
        <v>1805</v>
      </c>
      <c r="B83" s="5" t="s">
        <v>136</v>
      </c>
      <c r="C83" s="5" t="s">
        <v>54</v>
      </c>
      <c r="D83" s="5" t="s">
        <v>4</v>
      </c>
      <c r="E83" s="5"/>
      <c r="F83" s="5"/>
      <c r="G83" s="5"/>
      <c r="H83" s="5"/>
      <c r="I83" s="8"/>
      <c r="J83" s="9">
        <v>2878</v>
      </c>
      <c r="K83" s="5" t="s">
        <v>137</v>
      </c>
    </row>
    <row r="84" spans="1:11" s="3" customFormat="1" ht="21.95" customHeight="1" x14ac:dyDescent="0.4">
      <c r="A84" s="4">
        <v>1927</v>
      </c>
      <c r="B84" s="4" t="s">
        <v>138</v>
      </c>
      <c r="C84" s="4" t="s">
        <v>139</v>
      </c>
      <c r="D84" s="4" t="s">
        <v>4</v>
      </c>
      <c r="E84" s="4"/>
      <c r="F84" s="4"/>
      <c r="G84" s="4"/>
      <c r="H84" s="4"/>
      <c r="I84" s="6">
        <v>46047.625</v>
      </c>
      <c r="J84" s="7">
        <v>9600</v>
      </c>
      <c r="K84" s="4" t="s">
        <v>140</v>
      </c>
    </row>
    <row r="85" spans="1:11" s="3" customFormat="1" ht="21.95" customHeight="1" x14ac:dyDescent="0.4">
      <c r="A85" s="5">
        <v>1927</v>
      </c>
      <c r="B85" s="5" t="s">
        <v>141</v>
      </c>
      <c r="C85" s="5" t="s">
        <v>142</v>
      </c>
      <c r="D85" s="5" t="s">
        <v>4</v>
      </c>
      <c r="E85" s="5"/>
      <c r="F85" s="5"/>
      <c r="G85" s="5"/>
      <c r="H85" s="5"/>
      <c r="I85" s="8"/>
      <c r="J85" s="9">
        <v>6955</v>
      </c>
      <c r="K85" s="5" t="s">
        <v>143</v>
      </c>
    </row>
    <row r="86" spans="1:11" s="3" customFormat="1" ht="21.95" customHeight="1" x14ac:dyDescent="0.4">
      <c r="A86" s="4">
        <v>1363</v>
      </c>
      <c r="B86" s="4" t="s">
        <v>144</v>
      </c>
      <c r="C86" s="4" t="s">
        <v>41</v>
      </c>
      <c r="D86" s="4" t="s">
        <v>6</v>
      </c>
      <c r="E86" s="4"/>
      <c r="F86" s="4"/>
      <c r="G86" s="4"/>
      <c r="H86" s="4"/>
      <c r="I86" s="6">
        <v>45946.625</v>
      </c>
      <c r="J86" s="7">
        <v>819149</v>
      </c>
      <c r="K86" s="4" t="s">
        <v>32</v>
      </c>
    </row>
    <row r="87" spans="1:11" s="3" customFormat="1" ht="21.95" customHeight="1" x14ac:dyDescent="0.4">
      <c r="A87" s="5">
        <v>1364</v>
      </c>
      <c r="B87" s="5" t="s">
        <v>144</v>
      </c>
      <c r="C87" s="5" t="s">
        <v>62</v>
      </c>
      <c r="D87" s="5" t="s">
        <v>8</v>
      </c>
      <c r="E87" s="5"/>
      <c r="F87" s="5"/>
      <c r="G87" s="5"/>
      <c r="H87" s="5"/>
      <c r="I87" s="8">
        <v>45946.625</v>
      </c>
      <c r="J87" s="9">
        <v>60840</v>
      </c>
      <c r="K87" s="5" t="s">
        <v>32</v>
      </c>
    </row>
    <row r="88" spans="1:11" s="3" customFormat="1" ht="21.95" customHeight="1" x14ac:dyDescent="0.4">
      <c r="A88" s="4">
        <v>1331</v>
      </c>
      <c r="B88" s="4" t="s">
        <v>144</v>
      </c>
      <c r="C88" s="4" t="s">
        <v>145</v>
      </c>
      <c r="D88" s="4" t="s">
        <v>14</v>
      </c>
      <c r="E88" s="4"/>
      <c r="F88" s="4"/>
      <c r="G88" s="4"/>
      <c r="H88" s="4"/>
      <c r="I88" s="6"/>
      <c r="J88" s="7">
        <v>28077</v>
      </c>
      <c r="K88" s="4" t="s">
        <v>32</v>
      </c>
    </row>
    <row r="89" spans="1:11" s="3" customFormat="1" ht="21.95" customHeight="1" x14ac:dyDescent="0.4">
      <c r="A89" s="5">
        <v>1495</v>
      </c>
      <c r="B89" s="5" t="s">
        <v>144</v>
      </c>
      <c r="C89" s="5" t="s">
        <v>146</v>
      </c>
      <c r="D89" s="5" t="s">
        <v>14</v>
      </c>
      <c r="E89" s="5"/>
      <c r="F89" s="5"/>
      <c r="G89" s="5"/>
      <c r="H89" s="5"/>
      <c r="I89" s="8"/>
      <c r="J89" s="9">
        <v>212802</v>
      </c>
      <c r="K89" s="5" t="s">
        <v>32</v>
      </c>
    </row>
    <row r="90" spans="1:11" s="3" customFormat="1" ht="21.95" customHeight="1" x14ac:dyDescent="0.4">
      <c r="A90" s="4">
        <v>1886</v>
      </c>
      <c r="B90" s="4" t="s">
        <v>147</v>
      </c>
      <c r="C90" s="4" t="s">
        <v>41</v>
      </c>
      <c r="D90" s="4" t="s">
        <v>6</v>
      </c>
      <c r="E90" s="4"/>
      <c r="F90" s="4"/>
      <c r="G90" s="4"/>
      <c r="H90" s="4"/>
      <c r="I90" s="6">
        <v>45929.625</v>
      </c>
      <c r="J90" s="7">
        <v>850223</v>
      </c>
      <c r="K90" s="4" t="s">
        <v>32</v>
      </c>
    </row>
    <row r="91" spans="1:11" s="3" customFormat="1" ht="21.95" customHeight="1" x14ac:dyDescent="0.4">
      <c r="A91" s="5">
        <v>1887</v>
      </c>
      <c r="B91" s="5" t="s">
        <v>147</v>
      </c>
      <c r="C91" s="5" t="s">
        <v>62</v>
      </c>
      <c r="D91" s="5" t="s">
        <v>8</v>
      </c>
      <c r="E91" s="5"/>
      <c r="F91" s="5"/>
      <c r="G91" s="5"/>
      <c r="H91" s="5"/>
      <c r="I91" s="8">
        <v>45929.625</v>
      </c>
      <c r="J91" s="9">
        <v>99767</v>
      </c>
      <c r="K91" s="5" t="s">
        <v>32</v>
      </c>
    </row>
    <row r="92" spans="1:11" s="3" customFormat="1" ht="21.95" customHeight="1" x14ac:dyDescent="0.4">
      <c r="A92" s="4">
        <v>1889</v>
      </c>
      <c r="B92" s="4" t="s">
        <v>148</v>
      </c>
      <c r="C92" s="4" t="s">
        <v>62</v>
      </c>
      <c r="D92" s="4" t="s">
        <v>8</v>
      </c>
      <c r="E92" s="4"/>
      <c r="F92" s="4"/>
      <c r="G92" s="4"/>
      <c r="H92" s="4"/>
      <c r="I92" s="6">
        <v>45929.625</v>
      </c>
      <c r="J92" s="7">
        <v>101243</v>
      </c>
      <c r="K92" s="4" t="s">
        <v>32</v>
      </c>
    </row>
    <row r="93" spans="1:11" s="3" customFormat="1" ht="21.95" customHeight="1" x14ac:dyDescent="0.4">
      <c r="A93" s="5">
        <v>1864</v>
      </c>
      <c r="B93" s="5" t="s">
        <v>148</v>
      </c>
      <c r="C93" s="5" t="s">
        <v>149</v>
      </c>
      <c r="D93" s="5" t="s">
        <v>10</v>
      </c>
      <c r="E93" s="5"/>
      <c r="F93" s="5"/>
      <c r="G93" s="5"/>
      <c r="H93" s="5"/>
      <c r="I93" s="8"/>
      <c r="J93" s="9">
        <v>72499</v>
      </c>
      <c r="K93" s="5" t="s">
        <v>150</v>
      </c>
    </row>
    <row r="94" spans="1:11" s="3" customFormat="1" ht="21.95" customHeight="1" x14ac:dyDescent="0.4">
      <c r="A94" s="4">
        <v>1888</v>
      </c>
      <c r="B94" s="4" t="s">
        <v>148</v>
      </c>
      <c r="C94" s="4" t="s">
        <v>41</v>
      </c>
      <c r="D94" s="4" t="s">
        <v>6</v>
      </c>
      <c r="E94" s="4"/>
      <c r="F94" s="4"/>
      <c r="G94" s="4"/>
      <c r="H94" s="4"/>
      <c r="I94" s="6">
        <v>45929.625</v>
      </c>
      <c r="J94" s="7">
        <v>898757</v>
      </c>
      <c r="K94" s="4" t="s">
        <v>32</v>
      </c>
    </row>
    <row r="95" spans="1:11" s="3" customFormat="1" ht="21.95" customHeight="1" x14ac:dyDescent="0.4">
      <c r="A95" s="5">
        <v>1923</v>
      </c>
      <c r="B95" s="5" t="s">
        <v>151</v>
      </c>
      <c r="C95" s="5" t="s">
        <v>152</v>
      </c>
      <c r="D95" s="5" t="s">
        <v>4</v>
      </c>
      <c r="E95" s="5"/>
      <c r="F95" s="5"/>
      <c r="G95" s="5"/>
      <c r="H95" s="5"/>
      <c r="I95" s="8">
        <v>45988.625</v>
      </c>
      <c r="J95" s="9">
        <v>3500000</v>
      </c>
      <c r="K95" s="5" t="s">
        <v>153</v>
      </c>
    </row>
    <row r="96" spans="1:11" s="3" customFormat="1" ht="21.95" customHeight="1" x14ac:dyDescent="0.4">
      <c r="A96" s="4">
        <v>1923</v>
      </c>
      <c r="B96" s="4" t="s">
        <v>151</v>
      </c>
      <c r="C96" s="4" t="s">
        <v>154</v>
      </c>
      <c r="D96" s="4" t="s">
        <v>4</v>
      </c>
      <c r="E96" s="4"/>
      <c r="F96" s="4"/>
      <c r="G96" s="4"/>
      <c r="H96" s="4"/>
      <c r="I96" s="6"/>
      <c r="J96" s="7">
        <v>26322</v>
      </c>
      <c r="K96" s="4" t="s">
        <v>32</v>
      </c>
    </row>
    <row r="97" spans="1:11" s="3" customFormat="1" ht="21.95" customHeight="1" x14ac:dyDescent="0.4">
      <c r="A97" s="5">
        <v>1956</v>
      </c>
      <c r="B97" s="5" t="s">
        <v>155</v>
      </c>
      <c r="C97" s="5" t="s">
        <v>62</v>
      </c>
      <c r="D97" s="5" t="s">
        <v>8</v>
      </c>
      <c r="E97" s="5"/>
      <c r="F97" s="5"/>
      <c r="G97" s="5"/>
      <c r="H97" s="5"/>
      <c r="I97" s="8">
        <v>46065.625</v>
      </c>
      <c r="J97" s="9">
        <v>150000</v>
      </c>
      <c r="K97" s="5" t="s">
        <v>32</v>
      </c>
    </row>
    <row r="98" spans="1:11" s="3" customFormat="1" ht="21.95" customHeight="1" x14ac:dyDescent="0.4">
      <c r="A98" s="4">
        <v>1957</v>
      </c>
      <c r="B98" s="4" t="s">
        <v>155</v>
      </c>
      <c r="C98" s="4" t="s">
        <v>61</v>
      </c>
      <c r="D98" s="4" t="s">
        <v>12</v>
      </c>
      <c r="E98" s="4"/>
      <c r="F98" s="4"/>
      <c r="G98" s="4"/>
      <c r="H98" s="4"/>
      <c r="I98" s="6">
        <v>46065.625</v>
      </c>
      <c r="J98" s="7">
        <v>300000</v>
      </c>
      <c r="K98" s="4" t="s">
        <v>32</v>
      </c>
    </row>
    <row r="99" spans="1:11" s="3" customFormat="1" ht="21.95" customHeight="1" x14ac:dyDescent="0.4">
      <c r="A99" s="5" t="s">
        <v>32</v>
      </c>
      <c r="B99" s="5" t="s">
        <v>155</v>
      </c>
      <c r="C99" s="5" t="s">
        <v>156</v>
      </c>
      <c r="D99" s="5" t="s">
        <v>14</v>
      </c>
      <c r="E99" s="5"/>
      <c r="F99" s="5"/>
      <c r="G99" s="5"/>
      <c r="H99" s="5"/>
      <c r="I99" s="8"/>
      <c r="J99" s="9">
        <v>1000000</v>
      </c>
      <c r="K99" s="5" t="s">
        <v>32</v>
      </c>
    </row>
    <row r="100" spans="1:11" s="3" customFormat="1" ht="21.95" customHeight="1" x14ac:dyDescent="0.4">
      <c r="A100" s="4">
        <v>1975</v>
      </c>
      <c r="B100" s="4" t="s">
        <v>157</v>
      </c>
      <c r="C100" s="4" t="s">
        <v>61</v>
      </c>
      <c r="D100" s="4" t="s">
        <v>12</v>
      </c>
      <c r="E100" s="4"/>
      <c r="F100" s="4"/>
      <c r="G100" s="4"/>
      <c r="H100" s="4"/>
      <c r="I100" s="6"/>
      <c r="J100" s="7">
        <v>300000</v>
      </c>
      <c r="K100" s="4" t="s">
        <v>32</v>
      </c>
    </row>
    <row r="101" spans="1:11" s="3" customFormat="1" ht="21.95" customHeight="1" x14ac:dyDescent="0.4">
      <c r="A101" s="5">
        <v>1976</v>
      </c>
      <c r="B101" s="5" t="s">
        <v>157</v>
      </c>
      <c r="C101" s="5" t="s">
        <v>62</v>
      </c>
      <c r="D101" s="5" t="s">
        <v>8</v>
      </c>
      <c r="E101" s="5"/>
      <c r="F101" s="5"/>
      <c r="G101" s="5"/>
      <c r="H101" s="5"/>
      <c r="I101" s="8"/>
      <c r="J101" s="9">
        <v>150000</v>
      </c>
      <c r="K101" s="5" t="s">
        <v>32</v>
      </c>
    </row>
    <row r="102" spans="1:11" s="3" customFormat="1" ht="21.95" customHeight="1" x14ac:dyDescent="0.4">
      <c r="A102" s="4" t="s">
        <v>32</v>
      </c>
      <c r="B102" s="4" t="s">
        <v>157</v>
      </c>
      <c r="C102" s="4" t="s">
        <v>156</v>
      </c>
      <c r="D102" s="4" t="s">
        <v>14</v>
      </c>
      <c r="E102" s="4"/>
      <c r="F102" s="4"/>
      <c r="G102" s="4"/>
      <c r="H102" s="4"/>
      <c r="I102" s="6"/>
      <c r="J102" s="7">
        <v>1000000</v>
      </c>
      <c r="K102" s="4" t="s">
        <v>32</v>
      </c>
    </row>
    <row r="103" spans="1:11" s="3" customFormat="1" ht="21.95" customHeight="1" x14ac:dyDescent="0.4">
      <c r="A103" s="5">
        <v>1992</v>
      </c>
      <c r="B103" s="5" t="s">
        <v>158</v>
      </c>
      <c r="C103" s="5" t="s">
        <v>159</v>
      </c>
      <c r="D103" s="5" t="s">
        <v>18</v>
      </c>
      <c r="E103" s="5"/>
      <c r="F103" s="5"/>
      <c r="G103" s="5"/>
      <c r="H103" s="5"/>
      <c r="I103" s="8"/>
      <c r="J103" s="9"/>
      <c r="K103" s="5" t="s">
        <v>160</v>
      </c>
    </row>
    <row r="104" spans="1:11" s="3" customFormat="1" ht="21.95" customHeight="1" x14ac:dyDescent="0.4">
      <c r="A104" s="4">
        <v>1923</v>
      </c>
      <c r="B104" s="4" t="s">
        <v>161</v>
      </c>
      <c r="C104" s="4" t="s">
        <v>66</v>
      </c>
      <c r="D104" s="4" t="s">
        <v>4</v>
      </c>
      <c r="E104" s="4"/>
      <c r="F104" s="4"/>
      <c r="G104" s="4"/>
      <c r="H104" s="4"/>
      <c r="I104" s="6"/>
      <c r="J104" s="7">
        <v>128165</v>
      </c>
      <c r="K104" s="4" t="s">
        <v>162</v>
      </c>
    </row>
    <row r="105" spans="1:11" s="3" customFormat="1" ht="21.95" customHeight="1" x14ac:dyDescent="0.4">
      <c r="A105" s="5">
        <v>1991</v>
      </c>
      <c r="B105" s="5" t="s">
        <v>161</v>
      </c>
      <c r="C105" s="5" t="s">
        <v>159</v>
      </c>
      <c r="D105" s="5" t="s">
        <v>18</v>
      </c>
      <c r="E105" s="5"/>
      <c r="F105" s="5"/>
      <c r="G105" s="5"/>
      <c r="H105" s="5"/>
      <c r="I105" s="8"/>
      <c r="J105" s="9">
        <v>72720</v>
      </c>
      <c r="K105" s="5" t="s">
        <v>160</v>
      </c>
    </row>
    <row r="106" spans="1:11" s="3" customFormat="1" ht="21.95" customHeight="1" x14ac:dyDescent="0.4">
      <c r="A106" s="4">
        <v>1993</v>
      </c>
      <c r="B106" s="4" t="s">
        <v>163</v>
      </c>
      <c r="C106" s="4" t="s">
        <v>164</v>
      </c>
      <c r="D106" s="4" t="s">
        <v>18</v>
      </c>
      <c r="E106" s="4"/>
      <c r="F106" s="4"/>
      <c r="G106" s="4"/>
      <c r="H106" s="4"/>
      <c r="I106" s="6"/>
      <c r="J106" s="7">
        <v>23829</v>
      </c>
      <c r="K106" s="4" t="s">
        <v>165</v>
      </c>
    </row>
    <row r="107" spans="1:11" s="3" customFormat="1" ht="21.95" customHeight="1" x14ac:dyDescent="0.4">
      <c r="A107" s="5">
        <v>1994</v>
      </c>
      <c r="B107" s="5" t="s">
        <v>166</v>
      </c>
      <c r="C107" s="5" t="s">
        <v>164</v>
      </c>
      <c r="D107" s="5" t="s">
        <v>18</v>
      </c>
      <c r="E107" s="5"/>
      <c r="F107" s="5"/>
      <c r="G107" s="5"/>
      <c r="H107" s="5"/>
      <c r="I107" s="8"/>
      <c r="J107" s="9">
        <v>15611</v>
      </c>
      <c r="K107" s="5" t="s">
        <v>165</v>
      </c>
    </row>
    <row r="108" spans="1:11" s="3" customFormat="1" ht="21.95" customHeight="1" x14ac:dyDescent="0.4">
      <c r="A108" s="4">
        <v>1883</v>
      </c>
      <c r="B108" s="4" t="s">
        <v>167</v>
      </c>
      <c r="C108" s="4" t="s">
        <v>168</v>
      </c>
      <c r="D108" s="4" t="s">
        <v>10</v>
      </c>
      <c r="E108" s="4"/>
      <c r="F108" s="4"/>
      <c r="G108" s="4"/>
      <c r="H108" s="4"/>
      <c r="I108" s="6">
        <v>45687.625</v>
      </c>
      <c r="J108" s="7">
        <v>265403</v>
      </c>
      <c r="K108" s="4" t="s">
        <v>169</v>
      </c>
    </row>
    <row r="109" spans="1:11" s="3" customFormat="1" ht="21.95" customHeight="1" x14ac:dyDescent="0.4">
      <c r="A109" s="5">
        <v>1884</v>
      </c>
      <c r="B109" s="5" t="s">
        <v>167</v>
      </c>
      <c r="C109" s="5" t="s">
        <v>168</v>
      </c>
      <c r="D109" s="5" t="s">
        <v>10</v>
      </c>
      <c r="E109" s="5"/>
      <c r="F109" s="5"/>
      <c r="G109" s="5"/>
      <c r="H109" s="5"/>
      <c r="I109" s="8">
        <v>45687.625</v>
      </c>
      <c r="J109" s="9">
        <v>1200000</v>
      </c>
      <c r="K109" s="5" t="s">
        <v>170</v>
      </c>
    </row>
    <row r="110" spans="1:11" s="3" customFormat="1" ht="21.95" customHeight="1" x14ac:dyDescent="0.4">
      <c r="A110" s="4">
        <v>1936</v>
      </c>
      <c r="B110" s="4" t="s">
        <v>167</v>
      </c>
      <c r="C110" s="4" t="s">
        <v>168</v>
      </c>
      <c r="D110" s="4" t="s">
        <v>10</v>
      </c>
      <c r="E110" s="4"/>
      <c r="F110" s="4"/>
      <c r="G110" s="4"/>
      <c r="H110" s="4"/>
      <c r="I110" s="6">
        <v>45687.625</v>
      </c>
      <c r="J110" s="7">
        <v>500000</v>
      </c>
      <c r="K110" s="4" t="s">
        <v>171</v>
      </c>
    </row>
    <row r="111" spans="1:11" s="3" customFormat="1" ht="21.95" customHeight="1" x14ac:dyDescent="0.4">
      <c r="A111" s="5">
        <v>1978</v>
      </c>
      <c r="B111" s="5" t="s">
        <v>167</v>
      </c>
      <c r="C111" s="5" t="s">
        <v>41</v>
      </c>
      <c r="D111" s="5" t="s">
        <v>6</v>
      </c>
      <c r="E111" s="5"/>
      <c r="F111" s="5"/>
      <c r="G111" s="5"/>
      <c r="H111" s="5"/>
      <c r="I111" s="8">
        <v>46111.625</v>
      </c>
      <c r="J111" s="9">
        <v>1200000</v>
      </c>
      <c r="K111" s="5" t="s">
        <v>32</v>
      </c>
    </row>
    <row r="112" spans="1:11" s="3" customFormat="1" ht="21.95" customHeight="1" x14ac:dyDescent="0.4">
      <c r="A112" s="4" t="s">
        <v>32</v>
      </c>
      <c r="B112" s="4" t="s">
        <v>167</v>
      </c>
      <c r="C112" s="4" t="s">
        <v>62</v>
      </c>
      <c r="D112" s="4" t="s">
        <v>8</v>
      </c>
      <c r="E112" s="4"/>
      <c r="F112" s="4"/>
      <c r="G112" s="4"/>
      <c r="H112" s="4"/>
      <c r="I112" s="6"/>
      <c r="J112" s="7">
        <v>180000</v>
      </c>
      <c r="K112" s="4" t="s">
        <v>32</v>
      </c>
    </row>
    <row r="113" spans="1:11" s="3" customFormat="1" ht="21.95" customHeight="1" x14ac:dyDescent="0.4">
      <c r="A113" s="5">
        <v>1969</v>
      </c>
      <c r="B113" s="5" t="s">
        <v>172</v>
      </c>
      <c r="C113" s="5" t="s">
        <v>173</v>
      </c>
      <c r="D113" s="5" t="s">
        <v>18</v>
      </c>
      <c r="E113" s="5"/>
      <c r="F113" s="5"/>
      <c r="G113" s="5"/>
      <c r="H113" s="5"/>
      <c r="I113" s="8">
        <v>46052.625</v>
      </c>
      <c r="J113" s="9">
        <v>50000</v>
      </c>
      <c r="K113" s="5" t="s">
        <v>32</v>
      </c>
    </row>
    <row r="114" spans="1:11" s="3" customFormat="1" ht="21.95" customHeight="1" x14ac:dyDescent="0.4">
      <c r="A114" s="4">
        <v>1881</v>
      </c>
      <c r="B114" s="4" t="s">
        <v>174</v>
      </c>
      <c r="C114" s="4" t="s">
        <v>168</v>
      </c>
      <c r="D114" s="4" t="s">
        <v>10</v>
      </c>
      <c r="E114" s="4"/>
      <c r="F114" s="4"/>
      <c r="G114" s="4"/>
      <c r="H114" s="4"/>
      <c r="I114" s="6">
        <v>45687.625</v>
      </c>
      <c r="J114" s="7">
        <v>265403</v>
      </c>
      <c r="K114" s="4" t="s">
        <v>169</v>
      </c>
    </row>
    <row r="115" spans="1:11" s="3" customFormat="1" ht="21.95" customHeight="1" x14ac:dyDescent="0.4">
      <c r="A115" s="5">
        <v>1882</v>
      </c>
      <c r="B115" s="5" t="s">
        <v>174</v>
      </c>
      <c r="C115" s="5" t="s">
        <v>168</v>
      </c>
      <c r="D115" s="5" t="s">
        <v>10</v>
      </c>
      <c r="E115" s="5"/>
      <c r="F115" s="5"/>
      <c r="G115" s="5"/>
      <c r="H115" s="5"/>
      <c r="I115" s="8">
        <v>45687.625</v>
      </c>
      <c r="J115" s="9">
        <v>1200000</v>
      </c>
      <c r="K115" s="5" t="s">
        <v>170</v>
      </c>
    </row>
    <row r="116" spans="1:11" s="3" customFormat="1" ht="21.95" customHeight="1" x14ac:dyDescent="0.4">
      <c r="A116" s="4">
        <v>1935</v>
      </c>
      <c r="B116" s="4" t="s">
        <v>174</v>
      </c>
      <c r="C116" s="4" t="s">
        <v>168</v>
      </c>
      <c r="D116" s="4" t="s">
        <v>10</v>
      </c>
      <c r="E116" s="4"/>
      <c r="F116" s="4"/>
      <c r="G116" s="4"/>
      <c r="H116" s="4"/>
      <c r="I116" s="6">
        <v>45687.625</v>
      </c>
      <c r="J116" s="7">
        <v>500000</v>
      </c>
      <c r="K116" s="4" t="s">
        <v>171</v>
      </c>
    </row>
    <row r="117" spans="1:11" s="3" customFormat="1" ht="21.95" customHeight="1" x14ac:dyDescent="0.4">
      <c r="A117" s="5" t="s">
        <v>32</v>
      </c>
      <c r="B117" s="5" t="s">
        <v>174</v>
      </c>
      <c r="C117" s="5" t="s">
        <v>41</v>
      </c>
      <c r="D117" s="5" t="s">
        <v>6</v>
      </c>
      <c r="E117" s="5"/>
      <c r="F117" s="5"/>
      <c r="G117" s="5"/>
      <c r="H117" s="5"/>
      <c r="I117" s="8"/>
      <c r="J117" s="9">
        <v>1200000</v>
      </c>
      <c r="K117" s="5" t="s">
        <v>175</v>
      </c>
    </row>
    <row r="118" spans="1:11" s="3" customFormat="1" ht="21.95" customHeight="1" x14ac:dyDescent="0.4">
      <c r="A118" s="4" t="s">
        <v>32</v>
      </c>
      <c r="B118" s="4" t="s">
        <v>174</v>
      </c>
      <c r="C118" s="4" t="s">
        <v>62</v>
      </c>
      <c r="D118" s="4" t="s">
        <v>8</v>
      </c>
      <c r="E118" s="4"/>
      <c r="F118" s="4"/>
      <c r="G118" s="4"/>
      <c r="H118" s="4"/>
      <c r="I118" s="6"/>
      <c r="J118" s="7">
        <v>180000</v>
      </c>
      <c r="K118" s="4" t="s">
        <v>175</v>
      </c>
    </row>
    <row r="119" spans="1:11" s="3" customFormat="1" ht="21.95" customHeight="1" x14ac:dyDescent="0.4">
      <c r="A119" s="5">
        <v>1948</v>
      </c>
      <c r="B119" s="5" t="s">
        <v>176</v>
      </c>
      <c r="C119" s="5" t="s">
        <v>177</v>
      </c>
      <c r="D119" s="5" t="s">
        <v>14</v>
      </c>
      <c r="E119" s="5"/>
      <c r="F119" s="5"/>
      <c r="G119" s="5"/>
      <c r="H119" s="5"/>
      <c r="I119" s="8"/>
      <c r="J119" s="9">
        <v>120000</v>
      </c>
      <c r="K119" s="5" t="s">
        <v>32</v>
      </c>
    </row>
    <row r="120" spans="1:11" s="3" customFormat="1" ht="21.95" customHeight="1" x14ac:dyDescent="0.4">
      <c r="A120" s="4">
        <v>1947</v>
      </c>
      <c r="B120" s="4" t="s">
        <v>176</v>
      </c>
      <c r="C120" s="4" t="s">
        <v>178</v>
      </c>
      <c r="D120" s="4" t="s">
        <v>14</v>
      </c>
      <c r="E120" s="4"/>
      <c r="F120" s="4"/>
      <c r="G120" s="4"/>
      <c r="H120" s="4"/>
      <c r="I120" s="6"/>
      <c r="J120" s="7">
        <v>380000</v>
      </c>
      <c r="K120" s="4" t="s">
        <v>32</v>
      </c>
    </row>
    <row r="121" spans="1:11" s="3" customFormat="1" ht="21.95" customHeight="1" x14ac:dyDescent="0.4">
      <c r="A121" s="5">
        <v>1944</v>
      </c>
      <c r="B121" s="5" t="s">
        <v>176</v>
      </c>
      <c r="C121" s="5" t="s">
        <v>179</v>
      </c>
      <c r="D121" s="5" t="s">
        <v>18</v>
      </c>
      <c r="E121" s="5"/>
      <c r="F121" s="5"/>
      <c r="G121" s="5"/>
      <c r="H121" s="5"/>
      <c r="I121" s="8">
        <v>46051.625</v>
      </c>
      <c r="J121" s="9">
        <v>80000</v>
      </c>
      <c r="K121" s="5" t="s">
        <v>32</v>
      </c>
    </row>
    <row r="122" spans="1:11" s="3" customFormat="1" ht="21.95" customHeight="1" x14ac:dyDescent="0.4">
      <c r="A122" s="4">
        <v>1945</v>
      </c>
      <c r="B122" s="4" t="s">
        <v>176</v>
      </c>
      <c r="C122" s="4" t="s">
        <v>180</v>
      </c>
      <c r="D122" s="4" t="s">
        <v>18</v>
      </c>
      <c r="E122" s="4"/>
      <c r="F122" s="4"/>
      <c r="G122" s="4"/>
      <c r="H122" s="4"/>
      <c r="I122" s="6">
        <v>46051.625</v>
      </c>
      <c r="J122" s="7">
        <v>40000</v>
      </c>
      <c r="K122" s="4" t="s">
        <v>32</v>
      </c>
    </row>
    <row r="123" spans="1:11" s="3" customFormat="1" ht="21.95" customHeight="1" x14ac:dyDescent="0.4">
      <c r="A123" s="5">
        <v>1953</v>
      </c>
      <c r="B123" s="5" t="s">
        <v>176</v>
      </c>
      <c r="C123" s="5" t="s">
        <v>181</v>
      </c>
      <c r="D123" s="5" t="s">
        <v>14</v>
      </c>
      <c r="E123" s="5"/>
      <c r="F123" s="5"/>
      <c r="G123" s="5"/>
      <c r="H123" s="5"/>
      <c r="I123" s="8"/>
      <c r="J123" s="9">
        <v>50000</v>
      </c>
      <c r="K123" s="5" t="s">
        <v>32</v>
      </c>
    </row>
    <row r="124" spans="1:11" s="3" customFormat="1" ht="21.95" customHeight="1" x14ac:dyDescent="0.4">
      <c r="A124" s="4">
        <v>1883</v>
      </c>
      <c r="B124" s="4" t="s">
        <v>176</v>
      </c>
      <c r="C124" s="4" t="s">
        <v>182</v>
      </c>
      <c r="D124" s="4" t="s">
        <v>10</v>
      </c>
      <c r="E124" s="4"/>
      <c r="F124" s="4"/>
      <c r="G124" s="4"/>
      <c r="H124" s="4"/>
      <c r="I124" s="6"/>
      <c r="J124" s="7">
        <v>13000</v>
      </c>
      <c r="K124" s="4" t="s">
        <v>32</v>
      </c>
    </row>
    <row r="125" spans="1:11" s="3" customFormat="1" ht="21.95" customHeight="1" x14ac:dyDescent="0.4">
      <c r="A125" s="5">
        <v>1884</v>
      </c>
      <c r="B125" s="5" t="s">
        <v>176</v>
      </c>
      <c r="C125" s="5" t="s">
        <v>182</v>
      </c>
      <c r="D125" s="5" t="s">
        <v>10</v>
      </c>
      <c r="E125" s="5"/>
      <c r="F125" s="5"/>
      <c r="G125" s="5"/>
      <c r="H125" s="5"/>
      <c r="I125" s="8"/>
      <c r="J125" s="9">
        <v>20000</v>
      </c>
      <c r="K125" s="5" t="s">
        <v>32</v>
      </c>
    </row>
    <row r="126" spans="1:11" s="3" customFormat="1" ht="21.95" customHeight="1" x14ac:dyDescent="0.4">
      <c r="A126" s="4">
        <v>1936</v>
      </c>
      <c r="B126" s="4" t="s">
        <v>176</v>
      </c>
      <c r="C126" s="4" t="s">
        <v>182</v>
      </c>
      <c r="D126" s="4" t="s">
        <v>10</v>
      </c>
      <c r="E126" s="4"/>
      <c r="F126" s="4"/>
      <c r="G126" s="4"/>
      <c r="H126" s="4"/>
      <c r="I126" s="6"/>
      <c r="J126" s="7">
        <v>16000</v>
      </c>
      <c r="K126" s="4" t="s">
        <v>32</v>
      </c>
    </row>
    <row r="127" spans="1:11" s="3" customFormat="1" ht="21.95" customHeight="1" x14ac:dyDescent="0.4">
      <c r="A127" s="5">
        <v>1884</v>
      </c>
      <c r="B127" s="5" t="s">
        <v>176</v>
      </c>
      <c r="C127" s="5" t="s">
        <v>149</v>
      </c>
      <c r="D127" s="5" t="s">
        <v>10</v>
      </c>
      <c r="E127" s="5"/>
      <c r="F127" s="5"/>
      <c r="G127" s="5"/>
      <c r="H127" s="5"/>
      <c r="I127" s="8"/>
      <c r="J127" s="9">
        <v>234052</v>
      </c>
      <c r="K127" s="5" t="s">
        <v>32</v>
      </c>
    </row>
    <row r="128" spans="1:11" s="3" customFormat="1" ht="21.95" customHeight="1" x14ac:dyDescent="0.4">
      <c r="A128" s="4">
        <v>1970</v>
      </c>
      <c r="B128" s="4" t="s">
        <v>183</v>
      </c>
      <c r="C128" s="4" t="s">
        <v>179</v>
      </c>
      <c r="D128" s="4" t="s">
        <v>18</v>
      </c>
      <c r="E128" s="4"/>
      <c r="F128" s="4"/>
      <c r="G128" s="4"/>
      <c r="H128" s="4"/>
      <c r="I128" s="6"/>
      <c r="J128" s="7">
        <v>80000</v>
      </c>
      <c r="K128" s="4" t="s">
        <v>32</v>
      </c>
    </row>
    <row r="129" spans="1:11" s="3" customFormat="1" ht="21.95" customHeight="1" x14ac:dyDescent="0.4">
      <c r="A129" s="5">
        <v>1971</v>
      </c>
      <c r="B129" s="5" t="s">
        <v>183</v>
      </c>
      <c r="C129" s="5" t="s">
        <v>180</v>
      </c>
      <c r="D129" s="5" t="s">
        <v>18</v>
      </c>
      <c r="E129" s="5"/>
      <c r="F129" s="5"/>
      <c r="G129" s="5"/>
      <c r="H129" s="5"/>
      <c r="I129" s="8"/>
      <c r="J129" s="9">
        <v>40000</v>
      </c>
      <c r="K129" s="5" t="s">
        <v>32</v>
      </c>
    </row>
    <row r="130" spans="1:11" s="3" customFormat="1" ht="21.95" customHeight="1" x14ac:dyDescent="0.4">
      <c r="A130" s="4">
        <v>1984</v>
      </c>
      <c r="B130" s="4" t="s">
        <v>183</v>
      </c>
      <c r="C130" s="4" t="s">
        <v>177</v>
      </c>
      <c r="D130" s="4" t="s">
        <v>14</v>
      </c>
      <c r="E130" s="4"/>
      <c r="F130" s="4"/>
      <c r="G130" s="4"/>
      <c r="H130" s="4"/>
      <c r="I130" s="6">
        <v>46111.625</v>
      </c>
      <c r="J130" s="7">
        <v>330000</v>
      </c>
      <c r="K130" s="4" t="s">
        <v>32</v>
      </c>
    </row>
    <row r="131" spans="1:11" s="3" customFormat="1" ht="21.95" customHeight="1" x14ac:dyDescent="0.4">
      <c r="A131" s="5">
        <v>1983</v>
      </c>
      <c r="B131" s="5" t="s">
        <v>183</v>
      </c>
      <c r="C131" s="5" t="s">
        <v>184</v>
      </c>
      <c r="D131" s="5" t="s">
        <v>14</v>
      </c>
      <c r="E131" s="5"/>
      <c r="F131" s="5"/>
      <c r="G131" s="5"/>
      <c r="H131" s="5"/>
      <c r="I131" s="8">
        <v>46111.625</v>
      </c>
      <c r="J131" s="9"/>
      <c r="K131" s="5" t="s">
        <v>32</v>
      </c>
    </row>
    <row r="132" spans="1:11" s="3" customFormat="1" ht="21.95" customHeight="1" x14ac:dyDescent="0.4">
      <c r="A132" s="4">
        <v>1899</v>
      </c>
      <c r="B132" s="4" t="s">
        <v>185</v>
      </c>
      <c r="C132" s="4" t="s">
        <v>186</v>
      </c>
      <c r="D132" s="4" t="s">
        <v>18</v>
      </c>
      <c r="E132" s="4"/>
      <c r="F132" s="4"/>
      <c r="G132" s="4"/>
      <c r="H132" s="4"/>
      <c r="I132" s="6">
        <v>45914.625</v>
      </c>
      <c r="J132" s="7">
        <v>33684</v>
      </c>
      <c r="K132" s="4" t="s">
        <v>32</v>
      </c>
    </row>
    <row r="133" spans="1:11" s="3" customFormat="1" ht="21.95" customHeight="1" x14ac:dyDescent="0.4">
      <c r="A133" s="5">
        <v>1623</v>
      </c>
      <c r="B133" s="5" t="s">
        <v>187</v>
      </c>
      <c r="C133" s="5" t="s">
        <v>188</v>
      </c>
      <c r="D133" s="5" t="s">
        <v>4</v>
      </c>
      <c r="E133" s="5"/>
      <c r="F133" s="5"/>
      <c r="G133" s="5"/>
      <c r="H133" s="5"/>
      <c r="I133" s="8"/>
      <c r="J133" s="9">
        <v>159516</v>
      </c>
      <c r="K133" s="5" t="s">
        <v>189</v>
      </c>
    </row>
    <row r="134" spans="1:11" s="3" customFormat="1" ht="21.95" customHeight="1" x14ac:dyDescent="0.4">
      <c r="A134" s="4">
        <v>744</v>
      </c>
      <c r="B134" s="4" t="s">
        <v>190</v>
      </c>
      <c r="C134" s="4" t="s">
        <v>114</v>
      </c>
      <c r="D134" s="4" t="s">
        <v>6</v>
      </c>
      <c r="E134" s="4"/>
      <c r="F134" s="4"/>
      <c r="G134" s="4"/>
      <c r="H134" s="4"/>
      <c r="I134" s="6">
        <v>45932.625</v>
      </c>
      <c r="J134" s="7">
        <v>74986</v>
      </c>
      <c r="K134" s="4" t="s">
        <v>191</v>
      </c>
    </row>
    <row r="135" spans="1:11" s="3" customFormat="1" ht="21.95" customHeight="1" x14ac:dyDescent="0.4">
      <c r="A135" s="5">
        <v>1043</v>
      </c>
      <c r="B135" s="5" t="s">
        <v>192</v>
      </c>
      <c r="C135" s="5" t="s">
        <v>193</v>
      </c>
      <c r="D135" s="5" t="s">
        <v>6</v>
      </c>
      <c r="E135" s="5"/>
      <c r="F135" s="5"/>
      <c r="G135" s="5"/>
      <c r="H135" s="5"/>
      <c r="I135" s="8">
        <v>45918.625</v>
      </c>
      <c r="J135" s="9">
        <v>142331</v>
      </c>
      <c r="K135" s="5" t="s">
        <v>32</v>
      </c>
    </row>
    <row r="136" spans="1:11" s="3" customFormat="1" ht="21.95" customHeight="1" x14ac:dyDescent="0.4">
      <c r="A136" s="4">
        <v>1623</v>
      </c>
      <c r="B136" s="4" t="s">
        <v>194</v>
      </c>
      <c r="C136" s="4" t="s">
        <v>188</v>
      </c>
      <c r="D136" s="4" t="s">
        <v>4</v>
      </c>
      <c r="E136" s="4"/>
      <c r="F136" s="4"/>
      <c r="G136" s="4"/>
      <c r="H136" s="4"/>
      <c r="I136" s="6"/>
      <c r="J136" s="7">
        <v>151812</v>
      </c>
      <c r="K136" s="4" t="s">
        <v>195</v>
      </c>
    </row>
    <row r="137" spans="1:11" s="3" customFormat="1" ht="21.95" customHeight="1" x14ac:dyDescent="0.4">
      <c r="A137" s="5">
        <v>1899</v>
      </c>
      <c r="B137" s="5" t="s">
        <v>196</v>
      </c>
      <c r="C137" s="5" t="s">
        <v>197</v>
      </c>
      <c r="D137" s="5" t="s">
        <v>18</v>
      </c>
      <c r="E137" s="5"/>
      <c r="F137" s="5"/>
      <c r="G137" s="5"/>
      <c r="H137" s="5"/>
      <c r="I137" s="8"/>
      <c r="J137" s="9">
        <v>33684</v>
      </c>
      <c r="K137" s="5" t="s">
        <v>32</v>
      </c>
    </row>
    <row r="138" spans="1:11" s="3" customFormat="1" ht="21.95" customHeight="1" x14ac:dyDescent="0.4">
      <c r="A138" s="4">
        <v>695</v>
      </c>
      <c r="B138" s="4" t="s">
        <v>198</v>
      </c>
      <c r="C138" s="4" t="s">
        <v>76</v>
      </c>
      <c r="D138" s="4" t="s">
        <v>6</v>
      </c>
      <c r="E138" s="4"/>
      <c r="F138" s="4"/>
      <c r="G138" s="4"/>
      <c r="H138" s="4"/>
      <c r="I138" s="6">
        <v>46054.625</v>
      </c>
      <c r="J138" s="7">
        <v>56582</v>
      </c>
      <c r="K138" s="4" t="s">
        <v>199</v>
      </c>
    </row>
    <row r="139" spans="1:11" s="3" customFormat="1" ht="21.95" customHeight="1" x14ac:dyDescent="0.4">
      <c r="A139" s="5">
        <v>762</v>
      </c>
      <c r="B139" s="5" t="s">
        <v>200</v>
      </c>
      <c r="C139" s="5" t="s">
        <v>76</v>
      </c>
      <c r="D139" s="5" t="s">
        <v>6</v>
      </c>
      <c r="E139" s="5"/>
      <c r="F139" s="5"/>
      <c r="G139" s="5"/>
      <c r="H139" s="5"/>
      <c r="I139" s="8"/>
      <c r="J139" s="9">
        <v>33277</v>
      </c>
      <c r="K139" s="5" t="s">
        <v>32</v>
      </c>
    </row>
    <row r="140" spans="1:11" s="3" customFormat="1" ht="21.95" customHeight="1" x14ac:dyDescent="0.4">
      <c r="A140" s="4">
        <v>762</v>
      </c>
      <c r="B140" s="4" t="s">
        <v>200</v>
      </c>
      <c r="C140" s="4" t="s">
        <v>201</v>
      </c>
      <c r="D140" s="4" t="s">
        <v>6</v>
      </c>
      <c r="E140" s="4"/>
      <c r="F140" s="4"/>
      <c r="G140" s="4"/>
      <c r="H140" s="4"/>
      <c r="I140" s="6"/>
      <c r="J140" s="7">
        <v>46203</v>
      </c>
      <c r="K140" s="4" t="s">
        <v>32</v>
      </c>
    </row>
    <row r="141" spans="1:11" s="3" customFormat="1" ht="21.95" customHeight="1" x14ac:dyDescent="0.4">
      <c r="A141" s="5">
        <v>444</v>
      </c>
      <c r="B141" s="5" t="s">
        <v>202</v>
      </c>
      <c r="C141" s="5" t="s">
        <v>114</v>
      </c>
      <c r="D141" s="5" t="s">
        <v>6</v>
      </c>
      <c r="E141" s="5"/>
      <c r="F141" s="5"/>
      <c r="G141" s="5"/>
      <c r="H141" s="5"/>
      <c r="I141" s="8">
        <v>45900.625</v>
      </c>
      <c r="J141" s="9">
        <v>150998</v>
      </c>
      <c r="K141" s="5" t="s">
        <v>32</v>
      </c>
    </row>
    <row r="142" spans="1:11" s="3" customFormat="1" ht="21.95" customHeight="1" x14ac:dyDescent="0.4">
      <c r="A142" s="4">
        <v>444</v>
      </c>
      <c r="B142" s="4" t="s">
        <v>203</v>
      </c>
      <c r="C142" s="4" t="s">
        <v>114</v>
      </c>
      <c r="D142" s="4" t="s">
        <v>6</v>
      </c>
      <c r="E142" s="4"/>
      <c r="F142" s="4"/>
      <c r="G142" s="4"/>
      <c r="H142" s="4"/>
      <c r="I142" s="6">
        <v>46070.625</v>
      </c>
      <c r="J142" s="7">
        <v>20897</v>
      </c>
      <c r="K142" s="4" t="s">
        <v>32</v>
      </c>
    </row>
    <row r="143" spans="1:11" s="3" customFormat="1" ht="21.95" customHeight="1" x14ac:dyDescent="0.4">
      <c r="A143" s="5">
        <v>308</v>
      </c>
      <c r="B143" s="5" t="s">
        <v>204</v>
      </c>
      <c r="C143" s="5" t="s">
        <v>41</v>
      </c>
      <c r="D143" s="5" t="s">
        <v>6</v>
      </c>
      <c r="E143" s="5"/>
      <c r="F143" s="5"/>
      <c r="G143" s="5"/>
      <c r="H143" s="5"/>
      <c r="I143" s="8">
        <v>45960.625</v>
      </c>
      <c r="J143" s="9">
        <v>1216622</v>
      </c>
      <c r="K143" s="5" t="s">
        <v>32</v>
      </c>
    </row>
    <row r="144" spans="1:11" s="3" customFormat="1" ht="21.95" customHeight="1" x14ac:dyDescent="0.4">
      <c r="A144" s="4">
        <v>312</v>
      </c>
      <c r="B144" s="4" t="s">
        <v>205</v>
      </c>
      <c r="C144" s="4" t="s">
        <v>41</v>
      </c>
      <c r="D144" s="4" t="s">
        <v>6</v>
      </c>
      <c r="E144" s="4"/>
      <c r="F144" s="4"/>
      <c r="G144" s="4"/>
      <c r="H144" s="4"/>
      <c r="I144" s="6">
        <v>45960.625</v>
      </c>
      <c r="J144" s="7">
        <v>1219329</v>
      </c>
      <c r="K144" s="4" t="s">
        <v>32</v>
      </c>
    </row>
    <row r="145" spans="1:11" s="3" customFormat="1" ht="21.95" customHeight="1" x14ac:dyDescent="0.4">
      <c r="A145" s="5">
        <v>314</v>
      </c>
      <c r="B145" s="5" t="s">
        <v>206</v>
      </c>
      <c r="C145" s="5" t="s">
        <v>41</v>
      </c>
      <c r="D145" s="5" t="s">
        <v>6</v>
      </c>
      <c r="E145" s="5"/>
      <c r="F145" s="5"/>
      <c r="G145" s="5"/>
      <c r="H145" s="5"/>
      <c r="I145" s="8">
        <v>45960.625</v>
      </c>
      <c r="J145" s="9">
        <v>1489312</v>
      </c>
      <c r="K145" s="5" t="s">
        <v>32</v>
      </c>
    </row>
    <row r="146" spans="1:11" s="3" customFormat="1" ht="21.95" customHeight="1" x14ac:dyDescent="0.4">
      <c r="A146" s="4">
        <v>1964</v>
      </c>
      <c r="B146" s="4" t="s">
        <v>207</v>
      </c>
      <c r="C146" s="4" t="s">
        <v>208</v>
      </c>
      <c r="D146" s="4" t="s">
        <v>18</v>
      </c>
      <c r="E146" s="4"/>
      <c r="F146" s="4"/>
      <c r="G146" s="4"/>
      <c r="H146" s="4"/>
      <c r="I146" s="6"/>
      <c r="J146" s="7">
        <v>20000</v>
      </c>
      <c r="K146" s="4" t="s">
        <v>209</v>
      </c>
    </row>
    <row r="147" spans="1:11" s="3" customFormat="1" ht="21.95" customHeight="1" x14ac:dyDescent="0.4">
      <c r="A147" s="5">
        <v>1932</v>
      </c>
      <c r="B147" s="5" t="s">
        <v>210</v>
      </c>
      <c r="C147" s="5" t="s">
        <v>211</v>
      </c>
      <c r="D147" s="5" t="s">
        <v>14</v>
      </c>
      <c r="E147" s="5"/>
      <c r="F147" s="5"/>
      <c r="G147" s="5"/>
      <c r="H147" s="5"/>
      <c r="I147" s="8">
        <v>45980.625</v>
      </c>
      <c r="J147" s="9">
        <v>337606</v>
      </c>
      <c r="K147" s="5" t="s">
        <v>32</v>
      </c>
    </row>
    <row r="148" spans="1:11" s="3" customFormat="1" ht="21.95" customHeight="1" x14ac:dyDescent="0.4">
      <c r="A148" s="4">
        <v>1943</v>
      </c>
      <c r="B148" s="4" t="s">
        <v>210</v>
      </c>
      <c r="C148" s="4" t="s">
        <v>212</v>
      </c>
      <c r="D148" s="4" t="s">
        <v>18</v>
      </c>
      <c r="E148" s="4"/>
      <c r="F148" s="4"/>
      <c r="G148" s="4"/>
      <c r="H148" s="4"/>
      <c r="I148" s="6"/>
      <c r="J148" s="7">
        <v>337606</v>
      </c>
      <c r="K148" s="4" t="s">
        <v>32</v>
      </c>
    </row>
    <row r="149" spans="1:11" s="3" customFormat="1" ht="21.95" customHeight="1" x14ac:dyDescent="0.4">
      <c r="A149" s="5">
        <v>1955</v>
      </c>
      <c r="B149" s="5" t="s">
        <v>210</v>
      </c>
      <c r="C149" s="5" t="s">
        <v>62</v>
      </c>
      <c r="D149" s="5" t="s">
        <v>8</v>
      </c>
      <c r="E149" s="5"/>
      <c r="F149" s="5"/>
      <c r="G149" s="5"/>
      <c r="H149" s="5"/>
      <c r="I149" s="8">
        <v>46079.625</v>
      </c>
      <c r="J149" s="9">
        <v>200000</v>
      </c>
      <c r="K149" s="5" t="s">
        <v>32</v>
      </c>
    </row>
    <row r="150" spans="1:11" s="3" customFormat="1" ht="21.95" customHeight="1" x14ac:dyDescent="0.4">
      <c r="A150" s="4">
        <v>1943</v>
      </c>
      <c r="B150" s="4" t="s">
        <v>210</v>
      </c>
      <c r="C150" s="4" t="s">
        <v>179</v>
      </c>
      <c r="D150" s="4" t="s">
        <v>18</v>
      </c>
      <c r="E150" s="4"/>
      <c r="F150" s="4"/>
      <c r="G150" s="4"/>
      <c r="H150" s="4"/>
      <c r="I150" s="6"/>
      <c r="J150" s="7" t="s">
        <v>213</v>
      </c>
      <c r="K150" s="4" t="s">
        <v>214</v>
      </c>
    </row>
    <row r="151" spans="1:11" s="3" customFormat="1" ht="21.95" customHeight="1" x14ac:dyDescent="0.4">
      <c r="A151" s="5">
        <v>1932</v>
      </c>
      <c r="B151" s="5" t="s">
        <v>210</v>
      </c>
      <c r="C151" s="5" t="s">
        <v>177</v>
      </c>
      <c r="D151" s="5" t="s">
        <v>14</v>
      </c>
      <c r="E151" s="5"/>
      <c r="F151" s="5"/>
      <c r="G151" s="5"/>
      <c r="H151" s="5"/>
      <c r="I151" s="8"/>
      <c r="J151" s="9"/>
      <c r="K151" s="5" t="s">
        <v>214</v>
      </c>
    </row>
    <row r="152" spans="1:11" s="3" customFormat="1" ht="21.95" customHeight="1" x14ac:dyDescent="0.4">
      <c r="A152" s="4">
        <v>1954</v>
      </c>
      <c r="B152" s="4" t="s">
        <v>210</v>
      </c>
      <c r="C152" s="4" t="s">
        <v>41</v>
      </c>
      <c r="D152" s="4" t="s">
        <v>6</v>
      </c>
      <c r="E152" s="4"/>
      <c r="F152" s="4"/>
      <c r="G152" s="4"/>
      <c r="H152" s="4"/>
      <c r="I152" s="6">
        <v>46065.625</v>
      </c>
      <c r="J152" s="7">
        <v>1250000</v>
      </c>
      <c r="K152" s="4" t="s">
        <v>32</v>
      </c>
    </row>
    <row r="153" spans="1:11" s="3" customFormat="1" ht="21.95" customHeight="1" x14ac:dyDescent="0.4">
      <c r="A153" s="5">
        <v>283</v>
      </c>
      <c r="B153" s="5" t="s">
        <v>215</v>
      </c>
      <c r="C153" s="5" t="s">
        <v>216</v>
      </c>
      <c r="D153" s="5" t="s">
        <v>18</v>
      </c>
      <c r="E153" s="5"/>
      <c r="F153" s="5"/>
      <c r="G153" s="5"/>
      <c r="H153" s="5"/>
      <c r="I153" s="8"/>
      <c r="J153" s="9">
        <v>56881</v>
      </c>
      <c r="K153" s="5" t="s">
        <v>32</v>
      </c>
    </row>
    <row r="154" spans="1:11" s="3" customFormat="1" ht="21.95" customHeight="1" x14ac:dyDescent="0.4">
      <c r="A154" s="4">
        <v>1410</v>
      </c>
      <c r="B154" s="4" t="s">
        <v>217</v>
      </c>
      <c r="C154" s="4" t="s">
        <v>122</v>
      </c>
      <c r="D154" s="4" t="s">
        <v>10</v>
      </c>
      <c r="E154" s="4"/>
      <c r="F154" s="4"/>
      <c r="G154" s="4"/>
      <c r="H154" s="4"/>
      <c r="I154" s="6">
        <v>45953.625</v>
      </c>
      <c r="J154" s="7">
        <v>254938</v>
      </c>
      <c r="K154" s="4" t="s">
        <v>32</v>
      </c>
    </row>
    <row r="155" spans="1:11" s="3" customFormat="1" ht="21.95" customHeight="1" x14ac:dyDescent="0.4">
      <c r="A155" s="5">
        <v>1392</v>
      </c>
      <c r="B155" s="5" t="s">
        <v>217</v>
      </c>
      <c r="C155" s="5" t="s">
        <v>193</v>
      </c>
      <c r="D155" s="5" t="s">
        <v>6</v>
      </c>
      <c r="E155" s="5"/>
      <c r="F155" s="5"/>
      <c r="G155" s="5"/>
      <c r="H155" s="5"/>
      <c r="I155" s="8"/>
      <c r="J155" s="9">
        <v>176315</v>
      </c>
      <c r="K155" s="5" t="s">
        <v>218</v>
      </c>
    </row>
    <row r="156" spans="1:11" s="3" customFormat="1" ht="21.95" customHeight="1" x14ac:dyDescent="0.4">
      <c r="A156" s="4">
        <v>1393</v>
      </c>
      <c r="B156" s="4" t="s">
        <v>219</v>
      </c>
      <c r="C156" s="4" t="s">
        <v>220</v>
      </c>
      <c r="D156" s="4" t="s">
        <v>8</v>
      </c>
      <c r="E156" s="4"/>
      <c r="F156" s="4"/>
      <c r="G156" s="4"/>
      <c r="H156" s="4"/>
      <c r="I156" s="6"/>
      <c r="J156" s="7"/>
      <c r="K156" s="4" t="s">
        <v>221</v>
      </c>
    </row>
    <row r="157" spans="1:11" s="3" customFormat="1" ht="21.95" customHeight="1" x14ac:dyDescent="0.4">
      <c r="A157" s="5">
        <v>1351</v>
      </c>
      <c r="B157" s="5" t="s">
        <v>222</v>
      </c>
      <c r="C157" s="5" t="s">
        <v>220</v>
      </c>
      <c r="D157" s="5" t="s">
        <v>8</v>
      </c>
      <c r="E157" s="5"/>
      <c r="F157" s="5"/>
      <c r="G157" s="5"/>
      <c r="H157" s="5"/>
      <c r="I157" s="8"/>
      <c r="J157" s="9">
        <v>41291</v>
      </c>
      <c r="K157" s="5" t="s">
        <v>32</v>
      </c>
    </row>
    <row r="158" spans="1:11" s="3" customFormat="1" ht="21.95" customHeight="1" x14ac:dyDescent="0.4">
      <c r="A158" s="4">
        <v>1408</v>
      </c>
      <c r="B158" s="4" t="s">
        <v>223</v>
      </c>
      <c r="C158" s="4" t="s">
        <v>122</v>
      </c>
      <c r="D158" s="4" t="s">
        <v>10</v>
      </c>
      <c r="E158" s="4"/>
      <c r="F158" s="4"/>
      <c r="G158" s="4"/>
      <c r="H158" s="4"/>
      <c r="I158" s="6">
        <v>45953.625</v>
      </c>
      <c r="J158" s="7">
        <v>254617</v>
      </c>
      <c r="K158" s="4" t="s">
        <v>32</v>
      </c>
    </row>
    <row r="159" spans="1:11" s="3" customFormat="1" ht="21.95" customHeight="1" x14ac:dyDescent="0.4">
      <c r="A159" s="5">
        <v>1391</v>
      </c>
      <c r="B159" s="5" t="s">
        <v>224</v>
      </c>
      <c r="C159" s="5" t="s">
        <v>220</v>
      </c>
      <c r="D159" s="5" t="s">
        <v>8</v>
      </c>
      <c r="E159" s="5"/>
      <c r="F159" s="5"/>
      <c r="G159" s="5"/>
      <c r="H159" s="5"/>
      <c r="I159" s="8"/>
      <c r="J159" s="9"/>
      <c r="K159" s="5" t="s">
        <v>221</v>
      </c>
    </row>
    <row r="160" spans="1:11" s="3" customFormat="1" ht="21.95" customHeight="1" x14ac:dyDescent="0.4">
      <c r="A160" s="4">
        <v>1927</v>
      </c>
      <c r="B160" s="4" t="s">
        <v>225</v>
      </c>
      <c r="C160" s="4" t="s">
        <v>226</v>
      </c>
      <c r="D160" s="4" t="s">
        <v>4</v>
      </c>
      <c r="E160" s="4"/>
      <c r="F160" s="4"/>
      <c r="G160" s="4"/>
      <c r="H160" s="4"/>
      <c r="I160" s="6"/>
      <c r="J160" s="7">
        <v>16050</v>
      </c>
      <c r="K160" s="4" t="s">
        <v>70</v>
      </c>
    </row>
    <row r="161" spans="1:11" s="3" customFormat="1" ht="21.95" customHeight="1" x14ac:dyDescent="0.4">
      <c r="A161" s="5">
        <v>1927</v>
      </c>
      <c r="B161" s="5" t="s">
        <v>227</v>
      </c>
      <c r="C161" s="5" t="s">
        <v>228</v>
      </c>
      <c r="D161" s="5" t="s">
        <v>4</v>
      </c>
      <c r="E161" s="5"/>
      <c r="F161" s="5"/>
      <c r="G161" s="5"/>
      <c r="H161" s="5"/>
      <c r="I161" s="8"/>
      <c r="J161" s="9">
        <v>13910</v>
      </c>
      <c r="K161" s="5" t="s">
        <v>70</v>
      </c>
    </row>
    <row r="162" spans="1:11" s="3" customFormat="1" ht="21.95" customHeight="1" x14ac:dyDescent="0.4">
      <c r="A162" s="4">
        <v>1927</v>
      </c>
      <c r="B162" s="4" t="s">
        <v>229</v>
      </c>
      <c r="C162" s="4" t="s">
        <v>54</v>
      </c>
      <c r="D162" s="4" t="s">
        <v>4</v>
      </c>
      <c r="E162" s="4"/>
      <c r="F162" s="4"/>
      <c r="G162" s="4"/>
      <c r="H162" s="4"/>
      <c r="I162" s="6"/>
      <c r="J162" s="7">
        <v>13910</v>
      </c>
      <c r="K162" s="4" t="s">
        <v>32</v>
      </c>
    </row>
    <row r="163" spans="1:11" s="3" customFormat="1" ht="21.95" customHeight="1" x14ac:dyDescent="0.4">
      <c r="A163" s="5">
        <v>1927</v>
      </c>
      <c r="B163" s="5" t="s">
        <v>230</v>
      </c>
      <c r="C163" s="5" t="s">
        <v>226</v>
      </c>
      <c r="D163" s="5" t="s">
        <v>4</v>
      </c>
      <c r="E163" s="5"/>
      <c r="F163" s="5"/>
      <c r="G163" s="5"/>
      <c r="H163" s="5"/>
      <c r="I163" s="8"/>
      <c r="J163" s="9">
        <v>13910</v>
      </c>
      <c r="K163" s="5" t="s">
        <v>70</v>
      </c>
    </row>
    <row r="164" spans="1:11" s="3" customFormat="1" ht="21.95" customHeight="1" x14ac:dyDescent="0.4">
      <c r="A164" s="4">
        <v>1982</v>
      </c>
      <c r="B164" s="4" t="s">
        <v>230</v>
      </c>
      <c r="C164" s="4" t="s">
        <v>231</v>
      </c>
      <c r="D164" s="4" t="s">
        <v>4</v>
      </c>
      <c r="E164" s="4"/>
      <c r="F164" s="4"/>
      <c r="G164" s="4"/>
      <c r="H164" s="4"/>
      <c r="I164" s="6"/>
      <c r="J164" s="7">
        <v>170000</v>
      </c>
      <c r="K164" s="4" t="s">
        <v>232</v>
      </c>
    </row>
    <row r="165" spans="1:11" s="3" customFormat="1" ht="21.95" customHeight="1" x14ac:dyDescent="0.4">
      <c r="A165" s="5">
        <v>1927</v>
      </c>
      <c r="B165" s="5" t="s">
        <v>233</v>
      </c>
      <c r="C165" s="5" t="s">
        <v>54</v>
      </c>
      <c r="D165" s="5" t="s">
        <v>4</v>
      </c>
      <c r="E165" s="5"/>
      <c r="F165" s="5"/>
      <c r="G165" s="5"/>
      <c r="H165" s="5"/>
      <c r="I165" s="8"/>
      <c r="J165" s="9">
        <v>8325</v>
      </c>
      <c r="K165" s="5" t="s">
        <v>70</v>
      </c>
    </row>
    <row r="166" spans="1:11" s="3" customFormat="1" ht="21.95" customHeight="1" x14ac:dyDescent="0.4">
      <c r="A166" s="4">
        <v>1927</v>
      </c>
      <c r="B166" s="4" t="s">
        <v>234</v>
      </c>
      <c r="C166" s="4" t="s">
        <v>228</v>
      </c>
      <c r="D166" s="4" t="s">
        <v>4</v>
      </c>
      <c r="E166" s="4"/>
      <c r="F166" s="4"/>
      <c r="G166" s="4"/>
      <c r="H166" s="4"/>
      <c r="I166" s="6"/>
      <c r="J166" s="7">
        <v>11770</v>
      </c>
      <c r="K166" s="4" t="s">
        <v>70</v>
      </c>
    </row>
    <row r="167" spans="1:11" s="3" customFormat="1" ht="21.95" customHeight="1" x14ac:dyDescent="0.4">
      <c r="A167" s="5">
        <v>1927</v>
      </c>
      <c r="B167" s="5" t="s">
        <v>235</v>
      </c>
      <c r="C167" s="5" t="s">
        <v>236</v>
      </c>
      <c r="D167" s="5" t="s">
        <v>4</v>
      </c>
      <c r="E167" s="5"/>
      <c r="F167" s="5"/>
      <c r="G167" s="5"/>
      <c r="H167" s="5"/>
      <c r="I167" s="8"/>
      <c r="J167" s="9">
        <v>6400</v>
      </c>
      <c r="K167" s="5" t="s">
        <v>32</v>
      </c>
    </row>
    <row r="168" spans="1:11" s="3" customFormat="1" ht="21.95" customHeight="1" x14ac:dyDescent="0.4">
      <c r="A168" s="4">
        <v>1977</v>
      </c>
      <c r="B168" s="4" t="s">
        <v>237</v>
      </c>
      <c r="C168" s="4" t="s">
        <v>41</v>
      </c>
      <c r="D168" s="4" t="s">
        <v>6</v>
      </c>
      <c r="E168" s="4"/>
      <c r="F168" s="4"/>
      <c r="G168" s="4"/>
      <c r="H168" s="4"/>
      <c r="I168" s="6">
        <v>46121.625</v>
      </c>
      <c r="J168" s="7">
        <v>1050000</v>
      </c>
      <c r="K168" s="4" t="s">
        <v>238</v>
      </c>
    </row>
    <row r="169" spans="1:11" s="3" customFormat="1" ht="21.95" customHeight="1" x14ac:dyDescent="0.4">
      <c r="A169" s="5">
        <v>740</v>
      </c>
      <c r="B169" s="5" t="s">
        <v>239</v>
      </c>
      <c r="C169" s="5" t="s">
        <v>76</v>
      </c>
      <c r="D169" s="5" t="s">
        <v>6</v>
      </c>
      <c r="E169" s="5"/>
      <c r="F169" s="5"/>
      <c r="G169" s="5"/>
      <c r="H169" s="5"/>
      <c r="I169" s="8"/>
      <c r="J169" s="9">
        <v>50279</v>
      </c>
      <c r="K169" s="5" t="s">
        <v>32</v>
      </c>
    </row>
    <row r="170" spans="1:11" s="3" customFormat="1" ht="21.95" customHeight="1" x14ac:dyDescent="0.4">
      <c r="A170" s="4">
        <v>440</v>
      </c>
      <c r="B170" s="4" t="s">
        <v>240</v>
      </c>
      <c r="C170" s="4" t="s">
        <v>241</v>
      </c>
      <c r="D170" s="4" t="s">
        <v>6</v>
      </c>
      <c r="E170" s="4"/>
      <c r="F170" s="4"/>
      <c r="G170" s="4"/>
      <c r="H170" s="4"/>
      <c r="I170" s="6"/>
      <c r="J170" s="7"/>
      <c r="K170" s="4" t="s">
        <v>242</v>
      </c>
    </row>
    <row r="171" spans="1:11" s="3" customFormat="1" ht="21.95" customHeight="1" x14ac:dyDescent="0.4">
      <c r="A171" s="5">
        <v>440</v>
      </c>
      <c r="B171" s="5" t="s">
        <v>243</v>
      </c>
      <c r="C171" s="5" t="s">
        <v>41</v>
      </c>
      <c r="D171" s="5" t="s">
        <v>6</v>
      </c>
      <c r="E171" s="5"/>
      <c r="F171" s="5"/>
      <c r="G171" s="5"/>
      <c r="H171" s="5"/>
      <c r="I171" s="8"/>
      <c r="J171" s="9">
        <v>799183</v>
      </c>
      <c r="K171" s="5" t="s">
        <v>32</v>
      </c>
    </row>
    <row r="172" spans="1:11" s="3" customFormat="1" ht="21.95" customHeight="1" x14ac:dyDescent="0.4">
      <c r="A172" s="4">
        <v>1927</v>
      </c>
      <c r="B172" s="4" t="s">
        <v>244</v>
      </c>
      <c r="C172" s="4" t="s">
        <v>245</v>
      </c>
      <c r="D172" s="4" t="s">
        <v>4</v>
      </c>
      <c r="E172" s="4"/>
      <c r="F172" s="4"/>
      <c r="G172" s="4"/>
      <c r="H172" s="4"/>
      <c r="I172" s="6"/>
      <c r="J172" s="7">
        <v>6934</v>
      </c>
      <c r="K172" s="4" t="s">
        <v>70</v>
      </c>
    </row>
    <row r="173" spans="1:11" s="3" customFormat="1" ht="21.95" customHeight="1" x14ac:dyDescent="0.4">
      <c r="A173" s="5">
        <v>78</v>
      </c>
      <c r="B173" s="5" t="s">
        <v>244</v>
      </c>
      <c r="C173" s="5" t="s">
        <v>76</v>
      </c>
      <c r="D173" s="5" t="s">
        <v>6</v>
      </c>
      <c r="E173" s="5"/>
      <c r="F173" s="5"/>
      <c r="G173" s="5"/>
      <c r="H173" s="5"/>
      <c r="I173" s="8">
        <v>46090.625</v>
      </c>
      <c r="J173" s="9">
        <v>277451</v>
      </c>
      <c r="K173" s="5" t="s">
        <v>32</v>
      </c>
    </row>
    <row r="174" spans="1:11" s="3" customFormat="1" ht="21.95" customHeight="1" x14ac:dyDescent="0.4">
      <c r="A174" s="4">
        <v>69</v>
      </c>
      <c r="B174" s="4" t="s">
        <v>246</v>
      </c>
      <c r="C174" s="4" t="s">
        <v>41</v>
      </c>
      <c r="D174" s="4" t="s">
        <v>6</v>
      </c>
      <c r="E174" s="4"/>
      <c r="F174" s="4"/>
      <c r="G174" s="4"/>
      <c r="H174" s="4"/>
      <c r="I174" s="6">
        <v>45949.625</v>
      </c>
      <c r="J174" s="7">
        <v>919943</v>
      </c>
      <c r="K174" s="4" t="s">
        <v>32</v>
      </c>
    </row>
    <row r="175" spans="1:11" s="3" customFormat="1" ht="21.95" customHeight="1" x14ac:dyDescent="0.4">
      <c r="A175" s="5">
        <v>1927</v>
      </c>
      <c r="B175" s="5" t="s">
        <v>246</v>
      </c>
      <c r="C175" s="5" t="s">
        <v>247</v>
      </c>
      <c r="D175" s="5" t="s">
        <v>4</v>
      </c>
      <c r="E175" s="5"/>
      <c r="F175" s="5"/>
      <c r="G175" s="5"/>
      <c r="H175" s="5"/>
      <c r="I175" s="8"/>
      <c r="J175" s="9">
        <v>14000</v>
      </c>
      <c r="K175" s="5" t="s">
        <v>70</v>
      </c>
    </row>
    <row r="176" spans="1:11" s="3" customFormat="1" ht="21.95" customHeight="1" x14ac:dyDescent="0.4">
      <c r="A176" s="4">
        <v>1597</v>
      </c>
      <c r="B176" s="4" t="s">
        <v>248</v>
      </c>
      <c r="C176" s="4" t="s">
        <v>249</v>
      </c>
      <c r="D176" s="4" t="s">
        <v>4</v>
      </c>
      <c r="E176" s="4"/>
      <c r="F176" s="4"/>
      <c r="G176" s="4"/>
      <c r="H176" s="4"/>
      <c r="I176" s="6">
        <v>45960.625</v>
      </c>
      <c r="J176" s="7">
        <v>67324</v>
      </c>
      <c r="K176" s="4" t="s">
        <v>250</v>
      </c>
    </row>
    <row r="177" spans="1:11" s="3" customFormat="1" ht="21.95" customHeight="1" x14ac:dyDescent="0.4">
      <c r="A177" s="5">
        <v>1793</v>
      </c>
      <c r="B177" s="5" t="s">
        <v>248</v>
      </c>
      <c r="C177" s="5" t="s">
        <v>251</v>
      </c>
      <c r="D177" s="5" t="s">
        <v>4</v>
      </c>
      <c r="E177" s="5"/>
      <c r="F177" s="5"/>
      <c r="G177" s="5"/>
      <c r="H177" s="5"/>
      <c r="I177" s="8"/>
      <c r="J177" s="9">
        <v>9074</v>
      </c>
      <c r="K177" s="5" t="s">
        <v>137</v>
      </c>
    </row>
    <row r="178" spans="1:11" s="3" customFormat="1" ht="21.95" customHeight="1" x14ac:dyDescent="0.4">
      <c r="A178" s="4">
        <v>1597</v>
      </c>
      <c r="B178" s="4" t="s">
        <v>248</v>
      </c>
      <c r="C178" s="4" t="s">
        <v>252</v>
      </c>
      <c r="D178" s="4" t="s">
        <v>4</v>
      </c>
      <c r="E178" s="4"/>
      <c r="F178" s="4"/>
      <c r="G178" s="4"/>
      <c r="H178" s="4"/>
      <c r="I178" s="6"/>
      <c r="J178" s="7">
        <v>149372</v>
      </c>
      <c r="K178" s="4" t="s">
        <v>32</v>
      </c>
    </row>
    <row r="179" spans="1:11" s="3" customFormat="1" ht="21.95" customHeight="1" x14ac:dyDescent="0.4">
      <c r="A179" s="5">
        <v>1597</v>
      </c>
      <c r="B179" s="5" t="s">
        <v>248</v>
      </c>
      <c r="C179" s="5" t="s">
        <v>252</v>
      </c>
      <c r="D179" s="5" t="s">
        <v>4</v>
      </c>
      <c r="E179" s="5"/>
      <c r="F179" s="5"/>
      <c r="G179" s="5"/>
      <c r="H179" s="5"/>
      <c r="I179" s="8"/>
      <c r="J179" s="9">
        <v>64970</v>
      </c>
      <c r="K179" s="5" t="s">
        <v>253</v>
      </c>
    </row>
    <row r="180" spans="1:11" s="3" customFormat="1" ht="21.95" customHeight="1" x14ac:dyDescent="0.4">
      <c r="A180" s="4">
        <v>1673</v>
      </c>
      <c r="B180" s="4" t="s">
        <v>254</v>
      </c>
      <c r="C180" s="4" t="s">
        <v>228</v>
      </c>
      <c r="D180" s="4" t="s">
        <v>4</v>
      </c>
      <c r="E180" s="4"/>
      <c r="F180" s="4"/>
      <c r="G180" s="4"/>
      <c r="H180" s="4"/>
      <c r="I180" s="6"/>
      <c r="J180" s="7">
        <v>9074</v>
      </c>
      <c r="K180" s="4" t="s">
        <v>255</v>
      </c>
    </row>
    <row r="181" spans="1:11" s="3" customFormat="1" ht="21.95" customHeight="1" x14ac:dyDescent="0.4">
      <c r="A181" s="5">
        <v>1673</v>
      </c>
      <c r="B181" s="5" t="s">
        <v>256</v>
      </c>
      <c r="C181" s="5" t="s">
        <v>257</v>
      </c>
      <c r="D181" s="5" t="s">
        <v>4</v>
      </c>
      <c r="E181" s="5"/>
      <c r="F181" s="5"/>
      <c r="G181" s="5"/>
      <c r="H181" s="5"/>
      <c r="I181" s="8"/>
      <c r="J181" s="9">
        <v>54506</v>
      </c>
      <c r="K181" s="5" t="s">
        <v>258</v>
      </c>
    </row>
    <row r="182" spans="1:11" s="3" customFormat="1" ht="21.95" customHeight="1" x14ac:dyDescent="0.4">
      <c r="A182" s="4">
        <v>1927</v>
      </c>
      <c r="B182" s="4" t="s">
        <v>256</v>
      </c>
      <c r="C182" s="4" t="s">
        <v>259</v>
      </c>
      <c r="D182" s="4" t="s">
        <v>4</v>
      </c>
      <c r="E182" s="4"/>
      <c r="F182" s="4"/>
      <c r="G182" s="4"/>
      <c r="H182" s="4"/>
      <c r="I182" s="6"/>
      <c r="J182" s="7"/>
      <c r="K182" s="4" t="s">
        <v>32</v>
      </c>
    </row>
    <row r="183" spans="1:11" s="3" customFormat="1" ht="21.95" customHeight="1" x14ac:dyDescent="0.4">
      <c r="A183" s="5">
        <v>1673</v>
      </c>
      <c r="B183" s="5" t="s">
        <v>256</v>
      </c>
      <c r="C183" s="5" t="s">
        <v>260</v>
      </c>
      <c r="D183" s="5" t="s">
        <v>4</v>
      </c>
      <c r="E183" s="5"/>
      <c r="F183" s="5"/>
      <c r="G183" s="5"/>
      <c r="H183" s="5"/>
      <c r="I183" s="8"/>
      <c r="J183" s="9">
        <v>56924</v>
      </c>
      <c r="K183" s="5" t="s">
        <v>261</v>
      </c>
    </row>
    <row r="184" spans="1:11" s="3" customFormat="1" ht="21.95" customHeight="1" x14ac:dyDescent="0.4">
      <c r="A184" s="4">
        <v>1927</v>
      </c>
      <c r="B184" s="4" t="s">
        <v>262</v>
      </c>
      <c r="C184" s="4" t="s">
        <v>263</v>
      </c>
      <c r="D184" s="4" t="s">
        <v>4</v>
      </c>
      <c r="E184" s="4"/>
      <c r="F184" s="4"/>
      <c r="G184" s="4"/>
      <c r="H184" s="4"/>
      <c r="I184" s="6"/>
      <c r="J184" s="7">
        <v>21400</v>
      </c>
      <c r="K184" s="4" t="s">
        <v>70</v>
      </c>
    </row>
    <row r="185" spans="1:11" s="3" customFormat="1" ht="21.95" customHeight="1" x14ac:dyDescent="0.4">
      <c r="A185" s="5">
        <v>765</v>
      </c>
      <c r="B185" s="5" t="s">
        <v>262</v>
      </c>
      <c r="C185" s="5" t="s">
        <v>193</v>
      </c>
      <c r="D185" s="5" t="s">
        <v>6</v>
      </c>
      <c r="E185" s="5"/>
      <c r="F185" s="5"/>
      <c r="G185" s="5"/>
      <c r="H185" s="5"/>
      <c r="I185" s="8"/>
      <c r="J185" s="9">
        <v>23519</v>
      </c>
      <c r="K185" s="5" t="s">
        <v>264</v>
      </c>
    </row>
    <row r="186" spans="1:11" s="3" customFormat="1" ht="21.95" customHeight="1" x14ac:dyDescent="0.4">
      <c r="A186" s="4">
        <v>1632</v>
      </c>
      <c r="B186" s="4" t="s">
        <v>265</v>
      </c>
      <c r="C186" s="4" t="s">
        <v>122</v>
      </c>
      <c r="D186" s="4" t="s">
        <v>10</v>
      </c>
      <c r="E186" s="4"/>
      <c r="F186" s="4"/>
      <c r="G186" s="4"/>
      <c r="H186" s="4"/>
      <c r="I186" s="6"/>
      <c r="J186" s="7">
        <v>55191</v>
      </c>
      <c r="K186" s="4" t="s">
        <v>266</v>
      </c>
    </row>
    <row r="187" spans="1:11" s="3" customFormat="1" ht="21.95" customHeight="1" x14ac:dyDescent="0.4">
      <c r="A187" s="5">
        <v>1999</v>
      </c>
      <c r="B187" s="5" t="s">
        <v>265</v>
      </c>
      <c r="C187" s="5" t="s">
        <v>267</v>
      </c>
      <c r="D187" s="5" t="s">
        <v>4</v>
      </c>
      <c r="E187" s="5"/>
      <c r="F187" s="5"/>
      <c r="G187" s="5"/>
      <c r="H187" s="5"/>
      <c r="I187" s="8"/>
      <c r="J187" s="9">
        <v>340000</v>
      </c>
      <c r="K187" s="5" t="s">
        <v>268</v>
      </c>
    </row>
    <row r="188" spans="1:11" s="3" customFormat="1" ht="21.95" customHeight="1" x14ac:dyDescent="0.4">
      <c r="A188" s="4">
        <v>1927</v>
      </c>
      <c r="B188" s="4" t="s">
        <v>269</v>
      </c>
      <c r="C188" s="4" t="s">
        <v>270</v>
      </c>
      <c r="D188" s="4" t="s">
        <v>4</v>
      </c>
      <c r="E188" s="4"/>
      <c r="F188" s="4"/>
      <c r="G188" s="4"/>
      <c r="H188" s="4"/>
      <c r="I188" s="6"/>
      <c r="J188" s="7">
        <v>16050</v>
      </c>
      <c r="K188" s="4" t="s">
        <v>70</v>
      </c>
    </row>
    <row r="189" spans="1:11" s="3" customFormat="1" ht="21.95" customHeight="1" x14ac:dyDescent="0.4">
      <c r="A189" s="5">
        <v>1927</v>
      </c>
      <c r="B189" s="5" t="s">
        <v>269</v>
      </c>
      <c r="C189" s="5" t="s">
        <v>271</v>
      </c>
      <c r="D189" s="5" t="s">
        <v>4</v>
      </c>
      <c r="E189" s="5"/>
      <c r="F189" s="5"/>
      <c r="G189" s="5"/>
      <c r="H189" s="5"/>
      <c r="I189" s="8"/>
      <c r="J189" s="9">
        <v>16050</v>
      </c>
      <c r="K189" s="5" t="s">
        <v>70</v>
      </c>
    </row>
    <row r="190" spans="1:11" s="3" customFormat="1" ht="21.95" customHeight="1" x14ac:dyDescent="0.4">
      <c r="A190" s="4">
        <v>914</v>
      </c>
      <c r="B190" s="4" t="s">
        <v>272</v>
      </c>
      <c r="C190" s="4" t="s">
        <v>273</v>
      </c>
      <c r="D190" s="4" t="s">
        <v>18</v>
      </c>
      <c r="E190" s="4"/>
      <c r="F190" s="4"/>
      <c r="G190" s="4"/>
      <c r="H190" s="4"/>
      <c r="I190" s="6"/>
      <c r="J190" s="7">
        <v>72161</v>
      </c>
      <c r="K190" s="4" t="s">
        <v>274</v>
      </c>
    </row>
    <row r="191" spans="1:11" s="3" customFormat="1" ht="21.95" customHeight="1" x14ac:dyDescent="0.4">
      <c r="A191" s="5">
        <v>1927</v>
      </c>
      <c r="B191" s="5" t="s">
        <v>275</v>
      </c>
      <c r="C191" s="5" t="s">
        <v>276</v>
      </c>
      <c r="D191" s="5" t="s">
        <v>4</v>
      </c>
      <c r="E191" s="5"/>
      <c r="F191" s="5"/>
      <c r="G191" s="5"/>
      <c r="H191" s="5"/>
      <c r="I191" s="8"/>
      <c r="J191" s="9">
        <v>59920</v>
      </c>
      <c r="K191" s="5" t="s">
        <v>70</v>
      </c>
    </row>
    <row r="192" spans="1:11" s="3" customFormat="1" ht="21.95" customHeight="1" x14ac:dyDescent="0.4">
      <c r="A192" s="4">
        <v>1927</v>
      </c>
      <c r="B192" s="4" t="s">
        <v>277</v>
      </c>
      <c r="C192" s="4" t="s">
        <v>278</v>
      </c>
      <c r="D192" s="4" t="s">
        <v>4</v>
      </c>
      <c r="E192" s="4"/>
      <c r="F192" s="4"/>
      <c r="G192" s="4"/>
      <c r="H192" s="4"/>
      <c r="I192" s="6"/>
      <c r="J192" s="7">
        <v>64200</v>
      </c>
      <c r="K192" s="4" t="s">
        <v>70</v>
      </c>
    </row>
    <row r="193" spans="1:11" s="3" customFormat="1" ht="21.95" customHeight="1" x14ac:dyDescent="0.4">
      <c r="A193" s="5">
        <v>1927</v>
      </c>
      <c r="B193" s="5" t="s">
        <v>279</v>
      </c>
      <c r="C193" s="5" t="s">
        <v>280</v>
      </c>
      <c r="D193" s="5" t="s">
        <v>4</v>
      </c>
      <c r="E193" s="5"/>
      <c r="F193" s="5"/>
      <c r="G193" s="5"/>
      <c r="H193" s="5"/>
      <c r="I193" s="8"/>
      <c r="J193" s="9">
        <v>11770</v>
      </c>
      <c r="K193" s="5" t="s">
        <v>70</v>
      </c>
    </row>
    <row r="194" spans="1:11" s="3" customFormat="1" ht="21.95" customHeight="1" x14ac:dyDescent="0.4">
      <c r="A194" s="4">
        <v>819</v>
      </c>
      <c r="B194" s="4" t="s">
        <v>281</v>
      </c>
      <c r="C194" s="4" t="s">
        <v>48</v>
      </c>
      <c r="D194" s="4" t="s">
        <v>12</v>
      </c>
      <c r="E194" s="4"/>
      <c r="F194" s="4"/>
      <c r="G194" s="4"/>
      <c r="H194" s="4"/>
      <c r="I194" s="6"/>
      <c r="J194" s="7">
        <v>17388</v>
      </c>
      <c r="K194" s="4" t="s">
        <v>282</v>
      </c>
    </row>
    <row r="195" spans="1:11" s="3" customFormat="1" ht="21.95" customHeight="1" x14ac:dyDescent="0.4">
      <c r="A195" s="5">
        <v>1804</v>
      </c>
      <c r="B195" s="5" t="s">
        <v>283</v>
      </c>
      <c r="C195" s="5" t="s">
        <v>226</v>
      </c>
      <c r="D195" s="5" t="s">
        <v>4</v>
      </c>
      <c r="E195" s="5"/>
      <c r="F195" s="5"/>
      <c r="G195" s="5"/>
      <c r="H195" s="5"/>
      <c r="I195" s="8"/>
      <c r="J195" s="9">
        <v>6292</v>
      </c>
      <c r="K195" s="5" t="s">
        <v>284</v>
      </c>
    </row>
    <row r="196" spans="1:11" s="3" customFormat="1" ht="21.95" customHeight="1" x14ac:dyDescent="0.4">
      <c r="A196" s="4">
        <v>1927</v>
      </c>
      <c r="B196" s="4" t="s">
        <v>283</v>
      </c>
      <c r="C196" s="4" t="s">
        <v>285</v>
      </c>
      <c r="D196" s="4" t="s">
        <v>4</v>
      </c>
      <c r="E196" s="4"/>
      <c r="F196" s="4"/>
      <c r="G196" s="4"/>
      <c r="H196" s="4"/>
      <c r="I196" s="6"/>
      <c r="J196" s="7"/>
      <c r="K196" s="4" t="s">
        <v>32</v>
      </c>
    </row>
    <row r="197" spans="1:11" s="3" customFormat="1" ht="21.95" customHeight="1" x14ac:dyDescent="0.4">
      <c r="A197" s="5">
        <v>1804</v>
      </c>
      <c r="B197" s="5" t="s">
        <v>283</v>
      </c>
      <c r="C197" s="5" t="s">
        <v>286</v>
      </c>
      <c r="D197" s="5" t="s">
        <v>4</v>
      </c>
      <c r="E197" s="5"/>
      <c r="F197" s="5"/>
      <c r="G197" s="5"/>
      <c r="H197" s="5"/>
      <c r="I197" s="8">
        <v>46072.625</v>
      </c>
      <c r="J197" s="9">
        <v>13000</v>
      </c>
      <c r="K197" s="5" t="s">
        <v>32</v>
      </c>
    </row>
    <row r="198" spans="1:11" s="3" customFormat="1" ht="21.95" customHeight="1" x14ac:dyDescent="0.4">
      <c r="A198" s="4">
        <v>332</v>
      </c>
      <c r="B198" s="4" t="s">
        <v>283</v>
      </c>
      <c r="C198" s="4" t="s">
        <v>76</v>
      </c>
      <c r="D198" s="4" t="s">
        <v>6</v>
      </c>
      <c r="E198" s="4"/>
      <c r="F198" s="4"/>
      <c r="G198" s="4"/>
      <c r="H198" s="4"/>
      <c r="I198" s="6">
        <v>46112.625</v>
      </c>
      <c r="J198" s="7">
        <v>159409</v>
      </c>
      <c r="K198" s="4" t="s">
        <v>32</v>
      </c>
    </row>
    <row r="199" spans="1:11" s="3" customFormat="1" ht="21.95" customHeight="1" x14ac:dyDescent="0.4">
      <c r="A199" s="5">
        <v>1804</v>
      </c>
      <c r="B199" s="5" t="s">
        <v>283</v>
      </c>
      <c r="C199" s="5" t="s">
        <v>287</v>
      </c>
      <c r="D199" s="5" t="s">
        <v>4</v>
      </c>
      <c r="E199" s="5"/>
      <c r="F199" s="5"/>
      <c r="G199" s="5"/>
      <c r="H199" s="5"/>
      <c r="I199" s="8"/>
      <c r="J199" s="9">
        <v>52644</v>
      </c>
      <c r="K199" s="5" t="s">
        <v>288</v>
      </c>
    </row>
    <row r="200" spans="1:11" s="3" customFormat="1" ht="21.95" customHeight="1" x14ac:dyDescent="0.4">
      <c r="A200" s="4">
        <v>1927</v>
      </c>
      <c r="B200" s="4" t="s">
        <v>289</v>
      </c>
      <c r="C200" s="4" t="s">
        <v>139</v>
      </c>
      <c r="D200" s="4" t="s">
        <v>4</v>
      </c>
      <c r="E200" s="4"/>
      <c r="F200" s="4"/>
      <c r="G200" s="4"/>
      <c r="H200" s="4"/>
      <c r="I200" s="6"/>
      <c r="J200" s="7">
        <v>7760</v>
      </c>
      <c r="K200" s="4" t="s">
        <v>290</v>
      </c>
    </row>
    <row r="201" spans="1:11" s="3" customFormat="1" ht="21.95" customHeight="1" x14ac:dyDescent="0.4">
      <c r="A201" s="5">
        <v>1985</v>
      </c>
      <c r="B201" s="5" t="s">
        <v>291</v>
      </c>
      <c r="C201" s="5" t="s">
        <v>292</v>
      </c>
      <c r="D201" s="5" t="s">
        <v>18</v>
      </c>
      <c r="E201" s="5"/>
      <c r="F201" s="5"/>
      <c r="G201" s="5"/>
      <c r="H201" s="5"/>
      <c r="I201" s="8"/>
      <c r="J201" s="9">
        <v>106101</v>
      </c>
      <c r="K201" s="5" t="s">
        <v>293</v>
      </c>
    </row>
    <row r="202" spans="1:11" s="3" customFormat="1" ht="21.95" customHeight="1" x14ac:dyDescent="0.4">
      <c r="A202" s="4">
        <v>1927</v>
      </c>
      <c r="B202" s="4" t="s">
        <v>294</v>
      </c>
      <c r="C202" s="4" t="s">
        <v>295</v>
      </c>
      <c r="D202" s="4" t="s">
        <v>4</v>
      </c>
      <c r="E202" s="4"/>
      <c r="F202" s="4"/>
      <c r="G202" s="4"/>
      <c r="H202" s="4"/>
      <c r="I202" s="6"/>
      <c r="J202" s="7">
        <v>8025</v>
      </c>
      <c r="K202" s="4" t="s">
        <v>70</v>
      </c>
    </row>
    <row r="203" spans="1:11" s="3" customFormat="1" ht="21.95" customHeight="1" x14ac:dyDescent="0.4">
      <c r="A203" s="5">
        <v>283</v>
      </c>
      <c r="B203" s="5" t="s">
        <v>294</v>
      </c>
      <c r="C203" s="5" t="s">
        <v>48</v>
      </c>
      <c r="D203" s="5" t="s">
        <v>12</v>
      </c>
      <c r="E203" s="5"/>
      <c r="F203" s="5"/>
      <c r="G203" s="5"/>
      <c r="H203" s="5"/>
      <c r="I203" s="8"/>
      <c r="J203" s="9">
        <v>29018</v>
      </c>
      <c r="K203" s="5" t="s">
        <v>32</v>
      </c>
    </row>
    <row r="204" spans="1:11" s="3" customFormat="1" ht="21.95" customHeight="1" x14ac:dyDescent="0.4">
      <c r="A204" s="4">
        <v>420</v>
      </c>
      <c r="B204" s="4" t="s">
        <v>296</v>
      </c>
      <c r="C204" s="4" t="s">
        <v>41</v>
      </c>
      <c r="D204" s="4" t="s">
        <v>6</v>
      </c>
      <c r="E204" s="4"/>
      <c r="F204" s="4"/>
      <c r="G204" s="4"/>
      <c r="H204" s="4"/>
      <c r="I204" s="6"/>
      <c r="J204" s="7">
        <v>1130840</v>
      </c>
      <c r="K204" s="4" t="s">
        <v>297</v>
      </c>
    </row>
    <row r="205" spans="1:11" s="3" customFormat="1" ht="21.95" customHeight="1" x14ac:dyDescent="0.4">
      <c r="A205" s="5">
        <v>407</v>
      </c>
      <c r="B205" s="5" t="s">
        <v>296</v>
      </c>
      <c r="C205" s="5" t="s">
        <v>298</v>
      </c>
      <c r="D205" s="5" t="s">
        <v>10</v>
      </c>
      <c r="E205" s="5"/>
      <c r="F205" s="5"/>
      <c r="G205" s="5"/>
      <c r="H205" s="5"/>
      <c r="I205" s="8"/>
      <c r="J205" s="9">
        <v>119048</v>
      </c>
      <c r="K205" s="5" t="s">
        <v>32</v>
      </c>
    </row>
    <row r="206" spans="1:11" s="3" customFormat="1" ht="21.95" customHeight="1" x14ac:dyDescent="0.4">
      <c r="A206" s="4">
        <v>1</v>
      </c>
      <c r="B206" s="4" t="s">
        <v>296</v>
      </c>
      <c r="C206" s="4" t="s">
        <v>50</v>
      </c>
      <c r="D206" s="4" t="s">
        <v>4</v>
      </c>
      <c r="E206" s="4"/>
      <c r="F206" s="4"/>
      <c r="G206" s="4"/>
      <c r="H206" s="4"/>
      <c r="I206" s="6"/>
      <c r="J206" s="7">
        <v>17612</v>
      </c>
      <c r="K206" s="4" t="s">
        <v>299</v>
      </c>
    </row>
    <row r="207" spans="1:11" s="3" customFormat="1" ht="21.95" customHeight="1" x14ac:dyDescent="0.4">
      <c r="A207" s="5">
        <v>1927</v>
      </c>
      <c r="B207" s="5" t="s">
        <v>300</v>
      </c>
      <c r="C207" s="5" t="s">
        <v>69</v>
      </c>
      <c r="D207" s="5" t="s">
        <v>4</v>
      </c>
      <c r="E207" s="5"/>
      <c r="F207" s="5"/>
      <c r="G207" s="5"/>
      <c r="H207" s="5"/>
      <c r="I207" s="8"/>
      <c r="J207" s="9">
        <v>16050</v>
      </c>
      <c r="K207" s="5" t="s">
        <v>301</v>
      </c>
    </row>
    <row r="208" spans="1:11" s="3" customFormat="1" ht="21.95" customHeight="1" x14ac:dyDescent="0.4">
      <c r="A208" s="4">
        <v>1927</v>
      </c>
      <c r="B208" s="4" t="s">
        <v>302</v>
      </c>
      <c r="C208" s="4" t="s">
        <v>303</v>
      </c>
      <c r="D208" s="4" t="s">
        <v>4</v>
      </c>
      <c r="E208" s="4"/>
      <c r="F208" s="4"/>
      <c r="G208" s="4"/>
      <c r="H208" s="4"/>
      <c r="I208" s="6"/>
      <c r="J208" s="7">
        <v>6955</v>
      </c>
      <c r="K208" s="4" t="s">
        <v>70</v>
      </c>
    </row>
    <row r="209" spans="1:11" s="3" customFormat="1" ht="21.95" customHeight="1" x14ac:dyDescent="0.4">
      <c r="A209" s="5">
        <v>1931</v>
      </c>
      <c r="B209" s="5" t="s">
        <v>304</v>
      </c>
      <c r="C209" s="5" t="s">
        <v>41</v>
      </c>
      <c r="D209" s="5" t="s">
        <v>6</v>
      </c>
      <c r="E209" s="5"/>
      <c r="F209" s="5"/>
      <c r="G209" s="5"/>
      <c r="H209" s="5"/>
      <c r="I209" s="8">
        <v>46000.625</v>
      </c>
      <c r="J209" s="9">
        <v>800553</v>
      </c>
      <c r="K209" s="5" t="s">
        <v>32</v>
      </c>
    </row>
    <row r="210" spans="1:11" s="3" customFormat="1" ht="21.95" customHeight="1" x14ac:dyDescent="0.4">
      <c r="A210" s="4">
        <v>115</v>
      </c>
      <c r="B210" s="4" t="s">
        <v>305</v>
      </c>
      <c r="C210" s="4" t="s">
        <v>76</v>
      </c>
      <c r="D210" s="4" t="s">
        <v>6</v>
      </c>
      <c r="E210" s="4"/>
      <c r="F210" s="4"/>
      <c r="G210" s="4"/>
      <c r="H210" s="4"/>
      <c r="I210" s="6"/>
      <c r="J210" s="7">
        <v>31426</v>
      </c>
      <c r="K210" s="4" t="s">
        <v>32</v>
      </c>
    </row>
    <row r="211" spans="1:11" s="3" customFormat="1" ht="21.95" customHeight="1" x14ac:dyDescent="0.4">
      <c r="A211" s="5">
        <v>1946</v>
      </c>
      <c r="B211" s="5" t="s">
        <v>306</v>
      </c>
      <c r="C211" s="5" t="s">
        <v>307</v>
      </c>
      <c r="D211" s="5" t="s">
        <v>4</v>
      </c>
      <c r="E211" s="5"/>
      <c r="F211" s="5"/>
      <c r="G211" s="5"/>
      <c r="H211" s="5"/>
      <c r="I211" s="8">
        <v>46015.625</v>
      </c>
      <c r="J211" s="9">
        <v>56517</v>
      </c>
      <c r="K211" s="5" t="s">
        <v>308</v>
      </c>
    </row>
    <row r="212" spans="1:11" s="3" customFormat="1" ht="21.95" customHeight="1" x14ac:dyDescent="0.4">
      <c r="A212" s="4">
        <v>1927</v>
      </c>
      <c r="B212" s="4" t="s">
        <v>309</v>
      </c>
      <c r="C212" s="4" t="s">
        <v>88</v>
      </c>
      <c r="D212" s="4" t="s">
        <v>4</v>
      </c>
      <c r="E212" s="4"/>
      <c r="F212" s="4"/>
      <c r="G212" s="4"/>
      <c r="H212" s="4"/>
      <c r="I212" s="6"/>
      <c r="J212" s="7">
        <v>9095</v>
      </c>
      <c r="K212" s="4" t="s">
        <v>32</v>
      </c>
    </row>
    <row r="213" spans="1:11" s="3" customFormat="1" ht="21.95" customHeight="1" x14ac:dyDescent="0.4">
      <c r="A213" s="5">
        <v>1823</v>
      </c>
      <c r="B213" s="5" t="s">
        <v>310</v>
      </c>
      <c r="C213" s="5" t="s">
        <v>220</v>
      </c>
      <c r="D213" s="5" t="s">
        <v>8</v>
      </c>
      <c r="E213" s="5"/>
      <c r="F213" s="5"/>
      <c r="G213" s="5"/>
      <c r="H213" s="5"/>
      <c r="I213" s="8">
        <v>46065.625</v>
      </c>
      <c r="J213" s="9">
        <v>23112</v>
      </c>
      <c r="K213" s="5" t="s">
        <v>32</v>
      </c>
    </row>
    <row r="214" spans="1:11" s="3" customFormat="1" ht="21.95" customHeight="1" x14ac:dyDescent="0.4">
      <c r="A214" s="4">
        <v>1822</v>
      </c>
      <c r="B214" s="4" t="s">
        <v>310</v>
      </c>
      <c r="C214" s="4" t="s">
        <v>48</v>
      </c>
      <c r="D214" s="4" t="s">
        <v>12</v>
      </c>
      <c r="E214" s="4"/>
      <c r="F214" s="4"/>
      <c r="G214" s="4"/>
      <c r="H214" s="4"/>
      <c r="I214" s="6">
        <v>46078.625</v>
      </c>
      <c r="J214" s="7">
        <v>81502</v>
      </c>
      <c r="K214" s="4" t="s">
        <v>32</v>
      </c>
    </row>
    <row r="215" spans="1:11" s="3" customFormat="1" ht="21.95" customHeight="1" x14ac:dyDescent="0.4">
      <c r="A215" s="5">
        <v>1952</v>
      </c>
      <c r="B215" s="5" t="s">
        <v>311</v>
      </c>
      <c r="C215" s="5" t="s">
        <v>312</v>
      </c>
      <c r="D215" s="5" t="s">
        <v>16</v>
      </c>
      <c r="E215" s="5"/>
      <c r="F215" s="5"/>
      <c r="G215" s="5"/>
      <c r="H215" s="5"/>
      <c r="I215" s="8">
        <v>46052.625</v>
      </c>
      <c r="J215" s="9">
        <v>30000</v>
      </c>
      <c r="K215" s="5" t="s">
        <v>313</v>
      </c>
    </row>
    <row r="216" spans="1:11" s="3" customFormat="1" ht="21.95" customHeight="1" x14ac:dyDescent="0.4">
      <c r="A216" s="4">
        <v>1921</v>
      </c>
      <c r="B216" s="4" t="s">
        <v>314</v>
      </c>
      <c r="C216" s="4" t="s">
        <v>315</v>
      </c>
      <c r="D216" s="4" t="s">
        <v>18</v>
      </c>
      <c r="E216" s="4"/>
      <c r="F216" s="4"/>
      <c r="G216" s="4"/>
      <c r="H216" s="4"/>
      <c r="I216" s="6">
        <v>45939.625</v>
      </c>
      <c r="J216" s="7">
        <v>51499</v>
      </c>
      <c r="K216" s="4" t="s">
        <v>316</v>
      </c>
    </row>
    <row r="217" spans="1:11" s="3" customFormat="1" ht="21.95" customHeight="1" x14ac:dyDescent="0.4">
      <c r="A217" s="5">
        <v>2004</v>
      </c>
      <c r="B217" s="5" t="s">
        <v>317</v>
      </c>
      <c r="C217" s="5" t="s">
        <v>318</v>
      </c>
      <c r="D217" s="5" t="s">
        <v>18</v>
      </c>
      <c r="E217" s="5"/>
      <c r="F217" s="5"/>
      <c r="G217" s="5"/>
      <c r="H217" s="5"/>
      <c r="I217" s="8"/>
      <c r="J217" s="9"/>
      <c r="K217" s="5" t="s">
        <v>32</v>
      </c>
    </row>
    <row r="218" spans="1:11" s="3" customFormat="1" ht="21.95" customHeight="1" x14ac:dyDescent="0.4">
      <c r="A218" s="4">
        <v>1951</v>
      </c>
      <c r="B218" s="4" t="s">
        <v>319</v>
      </c>
      <c r="C218" s="4" t="s">
        <v>62</v>
      </c>
      <c r="D218" s="4" t="s">
        <v>8</v>
      </c>
      <c r="E218" s="4"/>
      <c r="F218" s="4"/>
      <c r="G218" s="4"/>
      <c r="H218" s="4"/>
      <c r="I218" s="6">
        <v>46098.625</v>
      </c>
      <c r="J218" s="7">
        <v>180000</v>
      </c>
      <c r="K218" s="4" t="s">
        <v>32</v>
      </c>
    </row>
    <row r="219" spans="1:11" s="3" customFormat="1" ht="21.95" customHeight="1" x14ac:dyDescent="0.4">
      <c r="A219" s="5">
        <v>1995</v>
      </c>
      <c r="B219" s="5" t="s">
        <v>319</v>
      </c>
      <c r="C219" s="5" t="s">
        <v>320</v>
      </c>
      <c r="D219" s="5" t="s">
        <v>14</v>
      </c>
      <c r="E219" s="5"/>
      <c r="F219" s="5"/>
      <c r="G219" s="5"/>
      <c r="H219" s="5"/>
      <c r="I219" s="8"/>
      <c r="J219" s="9">
        <v>435000</v>
      </c>
      <c r="K219" s="5" t="s">
        <v>32</v>
      </c>
    </row>
    <row r="220" spans="1:11" s="3" customFormat="1" ht="21.95" customHeight="1" x14ac:dyDescent="0.4">
      <c r="A220" s="4">
        <v>1950</v>
      </c>
      <c r="B220" s="4" t="s">
        <v>319</v>
      </c>
      <c r="C220" s="4" t="s">
        <v>41</v>
      </c>
      <c r="D220" s="4" t="s">
        <v>6</v>
      </c>
      <c r="E220" s="4"/>
      <c r="F220" s="4"/>
      <c r="G220" s="4"/>
      <c r="H220" s="4"/>
      <c r="I220" s="6"/>
      <c r="J220" s="7"/>
      <c r="K220" s="4" t="s">
        <v>321</v>
      </c>
    </row>
    <row r="221" spans="1:11" s="3" customFormat="1" ht="21.95" customHeight="1" x14ac:dyDescent="0.4">
      <c r="A221" s="5">
        <v>1927</v>
      </c>
      <c r="B221" s="5" t="s">
        <v>322</v>
      </c>
      <c r="C221" s="5" t="s">
        <v>323</v>
      </c>
      <c r="D221" s="5" t="s">
        <v>4</v>
      </c>
      <c r="E221" s="5"/>
      <c r="F221" s="5"/>
      <c r="G221" s="5"/>
      <c r="H221" s="5"/>
      <c r="I221" s="8"/>
      <c r="J221" s="9">
        <v>27820</v>
      </c>
      <c r="K221" s="5" t="s">
        <v>70</v>
      </c>
    </row>
    <row r="222" spans="1:11" s="3" customFormat="1" ht="21.95" customHeight="1" x14ac:dyDescent="0.4">
      <c r="A222" s="4">
        <v>1927</v>
      </c>
      <c r="B222" s="4" t="s">
        <v>324</v>
      </c>
      <c r="C222" s="4" t="s">
        <v>236</v>
      </c>
      <c r="D222" s="4" t="s">
        <v>4</v>
      </c>
      <c r="E222" s="4"/>
      <c r="F222" s="4"/>
      <c r="G222" s="4"/>
      <c r="H222" s="4"/>
      <c r="I222" s="6">
        <v>46084.625</v>
      </c>
      <c r="J222" s="7">
        <v>12000</v>
      </c>
      <c r="K222" s="4" t="s">
        <v>32</v>
      </c>
    </row>
    <row r="223" spans="1:11" s="3" customFormat="1" ht="21.95" customHeight="1" x14ac:dyDescent="0.4">
      <c r="A223" s="5">
        <v>1927</v>
      </c>
      <c r="B223" s="5" t="s">
        <v>325</v>
      </c>
      <c r="C223" s="5" t="s">
        <v>323</v>
      </c>
      <c r="D223" s="5" t="s">
        <v>4</v>
      </c>
      <c r="E223" s="5"/>
      <c r="F223" s="5"/>
      <c r="G223" s="5"/>
      <c r="H223" s="5"/>
      <c r="I223" s="8"/>
      <c r="J223" s="9">
        <v>27820</v>
      </c>
      <c r="K223" s="5" t="s">
        <v>70</v>
      </c>
    </row>
    <row r="224" spans="1:11" s="3" customFormat="1" ht="21.95" customHeight="1" x14ac:dyDescent="0.4">
      <c r="A224" s="4">
        <v>394</v>
      </c>
      <c r="B224" s="4" t="s">
        <v>326</v>
      </c>
      <c r="C224" s="4" t="s">
        <v>193</v>
      </c>
      <c r="D224" s="4" t="s">
        <v>6</v>
      </c>
      <c r="E224" s="4"/>
      <c r="F224" s="4"/>
      <c r="G224" s="4"/>
      <c r="H224" s="4"/>
      <c r="I224" s="6">
        <v>46111.625</v>
      </c>
      <c r="J224" s="7">
        <v>297000</v>
      </c>
      <c r="K224" s="4" t="s">
        <v>327</v>
      </c>
    </row>
    <row r="225" spans="1:11" s="3" customFormat="1" ht="21.95" customHeight="1" x14ac:dyDescent="0.4">
      <c r="A225" s="5">
        <v>794</v>
      </c>
      <c r="B225" s="5" t="s">
        <v>328</v>
      </c>
      <c r="C225" s="5" t="s">
        <v>220</v>
      </c>
      <c r="D225" s="5" t="s">
        <v>8</v>
      </c>
      <c r="E225" s="5"/>
      <c r="F225" s="5"/>
      <c r="G225" s="5"/>
      <c r="H225" s="5"/>
      <c r="I225" s="8">
        <v>45909.625</v>
      </c>
      <c r="J225" s="9">
        <v>36990</v>
      </c>
      <c r="K225" s="5" t="s">
        <v>32</v>
      </c>
    </row>
    <row r="226" spans="1:11" s="3" customFormat="1" ht="21.95" customHeight="1" x14ac:dyDescent="0.4">
      <c r="A226" s="4">
        <v>1927</v>
      </c>
      <c r="B226" s="4" t="s">
        <v>328</v>
      </c>
      <c r="C226" s="4" t="s">
        <v>329</v>
      </c>
      <c r="D226" s="4" t="s">
        <v>4</v>
      </c>
      <c r="E226" s="4"/>
      <c r="F226" s="4"/>
      <c r="G226" s="4"/>
      <c r="H226" s="4"/>
      <c r="I226" s="6"/>
      <c r="J226" s="7">
        <v>13910</v>
      </c>
      <c r="K226" s="4" t="s">
        <v>70</v>
      </c>
    </row>
    <row r="227" spans="1:11" s="3" customFormat="1" ht="21.95" customHeight="1" x14ac:dyDescent="0.4">
      <c r="A227" s="5">
        <v>1922</v>
      </c>
      <c r="B227" s="5" t="s">
        <v>330</v>
      </c>
      <c r="C227" s="5" t="s">
        <v>331</v>
      </c>
      <c r="D227" s="5" t="s">
        <v>14</v>
      </c>
      <c r="E227" s="5"/>
      <c r="F227" s="5"/>
      <c r="G227" s="5"/>
      <c r="H227" s="5"/>
      <c r="I227" s="8">
        <v>45950.625</v>
      </c>
      <c r="J227" s="9">
        <v>29832</v>
      </c>
      <c r="K227" s="5" t="s">
        <v>32</v>
      </c>
    </row>
    <row r="228" spans="1:11" s="3" customFormat="1" ht="21.95" customHeight="1" x14ac:dyDescent="0.4">
      <c r="A228" s="4">
        <v>1958</v>
      </c>
      <c r="B228" s="4" t="s">
        <v>330</v>
      </c>
      <c r="C228" s="4" t="s">
        <v>332</v>
      </c>
      <c r="D228" s="4" t="s">
        <v>18</v>
      </c>
      <c r="E228" s="4"/>
      <c r="F228" s="4"/>
      <c r="G228" s="4"/>
      <c r="H228" s="4"/>
      <c r="I228" s="6">
        <v>46057.625</v>
      </c>
      <c r="J228" s="7">
        <v>42586</v>
      </c>
      <c r="K228" s="4" t="s">
        <v>333</v>
      </c>
    </row>
    <row r="229" spans="1:11" s="3" customFormat="1" ht="21.95" customHeight="1" x14ac:dyDescent="0.4">
      <c r="A229" s="5">
        <v>282</v>
      </c>
      <c r="B229" s="5" t="s">
        <v>334</v>
      </c>
      <c r="C229" s="5" t="s">
        <v>76</v>
      </c>
      <c r="D229" s="5" t="s">
        <v>6</v>
      </c>
      <c r="E229" s="5"/>
      <c r="F229" s="5"/>
      <c r="G229" s="5"/>
      <c r="H229" s="5"/>
      <c r="I229" s="8"/>
      <c r="J229" s="9">
        <v>54056</v>
      </c>
      <c r="K229" s="5" t="s">
        <v>32</v>
      </c>
    </row>
    <row r="230" spans="1:11" s="3" customFormat="1" ht="21.95" customHeight="1" x14ac:dyDescent="0.4">
      <c r="A230" s="4">
        <v>282</v>
      </c>
      <c r="B230" s="4" t="s">
        <v>334</v>
      </c>
      <c r="C230" s="4" t="s">
        <v>76</v>
      </c>
      <c r="D230" s="4" t="s">
        <v>6</v>
      </c>
      <c r="E230" s="4"/>
      <c r="F230" s="4"/>
      <c r="G230" s="4"/>
      <c r="H230" s="4"/>
      <c r="I230" s="6"/>
      <c r="J230" s="7">
        <v>117718</v>
      </c>
      <c r="K230" s="4" t="s">
        <v>335</v>
      </c>
    </row>
    <row r="231" spans="1:11" s="3" customFormat="1" ht="21.95" customHeight="1" x14ac:dyDescent="0.4">
      <c r="A231" s="5">
        <v>282</v>
      </c>
      <c r="B231" s="5" t="s">
        <v>334</v>
      </c>
      <c r="C231" s="5" t="s">
        <v>76</v>
      </c>
      <c r="D231" s="5" t="s">
        <v>6</v>
      </c>
      <c r="E231" s="5"/>
      <c r="F231" s="5"/>
      <c r="G231" s="5"/>
      <c r="H231" s="5"/>
      <c r="I231" s="8">
        <v>45988.625</v>
      </c>
      <c r="J231" s="9">
        <v>23026</v>
      </c>
      <c r="K231" s="5" t="s">
        <v>32</v>
      </c>
    </row>
    <row r="232" spans="1:11" s="3" customFormat="1" ht="21.95" customHeight="1" x14ac:dyDescent="0.4">
      <c r="A232" s="4">
        <v>1927</v>
      </c>
      <c r="B232" s="4" t="s">
        <v>336</v>
      </c>
      <c r="C232" s="4" t="s">
        <v>337</v>
      </c>
      <c r="D232" s="4" t="s">
        <v>4</v>
      </c>
      <c r="E232" s="4"/>
      <c r="F232" s="4"/>
      <c r="G232" s="4"/>
      <c r="H232" s="4"/>
      <c r="I232" s="6"/>
      <c r="J232" s="7">
        <v>38263</v>
      </c>
      <c r="K232" s="4" t="s">
        <v>32</v>
      </c>
    </row>
    <row r="233" spans="1:11" s="3" customFormat="1" ht="21.95" customHeight="1" x14ac:dyDescent="0.4">
      <c r="A233" s="5">
        <v>1927</v>
      </c>
      <c r="B233" s="5" t="s">
        <v>338</v>
      </c>
      <c r="C233" s="5" t="s">
        <v>228</v>
      </c>
      <c r="D233" s="5" t="s">
        <v>4</v>
      </c>
      <c r="E233" s="5"/>
      <c r="F233" s="5"/>
      <c r="G233" s="5"/>
      <c r="H233" s="5"/>
      <c r="I233" s="8"/>
      <c r="J233" s="9">
        <v>18190</v>
      </c>
      <c r="K233" s="5" t="s">
        <v>32</v>
      </c>
    </row>
    <row r="234" spans="1:11" s="3" customFormat="1" ht="21.95" customHeight="1" x14ac:dyDescent="0.4">
      <c r="A234" s="4">
        <v>1873</v>
      </c>
      <c r="B234" s="4" t="s">
        <v>339</v>
      </c>
      <c r="C234" s="4" t="s">
        <v>340</v>
      </c>
      <c r="D234" s="4" t="s">
        <v>4</v>
      </c>
      <c r="E234" s="4"/>
      <c r="F234" s="4"/>
      <c r="G234" s="4"/>
      <c r="H234" s="4"/>
      <c r="I234" s="6">
        <v>45960.625</v>
      </c>
      <c r="J234" s="7">
        <v>2500000</v>
      </c>
      <c r="K234" s="4" t="s">
        <v>32</v>
      </c>
    </row>
    <row r="235" spans="1:11" s="3" customFormat="1" ht="21.95" customHeight="1" x14ac:dyDescent="0.4">
      <c r="A235" s="5">
        <v>1878</v>
      </c>
      <c r="B235" s="5" t="s">
        <v>341</v>
      </c>
      <c r="C235" s="5" t="s">
        <v>342</v>
      </c>
      <c r="D235" s="5" t="s">
        <v>4</v>
      </c>
      <c r="E235" s="5"/>
      <c r="F235" s="5"/>
      <c r="G235" s="5"/>
      <c r="H235" s="5"/>
      <c r="I235" s="8">
        <v>45960.625</v>
      </c>
      <c r="J235" s="9">
        <v>3350000</v>
      </c>
      <c r="K235" s="5" t="s">
        <v>32</v>
      </c>
    </row>
    <row r="236" spans="1:11" s="3" customFormat="1" ht="21.95" customHeight="1" x14ac:dyDescent="0.4">
      <c r="A236" s="4">
        <v>1920</v>
      </c>
      <c r="B236" s="4" t="s">
        <v>341</v>
      </c>
      <c r="C236" s="4" t="s">
        <v>267</v>
      </c>
      <c r="D236" s="4" t="s">
        <v>4</v>
      </c>
      <c r="E236" s="4"/>
      <c r="F236" s="4"/>
      <c r="G236" s="4"/>
      <c r="H236" s="4"/>
      <c r="I236" s="6">
        <v>45932.625</v>
      </c>
      <c r="J236" s="7">
        <v>36722</v>
      </c>
      <c r="K236" s="4" t="s">
        <v>343</v>
      </c>
    </row>
    <row r="237" spans="1:11" s="3" customFormat="1" ht="21.95" customHeight="1" x14ac:dyDescent="0.4">
      <c r="A237" s="5">
        <v>1920</v>
      </c>
      <c r="B237" s="5" t="s">
        <v>341</v>
      </c>
      <c r="C237" s="5" t="s">
        <v>344</v>
      </c>
      <c r="D237" s="5" t="s">
        <v>4</v>
      </c>
      <c r="E237" s="5"/>
      <c r="F237" s="5"/>
      <c r="G237" s="5"/>
      <c r="H237" s="5"/>
      <c r="I237" s="8"/>
      <c r="J237" s="9">
        <v>36722</v>
      </c>
      <c r="K237" s="5" t="s">
        <v>345</v>
      </c>
    </row>
    <row r="238" spans="1:11" s="3" customFormat="1" ht="21.95" customHeight="1" x14ac:dyDescent="0.4">
      <c r="A238" s="4">
        <v>1920</v>
      </c>
      <c r="B238" s="4" t="s">
        <v>341</v>
      </c>
      <c r="C238" s="4" t="s">
        <v>346</v>
      </c>
      <c r="D238" s="4" t="s">
        <v>4</v>
      </c>
      <c r="E238" s="4"/>
      <c r="F238" s="4"/>
      <c r="G238" s="4"/>
      <c r="H238" s="4"/>
      <c r="I238" s="6"/>
      <c r="J238" s="7">
        <v>36722</v>
      </c>
      <c r="K238" s="4" t="s">
        <v>347</v>
      </c>
    </row>
    <row r="239" spans="1:11" s="3" customFormat="1" ht="21.95" customHeight="1" x14ac:dyDescent="0.4">
      <c r="A239" s="5">
        <v>1973</v>
      </c>
      <c r="B239" s="5" t="s">
        <v>348</v>
      </c>
      <c r="C239" s="5" t="s">
        <v>267</v>
      </c>
      <c r="D239" s="5" t="s">
        <v>4</v>
      </c>
      <c r="E239" s="5"/>
      <c r="F239" s="5"/>
      <c r="G239" s="5"/>
      <c r="H239" s="5"/>
      <c r="I239" s="8"/>
      <c r="J239" s="9">
        <v>8111</v>
      </c>
      <c r="K239" s="5" t="s">
        <v>349</v>
      </c>
    </row>
    <row r="240" spans="1:11" s="3" customFormat="1" ht="21.95" customHeight="1" x14ac:dyDescent="0.4">
      <c r="A240" s="4">
        <v>1927</v>
      </c>
      <c r="B240" s="4" t="s">
        <v>350</v>
      </c>
      <c r="C240" s="4" t="s">
        <v>351</v>
      </c>
      <c r="D240" s="4" t="s">
        <v>4</v>
      </c>
      <c r="E240" s="4"/>
      <c r="F240" s="4"/>
      <c r="G240" s="4"/>
      <c r="H240" s="4"/>
      <c r="I240" s="6">
        <v>46047.625</v>
      </c>
      <c r="J240" s="7">
        <v>8880</v>
      </c>
      <c r="K240" s="4" t="s">
        <v>140</v>
      </c>
    </row>
    <row r="241" spans="1:11" s="3" customFormat="1" ht="21.95" customHeight="1" x14ac:dyDescent="0.4">
      <c r="A241" s="5">
        <v>1972</v>
      </c>
      <c r="B241" s="5" t="s">
        <v>352</v>
      </c>
      <c r="C241" s="5" t="s">
        <v>50</v>
      </c>
      <c r="D241" s="5" t="s">
        <v>4</v>
      </c>
      <c r="E241" s="5"/>
      <c r="F241" s="5"/>
      <c r="G241" s="5"/>
      <c r="H241" s="5"/>
      <c r="I241" s="8"/>
      <c r="J241" s="9">
        <v>40061</v>
      </c>
      <c r="K241" s="5" t="s">
        <v>353</v>
      </c>
    </row>
    <row r="242" spans="1:11" s="3" customFormat="1" ht="21.95" customHeight="1" x14ac:dyDescent="0.4">
      <c r="A242" s="4">
        <v>1927</v>
      </c>
      <c r="B242" s="4" t="s">
        <v>354</v>
      </c>
      <c r="C242" s="4" t="s">
        <v>355</v>
      </c>
      <c r="D242" s="4" t="s">
        <v>4</v>
      </c>
      <c r="E242" s="4"/>
      <c r="F242" s="4"/>
      <c r="G242" s="4"/>
      <c r="H242" s="4"/>
      <c r="I242" s="6">
        <v>46047.625</v>
      </c>
      <c r="J242" s="7">
        <v>7760</v>
      </c>
      <c r="K242" s="4" t="s">
        <v>140</v>
      </c>
    </row>
    <row r="243" spans="1:11" s="3" customFormat="1" ht="21.95" customHeight="1" x14ac:dyDescent="0.4">
      <c r="A243" s="5">
        <v>1567</v>
      </c>
      <c r="B243" s="5" t="s">
        <v>356</v>
      </c>
      <c r="C243" s="5" t="s">
        <v>357</v>
      </c>
      <c r="D243" s="5" t="s">
        <v>4</v>
      </c>
      <c r="E243" s="5"/>
      <c r="F243" s="5"/>
      <c r="G243" s="5"/>
      <c r="H243" s="5"/>
      <c r="I243" s="8"/>
      <c r="J243" s="9">
        <v>75499</v>
      </c>
      <c r="K243" s="5" t="s">
        <v>358</v>
      </c>
    </row>
    <row r="244" spans="1:11" s="3" customFormat="1" ht="21.95" customHeight="1" x14ac:dyDescent="0.4">
      <c r="A244" s="4">
        <v>2005</v>
      </c>
      <c r="B244" s="4" t="s">
        <v>359</v>
      </c>
      <c r="C244" s="4" t="s">
        <v>41</v>
      </c>
      <c r="D244" s="4" t="s">
        <v>6</v>
      </c>
      <c r="E244" s="4"/>
      <c r="F244" s="4"/>
      <c r="G244" s="4"/>
      <c r="H244" s="4"/>
      <c r="I244" s="6">
        <v>46156.625</v>
      </c>
      <c r="J244" s="7"/>
      <c r="K244" s="4" t="s">
        <v>32</v>
      </c>
    </row>
    <row r="245" spans="1:11" s="3" customFormat="1" ht="21.95" customHeight="1" x14ac:dyDescent="0.4">
      <c r="A245" s="5">
        <v>2006</v>
      </c>
      <c r="B245" s="5" t="s">
        <v>359</v>
      </c>
      <c r="C245" s="5" t="s">
        <v>62</v>
      </c>
      <c r="D245" s="5" t="s">
        <v>8</v>
      </c>
      <c r="E245" s="5"/>
      <c r="F245" s="5"/>
      <c r="G245" s="5"/>
      <c r="H245" s="5"/>
      <c r="I245" s="8">
        <v>46156.625</v>
      </c>
      <c r="J245" s="9"/>
      <c r="K245" s="5" t="s">
        <v>32</v>
      </c>
    </row>
    <row r="246" spans="1:11" s="3" customFormat="1" ht="21.95" customHeight="1" x14ac:dyDescent="0.4">
      <c r="A246" s="4" t="s">
        <v>32</v>
      </c>
      <c r="B246" s="4" t="s">
        <v>359</v>
      </c>
      <c r="C246" s="4" t="s">
        <v>41</v>
      </c>
      <c r="D246" s="4" t="s">
        <v>6</v>
      </c>
      <c r="E246" s="4"/>
      <c r="F246" s="4"/>
      <c r="G246" s="4"/>
      <c r="H246" s="4"/>
      <c r="I246" s="6"/>
      <c r="J246" s="7"/>
      <c r="K246" s="4" t="s">
        <v>360</v>
      </c>
    </row>
    <row r="247" spans="1:11" s="3" customFormat="1" ht="21.95" customHeight="1" x14ac:dyDescent="0.4">
      <c r="A247" s="5" t="s">
        <v>32</v>
      </c>
      <c r="B247" s="5" t="s">
        <v>359</v>
      </c>
      <c r="C247" s="5" t="s">
        <v>62</v>
      </c>
      <c r="D247" s="5" t="s">
        <v>8</v>
      </c>
      <c r="E247" s="5"/>
      <c r="F247" s="5"/>
      <c r="G247" s="5"/>
      <c r="H247" s="5"/>
      <c r="I247" s="8"/>
      <c r="J247" s="9"/>
      <c r="K247" s="5" t="s">
        <v>360</v>
      </c>
    </row>
    <row r="248" spans="1:11" s="3" customFormat="1" ht="21.95" customHeight="1" x14ac:dyDescent="0.4">
      <c r="A248" s="4">
        <v>1927</v>
      </c>
      <c r="B248" s="4" t="s">
        <v>361</v>
      </c>
      <c r="C248" s="4" t="s">
        <v>54</v>
      </c>
      <c r="D248" s="4" t="s">
        <v>4</v>
      </c>
      <c r="E248" s="4"/>
      <c r="F248" s="4"/>
      <c r="G248" s="4"/>
      <c r="H248" s="4"/>
      <c r="I248" s="6"/>
      <c r="J248" s="7">
        <v>6955</v>
      </c>
      <c r="K248" s="4" t="s">
        <v>32</v>
      </c>
    </row>
    <row r="249" spans="1:11" s="3" customFormat="1" ht="21.95" customHeight="1" x14ac:dyDescent="0.4">
      <c r="A249" s="5">
        <v>771</v>
      </c>
      <c r="B249" s="5" t="s">
        <v>362</v>
      </c>
      <c r="C249" s="5" t="s">
        <v>363</v>
      </c>
      <c r="D249" s="5" t="s">
        <v>14</v>
      </c>
      <c r="E249" s="5"/>
      <c r="F249" s="5"/>
      <c r="G249" s="5"/>
      <c r="H249" s="5"/>
      <c r="I249" s="8"/>
      <c r="J249" s="9"/>
      <c r="K249" s="5" t="s">
        <v>32</v>
      </c>
    </row>
    <row r="250" spans="1:11" s="3" customFormat="1" ht="21.95" customHeight="1" x14ac:dyDescent="0.4">
      <c r="A250" s="4">
        <v>1059</v>
      </c>
      <c r="B250" s="4" t="s">
        <v>364</v>
      </c>
      <c r="C250" s="4" t="s">
        <v>365</v>
      </c>
      <c r="D250" s="4" t="s">
        <v>18</v>
      </c>
      <c r="E250" s="4"/>
      <c r="F250" s="4"/>
      <c r="G250" s="4"/>
      <c r="H250" s="4"/>
      <c r="I250" s="6">
        <v>45959.625</v>
      </c>
      <c r="J250" s="7">
        <v>465578</v>
      </c>
      <c r="K250" s="4" t="s">
        <v>366</v>
      </c>
    </row>
    <row r="251" spans="1:11" s="3" customFormat="1" ht="21.95" customHeight="1" x14ac:dyDescent="0.4">
      <c r="A251" s="5">
        <v>1927</v>
      </c>
      <c r="B251" s="5" t="s">
        <v>367</v>
      </c>
      <c r="C251" s="5" t="s">
        <v>368</v>
      </c>
      <c r="D251" s="5" t="s">
        <v>4</v>
      </c>
      <c r="E251" s="5"/>
      <c r="F251" s="5"/>
      <c r="G251" s="5"/>
      <c r="H251" s="5"/>
      <c r="I251" s="8"/>
      <c r="J251" s="9">
        <v>31843</v>
      </c>
      <c r="K251" s="5" t="s">
        <v>70</v>
      </c>
    </row>
    <row r="252" spans="1:11" s="3" customFormat="1" ht="21.95" customHeight="1" x14ac:dyDescent="0.4">
      <c r="A252" s="4">
        <v>1927</v>
      </c>
      <c r="B252" s="4" t="s">
        <v>369</v>
      </c>
      <c r="C252" s="4" t="s">
        <v>236</v>
      </c>
      <c r="D252" s="4" t="s">
        <v>4</v>
      </c>
      <c r="E252" s="4"/>
      <c r="F252" s="4"/>
      <c r="G252" s="4"/>
      <c r="H252" s="4"/>
      <c r="I252" s="6"/>
      <c r="J252" s="7"/>
      <c r="K252" s="4" t="s">
        <v>370</v>
      </c>
    </row>
    <row r="253" spans="1:11" s="3" customFormat="1" ht="21.95" customHeight="1" x14ac:dyDescent="0.4">
      <c r="A253" s="5">
        <v>1927</v>
      </c>
      <c r="B253" s="5" t="s">
        <v>371</v>
      </c>
      <c r="C253" s="5" t="s">
        <v>88</v>
      </c>
      <c r="D253" s="5" t="s">
        <v>4</v>
      </c>
      <c r="E253" s="5"/>
      <c r="F253" s="5"/>
      <c r="G253" s="5"/>
      <c r="H253" s="5"/>
      <c r="I253" s="8"/>
      <c r="J253" s="9">
        <v>16050</v>
      </c>
      <c r="K253" s="5" t="s">
        <v>70</v>
      </c>
    </row>
    <row r="254" spans="1:11" s="3" customFormat="1" ht="21.95" customHeight="1" x14ac:dyDescent="0.4">
      <c r="A254" s="4">
        <v>1927</v>
      </c>
      <c r="B254" s="4" t="s">
        <v>372</v>
      </c>
      <c r="C254" s="4" t="s">
        <v>88</v>
      </c>
      <c r="D254" s="4" t="s">
        <v>4</v>
      </c>
      <c r="E254" s="4"/>
      <c r="F254" s="4"/>
      <c r="G254" s="4"/>
      <c r="H254" s="4"/>
      <c r="I254" s="6"/>
      <c r="J254" s="7">
        <v>16050</v>
      </c>
      <c r="K254" s="4" t="s">
        <v>70</v>
      </c>
    </row>
    <row r="255" spans="1:11" s="3" customFormat="1" ht="21.95" customHeight="1" x14ac:dyDescent="0.4">
      <c r="A255" s="5">
        <v>1927</v>
      </c>
      <c r="B255" s="5" t="s">
        <v>373</v>
      </c>
      <c r="C255" s="5" t="s">
        <v>139</v>
      </c>
      <c r="D255" s="5" t="s">
        <v>4</v>
      </c>
      <c r="E255" s="5"/>
      <c r="F255" s="5"/>
      <c r="G255" s="5"/>
      <c r="H255" s="5"/>
      <c r="I255" s="8">
        <v>46047.625</v>
      </c>
      <c r="J255" s="9">
        <v>10960</v>
      </c>
      <c r="K255" s="5" t="s">
        <v>140</v>
      </c>
    </row>
    <row r="256" spans="1:11" s="3" customFormat="1" ht="21.95" customHeight="1" x14ac:dyDescent="0.4">
      <c r="A256" s="4">
        <v>1927</v>
      </c>
      <c r="B256" s="4" t="s">
        <v>374</v>
      </c>
      <c r="C256" s="4" t="s">
        <v>236</v>
      </c>
      <c r="D256" s="4" t="s">
        <v>4</v>
      </c>
      <c r="E256" s="4"/>
      <c r="F256" s="4"/>
      <c r="G256" s="4"/>
      <c r="H256" s="4"/>
      <c r="I256" s="6"/>
      <c r="J256" s="7">
        <v>8025</v>
      </c>
      <c r="K256" s="4" t="s">
        <v>375</v>
      </c>
    </row>
    <row r="257" spans="1:11" s="3" customFormat="1" ht="21.95" customHeight="1" x14ac:dyDescent="0.4">
      <c r="A257" s="5">
        <v>1927</v>
      </c>
      <c r="B257" s="5" t="s">
        <v>376</v>
      </c>
      <c r="C257" s="5" t="s">
        <v>236</v>
      </c>
      <c r="D257" s="5" t="s">
        <v>4</v>
      </c>
      <c r="E257" s="5"/>
      <c r="F257" s="5"/>
      <c r="G257" s="5"/>
      <c r="H257" s="5"/>
      <c r="I257" s="8"/>
      <c r="J257" s="9">
        <v>6955</v>
      </c>
      <c r="K257" s="5" t="s">
        <v>70</v>
      </c>
    </row>
    <row r="258" spans="1:11" s="3" customFormat="1" ht="21.95" customHeight="1" x14ac:dyDescent="0.4">
      <c r="A258" s="4">
        <v>1502</v>
      </c>
      <c r="B258" s="4" t="s">
        <v>377</v>
      </c>
      <c r="C258" s="4" t="s">
        <v>114</v>
      </c>
      <c r="D258" s="4" t="s">
        <v>6</v>
      </c>
      <c r="E258" s="4"/>
      <c r="F258" s="4"/>
      <c r="G258" s="4"/>
      <c r="H258" s="4"/>
      <c r="I258" s="6">
        <v>45959.625</v>
      </c>
      <c r="J258" s="7">
        <v>77040</v>
      </c>
      <c r="K258" s="4" t="s">
        <v>378</v>
      </c>
    </row>
    <row r="259" spans="1:11" s="3" customFormat="1" ht="21.95" customHeight="1" x14ac:dyDescent="0.4">
      <c r="A259" s="5">
        <v>1654</v>
      </c>
      <c r="B259" s="5" t="s">
        <v>379</v>
      </c>
      <c r="C259" s="5" t="s">
        <v>193</v>
      </c>
      <c r="D259" s="5" t="s">
        <v>6</v>
      </c>
      <c r="E259" s="5"/>
      <c r="F259" s="5"/>
      <c r="G259" s="5"/>
      <c r="H259" s="5"/>
      <c r="I259" s="8"/>
      <c r="J259" s="9">
        <v>18896</v>
      </c>
      <c r="K259" s="5" t="s">
        <v>32</v>
      </c>
    </row>
    <row r="260" spans="1:11" s="3" customFormat="1" ht="21.95" customHeight="1" x14ac:dyDescent="0.4">
      <c r="A260" s="4">
        <v>1927</v>
      </c>
      <c r="B260" s="4" t="s">
        <v>380</v>
      </c>
      <c r="C260" s="4" t="s">
        <v>236</v>
      </c>
      <c r="D260" s="4" t="s">
        <v>4</v>
      </c>
      <c r="E260" s="4"/>
      <c r="F260" s="4"/>
      <c r="G260" s="4"/>
      <c r="H260" s="4"/>
      <c r="I260" s="6"/>
      <c r="J260" s="7">
        <v>6955</v>
      </c>
      <c r="K260" s="4" t="s">
        <v>70</v>
      </c>
    </row>
    <row r="261" spans="1:11" s="3" customFormat="1" ht="21.95" customHeight="1" x14ac:dyDescent="0.4">
      <c r="A261" s="5">
        <v>1927</v>
      </c>
      <c r="B261" s="5" t="s">
        <v>381</v>
      </c>
      <c r="C261" s="5" t="s">
        <v>236</v>
      </c>
      <c r="D261" s="5" t="s">
        <v>4</v>
      </c>
      <c r="E261" s="5"/>
      <c r="F261" s="5"/>
      <c r="G261" s="5"/>
      <c r="H261" s="5"/>
      <c r="I261" s="8"/>
      <c r="J261" s="9">
        <v>5757</v>
      </c>
      <c r="K261" s="5" t="s">
        <v>32</v>
      </c>
    </row>
    <row r="262" spans="1:11" s="3" customFormat="1" ht="21.95" customHeight="1" x14ac:dyDescent="0.4">
      <c r="A262" s="4">
        <v>1927</v>
      </c>
      <c r="B262" s="4" t="s">
        <v>382</v>
      </c>
      <c r="C262" s="4" t="s">
        <v>383</v>
      </c>
      <c r="D262" s="4" t="s">
        <v>4</v>
      </c>
      <c r="E262" s="4"/>
      <c r="F262" s="4"/>
      <c r="G262" s="4"/>
      <c r="H262" s="4"/>
      <c r="I262" s="6"/>
      <c r="J262" s="7">
        <v>13910</v>
      </c>
      <c r="K262" s="4" t="s">
        <v>384</v>
      </c>
    </row>
    <row r="263" spans="1:11" s="3" customFormat="1" ht="21.95" customHeight="1" x14ac:dyDescent="0.4">
      <c r="A263" s="5">
        <v>1717</v>
      </c>
      <c r="B263" s="5" t="s">
        <v>385</v>
      </c>
      <c r="C263" s="5" t="s">
        <v>193</v>
      </c>
      <c r="D263" s="5" t="s">
        <v>6</v>
      </c>
      <c r="E263" s="5"/>
      <c r="F263" s="5"/>
      <c r="G263" s="5"/>
      <c r="H263" s="5"/>
      <c r="I263" s="8">
        <v>45939.625</v>
      </c>
      <c r="J263" s="9">
        <v>29275</v>
      </c>
      <c r="K263" s="5" t="s">
        <v>386</v>
      </c>
    </row>
    <row r="264" spans="1:11" s="3" customFormat="1" ht="21.95" customHeight="1" x14ac:dyDescent="0.4">
      <c r="A264" s="4">
        <v>1730</v>
      </c>
      <c r="B264" s="4" t="s">
        <v>385</v>
      </c>
      <c r="C264" s="4" t="s">
        <v>387</v>
      </c>
      <c r="D264" s="4" t="s">
        <v>18</v>
      </c>
      <c r="E264" s="4"/>
      <c r="F264" s="4"/>
      <c r="G264" s="4"/>
      <c r="H264" s="4"/>
      <c r="I264" s="6">
        <v>45960.625</v>
      </c>
      <c r="J264" s="7">
        <v>60423</v>
      </c>
      <c r="K264" s="4" t="s">
        <v>32</v>
      </c>
    </row>
    <row r="265" spans="1:11" s="3" customFormat="1" ht="21.95" customHeight="1" x14ac:dyDescent="0.4">
      <c r="A265" s="5">
        <v>1759</v>
      </c>
      <c r="B265" s="5" t="s">
        <v>385</v>
      </c>
      <c r="C265" s="5" t="s">
        <v>388</v>
      </c>
      <c r="D265" s="5" t="s">
        <v>6</v>
      </c>
      <c r="E265" s="5"/>
      <c r="F265" s="5"/>
      <c r="G265" s="5"/>
      <c r="H265" s="5"/>
      <c r="I265" s="8"/>
      <c r="J265" s="9">
        <v>58550</v>
      </c>
      <c r="K265" s="5" t="s">
        <v>389</v>
      </c>
    </row>
    <row r="266" spans="1:11" s="3" customFormat="1" ht="21.95" customHeight="1" x14ac:dyDescent="0.4">
      <c r="A266" s="4">
        <v>1717</v>
      </c>
      <c r="B266" s="4" t="s">
        <v>385</v>
      </c>
      <c r="C266" s="4" t="s">
        <v>193</v>
      </c>
      <c r="D266" s="4" t="s">
        <v>6</v>
      </c>
      <c r="E266" s="4"/>
      <c r="F266" s="4"/>
      <c r="G266" s="4"/>
      <c r="H266" s="4"/>
      <c r="I266" s="6"/>
      <c r="J266" s="7">
        <v>29275</v>
      </c>
      <c r="K266" s="4" t="s">
        <v>32</v>
      </c>
    </row>
    <row r="267" spans="1:11" s="3" customFormat="1" ht="21.95" customHeight="1" x14ac:dyDescent="0.4">
      <c r="A267" s="5">
        <v>1718</v>
      </c>
      <c r="B267" s="5" t="s">
        <v>385</v>
      </c>
      <c r="C267" s="5" t="s">
        <v>220</v>
      </c>
      <c r="D267" s="5" t="s">
        <v>8</v>
      </c>
      <c r="E267" s="5"/>
      <c r="F267" s="5"/>
      <c r="G267" s="5"/>
      <c r="H267" s="5"/>
      <c r="I267" s="8"/>
      <c r="J267" s="9">
        <v>66961</v>
      </c>
      <c r="K267" s="5" t="s">
        <v>32</v>
      </c>
    </row>
    <row r="268" spans="1:11" s="3" customFormat="1" ht="21.95" customHeight="1" x14ac:dyDescent="0.4">
      <c r="A268" s="4">
        <v>1717</v>
      </c>
      <c r="B268" s="4" t="s">
        <v>385</v>
      </c>
      <c r="C268" s="4" t="s">
        <v>201</v>
      </c>
      <c r="D268" s="4" t="s">
        <v>6</v>
      </c>
      <c r="E268" s="4"/>
      <c r="F268" s="4"/>
      <c r="G268" s="4"/>
      <c r="H268" s="4"/>
      <c r="I268" s="6">
        <v>46047.625</v>
      </c>
      <c r="J268" s="7">
        <v>15408</v>
      </c>
      <c r="K268" s="4" t="s">
        <v>390</v>
      </c>
    </row>
    <row r="269" spans="1:11" s="3" customFormat="1" ht="21.95" customHeight="1" x14ac:dyDescent="0.4">
      <c r="A269" s="5">
        <v>1717</v>
      </c>
      <c r="B269" s="5" t="s">
        <v>385</v>
      </c>
      <c r="C269" s="5" t="s">
        <v>193</v>
      </c>
      <c r="D269" s="5" t="s">
        <v>6</v>
      </c>
      <c r="E269" s="5"/>
      <c r="F269" s="5"/>
      <c r="G269" s="5"/>
      <c r="H269" s="5"/>
      <c r="I269" s="8"/>
      <c r="J269" s="9">
        <v>51039</v>
      </c>
      <c r="K269" s="5" t="s">
        <v>391</v>
      </c>
    </row>
    <row r="270" spans="1:11" s="3" customFormat="1" ht="21.95" customHeight="1" x14ac:dyDescent="0.4">
      <c r="A270" s="4">
        <v>1717</v>
      </c>
      <c r="B270" s="4" t="s">
        <v>385</v>
      </c>
      <c r="C270" s="4" t="s">
        <v>193</v>
      </c>
      <c r="D270" s="4" t="s">
        <v>6</v>
      </c>
      <c r="E270" s="4"/>
      <c r="F270" s="4"/>
      <c r="G270" s="4"/>
      <c r="H270" s="4"/>
      <c r="I270" s="6">
        <v>46104.625</v>
      </c>
      <c r="J270" s="7">
        <v>12958</v>
      </c>
      <c r="K270" s="4" t="s">
        <v>392</v>
      </c>
    </row>
    <row r="271" spans="1:11" s="3" customFormat="1" ht="21.95" customHeight="1" x14ac:dyDescent="0.4">
      <c r="A271" s="5">
        <v>1728</v>
      </c>
      <c r="B271" s="5" t="s">
        <v>393</v>
      </c>
      <c r="C271" s="5" t="s">
        <v>122</v>
      </c>
      <c r="D271" s="5" t="s">
        <v>10</v>
      </c>
      <c r="E271" s="5"/>
      <c r="F271" s="5"/>
      <c r="G271" s="5"/>
      <c r="H271" s="5"/>
      <c r="I271" s="8"/>
      <c r="J271" s="9">
        <v>19132</v>
      </c>
      <c r="K271" s="5" t="s">
        <v>394</v>
      </c>
    </row>
    <row r="272" spans="1:11" s="3" customFormat="1" ht="21.95" customHeight="1" x14ac:dyDescent="0.4">
      <c r="A272" s="4">
        <v>1747</v>
      </c>
      <c r="B272" s="4" t="s">
        <v>393</v>
      </c>
      <c r="C272" s="4" t="s">
        <v>48</v>
      </c>
      <c r="D272" s="4" t="s">
        <v>12</v>
      </c>
      <c r="E272" s="4"/>
      <c r="F272" s="4"/>
      <c r="G272" s="4"/>
      <c r="H272" s="4"/>
      <c r="I272" s="6"/>
      <c r="J272" s="7">
        <v>18490</v>
      </c>
      <c r="K272" s="4" t="s">
        <v>395</v>
      </c>
    </row>
    <row r="273" spans="1:11" s="3" customFormat="1" ht="21.95" customHeight="1" x14ac:dyDescent="0.4">
      <c r="A273" s="5">
        <v>1918</v>
      </c>
      <c r="B273" s="5" t="s">
        <v>393</v>
      </c>
      <c r="C273" s="5" t="s">
        <v>396</v>
      </c>
      <c r="D273" s="5" t="s">
        <v>4</v>
      </c>
      <c r="E273" s="5"/>
      <c r="F273" s="5"/>
      <c r="G273" s="5"/>
      <c r="H273" s="5"/>
      <c r="I273" s="8">
        <v>45939.625</v>
      </c>
      <c r="J273" s="9">
        <v>699320</v>
      </c>
      <c r="K273" s="5" t="s">
        <v>397</v>
      </c>
    </row>
    <row r="274" spans="1:11" s="3" customFormat="1" ht="21.95" customHeight="1" x14ac:dyDescent="0.4">
      <c r="A274" s="4">
        <v>1748</v>
      </c>
      <c r="B274" s="4" t="s">
        <v>393</v>
      </c>
      <c r="C274" s="4" t="s">
        <v>220</v>
      </c>
      <c r="D274" s="4" t="s">
        <v>8</v>
      </c>
      <c r="E274" s="4"/>
      <c r="F274" s="4"/>
      <c r="G274" s="4"/>
      <c r="H274" s="4"/>
      <c r="I274" s="6"/>
      <c r="J274" s="7">
        <v>109536</v>
      </c>
      <c r="K274" s="4" t="s">
        <v>32</v>
      </c>
    </row>
    <row r="275" spans="1:11" s="3" customFormat="1" ht="21.95" customHeight="1" x14ac:dyDescent="0.4">
      <c r="A275" s="5">
        <v>1728</v>
      </c>
      <c r="B275" s="5" t="s">
        <v>393</v>
      </c>
      <c r="C275" s="5" t="s">
        <v>398</v>
      </c>
      <c r="D275" s="5" t="s">
        <v>10</v>
      </c>
      <c r="E275" s="5"/>
      <c r="F275" s="5"/>
      <c r="G275" s="5"/>
      <c r="H275" s="5"/>
      <c r="I275" s="8"/>
      <c r="J275" s="9">
        <v>1104561</v>
      </c>
      <c r="K275" s="5" t="s">
        <v>32</v>
      </c>
    </row>
    <row r="276" spans="1:11" s="3" customFormat="1" ht="21.95" customHeight="1" x14ac:dyDescent="0.4">
      <c r="A276" s="4">
        <v>1728</v>
      </c>
      <c r="B276" s="4" t="s">
        <v>393</v>
      </c>
      <c r="C276" s="4" t="s">
        <v>399</v>
      </c>
      <c r="D276" s="4" t="s">
        <v>10</v>
      </c>
      <c r="E276" s="4"/>
      <c r="F276" s="4"/>
      <c r="G276" s="4"/>
      <c r="H276" s="4"/>
      <c r="I276" s="6"/>
      <c r="J276" s="7">
        <v>1104561</v>
      </c>
      <c r="K276" s="4" t="s">
        <v>32</v>
      </c>
    </row>
    <row r="277" spans="1:11" s="3" customFormat="1" ht="21.95" customHeight="1" x14ac:dyDescent="0.4">
      <c r="A277" s="5">
        <v>1748</v>
      </c>
      <c r="B277" s="5" t="s">
        <v>393</v>
      </c>
      <c r="C277" s="5" t="s">
        <v>220</v>
      </c>
      <c r="D277" s="5" t="s">
        <v>8</v>
      </c>
      <c r="E277" s="5"/>
      <c r="F277" s="5"/>
      <c r="G277" s="5"/>
      <c r="H277" s="5"/>
      <c r="I277" s="8"/>
      <c r="J277" s="9">
        <v>6163</v>
      </c>
      <c r="K277" s="5" t="s">
        <v>32</v>
      </c>
    </row>
    <row r="278" spans="1:11" s="3" customFormat="1" ht="21.95" customHeight="1" x14ac:dyDescent="0.4">
      <c r="A278" s="4">
        <v>1747</v>
      </c>
      <c r="B278" s="4" t="s">
        <v>393</v>
      </c>
      <c r="C278" s="4" t="s">
        <v>48</v>
      </c>
      <c r="D278" s="4" t="s">
        <v>12</v>
      </c>
      <c r="E278" s="4"/>
      <c r="F278" s="4"/>
      <c r="G278" s="4"/>
      <c r="H278" s="4"/>
      <c r="I278" s="6"/>
      <c r="J278" s="7">
        <v>15408</v>
      </c>
      <c r="K278" s="4" t="s">
        <v>32</v>
      </c>
    </row>
    <row r="279" spans="1:11" s="3" customFormat="1" ht="21.95" customHeight="1" x14ac:dyDescent="0.4">
      <c r="A279" s="5">
        <v>1868</v>
      </c>
      <c r="B279" s="5" t="s">
        <v>393</v>
      </c>
      <c r="C279" s="5" t="s">
        <v>130</v>
      </c>
      <c r="D279" s="5" t="s">
        <v>4</v>
      </c>
      <c r="E279" s="5"/>
      <c r="F279" s="5"/>
      <c r="G279" s="5"/>
      <c r="H279" s="5"/>
      <c r="I279" s="8">
        <v>46000.625</v>
      </c>
      <c r="J279" s="9">
        <v>397280</v>
      </c>
      <c r="K279" s="5" t="s">
        <v>400</v>
      </c>
    </row>
    <row r="280" spans="1:11" s="3" customFormat="1" ht="21.95" customHeight="1" x14ac:dyDescent="0.4">
      <c r="A280" s="4">
        <v>1746</v>
      </c>
      <c r="B280" s="4" t="s">
        <v>393</v>
      </c>
      <c r="C280" s="4" t="s">
        <v>193</v>
      </c>
      <c r="D280" s="4" t="s">
        <v>6</v>
      </c>
      <c r="E280" s="4"/>
      <c r="F280" s="4"/>
      <c r="G280" s="4"/>
      <c r="H280" s="4"/>
      <c r="I280" s="6"/>
      <c r="J280" s="7">
        <v>33213</v>
      </c>
      <c r="K280" s="4" t="s">
        <v>32</v>
      </c>
    </row>
    <row r="281" spans="1:11" s="3" customFormat="1" ht="21.95" customHeight="1" x14ac:dyDescent="0.4">
      <c r="A281" s="5">
        <v>1868</v>
      </c>
      <c r="B281" s="5" t="s">
        <v>393</v>
      </c>
      <c r="C281" s="5" t="s">
        <v>66</v>
      </c>
      <c r="D281" s="5" t="s">
        <v>4</v>
      </c>
      <c r="E281" s="5"/>
      <c r="F281" s="5"/>
      <c r="G281" s="5"/>
      <c r="H281" s="5"/>
      <c r="I281" s="8">
        <v>46040.625</v>
      </c>
      <c r="J281" s="9">
        <v>804651</v>
      </c>
      <c r="K281" s="5" t="s">
        <v>401</v>
      </c>
    </row>
    <row r="282" spans="1:11" s="3" customFormat="1" ht="21.95" customHeight="1" x14ac:dyDescent="0.4">
      <c r="A282" s="4">
        <v>1927</v>
      </c>
      <c r="B282" s="4" t="s">
        <v>393</v>
      </c>
      <c r="C282" s="4" t="s">
        <v>402</v>
      </c>
      <c r="D282" s="4" t="s">
        <v>4</v>
      </c>
      <c r="E282" s="4"/>
      <c r="F282" s="4"/>
      <c r="G282" s="4"/>
      <c r="H282" s="4"/>
      <c r="I282" s="6"/>
      <c r="J282" s="7">
        <v>8025</v>
      </c>
      <c r="K282" s="4" t="s">
        <v>403</v>
      </c>
    </row>
    <row r="283" spans="1:11" s="3" customFormat="1" ht="21.95" customHeight="1" x14ac:dyDescent="0.4">
      <c r="A283" s="5">
        <v>1927</v>
      </c>
      <c r="B283" s="5" t="s">
        <v>393</v>
      </c>
      <c r="C283" s="5" t="s">
        <v>402</v>
      </c>
      <c r="D283" s="5" t="s">
        <v>4</v>
      </c>
      <c r="E283" s="5"/>
      <c r="F283" s="5"/>
      <c r="G283" s="5"/>
      <c r="H283" s="5"/>
      <c r="I283" s="8"/>
      <c r="J283" s="9">
        <v>8025</v>
      </c>
      <c r="K283" s="5" t="s">
        <v>403</v>
      </c>
    </row>
    <row r="284" spans="1:11" s="3" customFormat="1" ht="21.95" customHeight="1" x14ac:dyDescent="0.4">
      <c r="A284" s="4">
        <v>1773</v>
      </c>
      <c r="B284" s="4" t="s">
        <v>393</v>
      </c>
      <c r="C284" s="4" t="s">
        <v>404</v>
      </c>
      <c r="D284" s="4" t="s">
        <v>14</v>
      </c>
      <c r="E284" s="4"/>
      <c r="F284" s="4"/>
      <c r="G284" s="4"/>
      <c r="H284" s="4"/>
      <c r="I284" s="6"/>
      <c r="J284" s="7">
        <v>106465</v>
      </c>
      <c r="K284" s="4">
        <v>45954</v>
      </c>
    </row>
    <row r="285" spans="1:11" s="3" customFormat="1" ht="21.95" customHeight="1" x14ac:dyDescent="0.4">
      <c r="A285" s="5">
        <v>1927</v>
      </c>
      <c r="B285" s="5" t="s">
        <v>405</v>
      </c>
      <c r="C285" s="5" t="s">
        <v>236</v>
      </c>
      <c r="D285" s="5" t="s">
        <v>4</v>
      </c>
      <c r="E285" s="5"/>
      <c r="F285" s="5"/>
      <c r="G285" s="5"/>
      <c r="H285" s="5"/>
      <c r="I285" s="8"/>
      <c r="J285" s="9">
        <v>8025</v>
      </c>
      <c r="K285" s="5" t="s">
        <v>406</v>
      </c>
    </row>
    <row r="286" spans="1:11" s="3" customFormat="1" ht="21.95" customHeight="1" x14ac:dyDescent="0.4">
      <c r="A286" s="4">
        <v>1927</v>
      </c>
      <c r="B286" s="4" t="s">
        <v>407</v>
      </c>
      <c r="C286" s="4" t="s">
        <v>236</v>
      </c>
      <c r="D286" s="4" t="s">
        <v>4</v>
      </c>
      <c r="E286" s="4"/>
      <c r="F286" s="4"/>
      <c r="G286" s="4"/>
      <c r="H286" s="4"/>
      <c r="I286" s="6"/>
      <c r="J286" s="7">
        <v>8025</v>
      </c>
      <c r="K286" s="4" t="s">
        <v>406</v>
      </c>
    </row>
    <row r="287" spans="1:11" s="3" customFormat="1" ht="21.95" customHeight="1" x14ac:dyDescent="0.4">
      <c r="A287" s="5">
        <v>1927</v>
      </c>
      <c r="B287" s="5" t="s">
        <v>408</v>
      </c>
      <c r="C287" s="5" t="s">
        <v>383</v>
      </c>
      <c r="D287" s="5" t="s">
        <v>4</v>
      </c>
      <c r="E287" s="5"/>
      <c r="F287" s="5"/>
      <c r="G287" s="5"/>
      <c r="H287" s="5"/>
      <c r="I287" s="8"/>
      <c r="J287" s="9">
        <v>13910</v>
      </c>
      <c r="K287" s="5" t="s">
        <v>384</v>
      </c>
    </row>
    <row r="288" spans="1:11" s="3" customFormat="1" ht="21.95" customHeight="1" x14ac:dyDescent="0.4">
      <c r="A288" s="4">
        <v>1722</v>
      </c>
      <c r="B288" s="4" t="s">
        <v>409</v>
      </c>
      <c r="C288" s="4" t="s">
        <v>193</v>
      </c>
      <c r="D288" s="4" t="s">
        <v>6</v>
      </c>
      <c r="E288" s="4"/>
      <c r="F288" s="4"/>
      <c r="G288" s="4"/>
      <c r="H288" s="4"/>
      <c r="I288" s="6">
        <v>45939.625</v>
      </c>
      <c r="J288" s="7">
        <v>29275</v>
      </c>
      <c r="K288" s="4" t="s">
        <v>386</v>
      </c>
    </row>
    <row r="289" spans="1:11" s="3" customFormat="1" ht="21.95" customHeight="1" x14ac:dyDescent="0.4">
      <c r="A289" s="5">
        <v>1723</v>
      </c>
      <c r="B289" s="5" t="s">
        <v>409</v>
      </c>
      <c r="C289" s="5" t="s">
        <v>220</v>
      </c>
      <c r="D289" s="5" t="s">
        <v>8</v>
      </c>
      <c r="E289" s="5"/>
      <c r="F289" s="5"/>
      <c r="G289" s="5"/>
      <c r="H289" s="5"/>
      <c r="I289" s="8"/>
      <c r="J289" s="9">
        <v>66961</v>
      </c>
      <c r="K289" s="5">
        <v>14000</v>
      </c>
    </row>
    <row r="290" spans="1:11" s="3" customFormat="1" ht="21.95" customHeight="1" x14ac:dyDescent="0.4">
      <c r="A290" s="4">
        <v>1722</v>
      </c>
      <c r="B290" s="4" t="s">
        <v>409</v>
      </c>
      <c r="C290" s="4" t="s">
        <v>193</v>
      </c>
      <c r="D290" s="4" t="s">
        <v>6</v>
      </c>
      <c r="E290" s="4"/>
      <c r="F290" s="4"/>
      <c r="G290" s="4"/>
      <c r="H290" s="4"/>
      <c r="I290" s="6"/>
      <c r="J290" s="7">
        <v>79405</v>
      </c>
      <c r="K290" s="4" t="s">
        <v>410</v>
      </c>
    </row>
    <row r="291" spans="1:11" s="3" customFormat="1" ht="21.95" customHeight="1" x14ac:dyDescent="0.4">
      <c r="A291" s="5">
        <v>1729</v>
      </c>
      <c r="B291" s="5" t="s">
        <v>411</v>
      </c>
      <c r="C291" s="5" t="s">
        <v>412</v>
      </c>
      <c r="D291" s="5" t="s">
        <v>10</v>
      </c>
      <c r="E291" s="5"/>
      <c r="F291" s="5"/>
      <c r="G291" s="5"/>
      <c r="H291" s="5"/>
      <c r="I291" s="8">
        <v>45904.625</v>
      </c>
      <c r="J291" s="9">
        <v>900041</v>
      </c>
      <c r="K291" s="5" t="s">
        <v>32</v>
      </c>
    </row>
    <row r="292" spans="1:11" s="3" customFormat="1" ht="21.95" customHeight="1" x14ac:dyDescent="0.4">
      <c r="A292" s="4">
        <v>1729</v>
      </c>
      <c r="B292" s="4" t="s">
        <v>411</v>
      </c>
      <c r="C292" s="4" t="s">
        <v>413</v>
      </c>
      <c r="D292" s="4" t="s">
        <v>10</v>
      </c>
      <c r="E292" s="4"/>
      <c r="F292" s="4"/>
      <c r="G292" s="4"/>
      <c r="H292" s="4"/>
      <c r="I292" s="6">
        <v>45904.625</v>
      </c>
      <c r="J292" s="7">
        <v>900041</v>
      </c>
      <c r="K292" s="4" t="s">
        <v>32</v>
      </c>
    </row>
    <row r="293" spans="1:11" s="3" customFormat="1" ht="21.95" customHeight="1" x14ac:dyDescent="0.4">
      <c r="A293" s="5">
        <v>1751</v>
      </c>
      <c r="B293" s="5" t="s">
        <v>411</v>
      </c>
      <c r="C293" s="5" t="s">
        <v>414</v>
      </c>
      <c r="D293" s="5" t="s">
        <v>12</v>
      </c>
      <c r="E293" s="5"/>
      <c r="F293" s="5"/>
      <c r="G293" s="5"/>
      <c r="H293" s="5"/>
      <c r="I293" s="8">
        <v>45951.625</v>
      </c>
      <c r="J293" s="9">
        <v>43817</v>
      </c>
      <c r="K293" s="5" t="s">
        <v>32</v>
      </c>
    </row>
    <row r="294" spans="1:11" s="3" customFormat="1" ht="21.95" customHeight="1" x14ac:dyDescent="0.4">
      <c r="A294" s="4">
        <v>1876</v>
      </c>
      <c r="B294" s="4" t="s">
        <v>411</v>
      </c>
      <c r="C294" s="4" t="s">
        <v>130</v>
      </c>
      <c r="D294" s="4" t="s">
        <v>4</v>
      </c>
      <c r="E294" s="4"/>
      <c r="F294" s="4"/>
      <c r="G294" s="4"/>
      <c r="H294" s="4"/>
      <c r="I294" s="6">
        <v>46000.625</v>
      </c>
      <c r="J294" s="7">
        <v>397441</v>
      </c>
      <c r="K294" s="4" t="s">
        <v>400</v>
      </c>
    </row>
    <row r="295" spans="1:11" s="3" customFormat="1" ht="21.95" customHeight="1" x14ac:dyDescent="0.4">
      <c r="A295" s="5">
        <v>1876</v>
      </c>
      <c r="B295" s="5" t="s">
        <v>411</v>
      </c>
      <c r="C295" s="5" t="s">
        <v>66</v>
      </c>
      <c r="D295" s="5" t="s">
        <v>4</v>
      </c>
      <c r="E295" s="5"/>
      <c r="F295" s="5"/>
      <c r="G295" s="5"/>
      <c r="H295" s="5"/>
      <c r="I295" s="8">
        <v>46040.625</v>
      </c>
      <c r="J295" s="9">
        <v>900426</v>
      </c>
      <c r="K295" s="5" t="s">
        <v>401</v>
      </c>
    </row>
    <row r="296" spans="1:11" s="3" customFormat="1" ht="21.95" customHeight="1" x14ac:dyDescent="0.4">
      <c r="A296" s="4">
        <v>1</v>
      </c>
      <c r="B296" s="4" t="s">
        <v>411</v>
      </c>
      <c r="C296" s="4" t="s">
        <v>50</v>
      </c>
      <c r="D296" s="4" t="s">
        <v>4</v>
      </c>
      <c r="E296" s="4"/>
      <c r="F296" s="4"/>
      <c r="G296" s="4"/>
      <c r="H296" s="4"/>
      <c r="I296" s="6"/>
      <c r="J296" s="7">
        <v>12990</v>
      </c>
      <c r="K296" s="4" t="s">
        <v>415</v>
      </c>
    </row>
    <row r="297" spans="1:11" s="3" customFormat="1" ht="21.95" customHeight="1" x14ac:dyDescent="0.4">
      <c r="A297" s="5">
        <v>1751</v>
      </c>
      <c r="B297" s="5" t="s">
        <v>411</v>
      </c>
      <c r="C297" s="5" t="s">
        <v>414</v>
      </c>
      <c r="D297" s="5" t="s">
        <v>12</v>
      </c>
      <c r="E297" s="5"/>
      <c r="F297" s="5"/>
      <c r="G297" s="5"/>
      <c r="H297" s="5"/>
      <c r="I297" s="8">
        <v>46095.625</v>
      </c>
      <c r="J297" s="9">
        <v>70149</v>
      </c>
      <c r="K297" s="5" t="s">
        <v>416</v>
      </c>
    </row>
    <row r="298" spans="1:11" s="3" customFormat="1" ht="21.95" customHeight="1" x14ac:dyDescent="0.4">
      <c r="A298" s="4">
        <v>1774</v>
      </c>
      <c r="B298" s="4" t="s">
        <v>411</v>
      </c>
      <c r="C298" s="4" t="s">
        <v>404</v>
      </c>
      <c r="D298" s="4" t="s">
        <v>14</v>
      </c>
      <c r="E298" s="4"/>
      <c r="F298" s="4"/>
      <c r="G298" s="4"/>
      <c r="H298" s="4"/>
      <c r="I298" s="6"/>
      <c r="J298" s="7">
        <v>106465</v>
      </c>
      <c r="K298" s="4">
        <v>45954</v>
      </c>
    </row>
    <row r="299" spans="1:11" s="3" customFormat="1" ht="21.95" customHeight="1" x14ac:dyDescent="0.4">
      <c r="A299" s="5">
        <v>1986</v>
      </c>
      <c r="B299" s="5" t="s">
        <v>417</v>
      </c>
      <c r="C299" s="5" t="s">
        <v>41</v>
      </c>
      <c r="D299" s="5" t="s">
        <v>6</v>
      </c>
      <c r="E299" s="5"/>
      <c r="F299" s="5"/>
      <c r="G299" s="5"/>
      <c r="H299" s="5"/>
      <c r="I299" s="8">
        <v>46170.625</v>
      </c>
      <c r="J299" s="9"/>
      <c r="K299" s="5" t="s">
        <v>418</v>
      </c>
    </row>
    <row r="300" spans="1:11" s="3" customFormat="1" ht="21.95" customHeight="1" x14ac:dyDescent="0.4">
      <c r="A300" s="4">
        <v>1987</v>
      </c>
      <c r="B300" s="4" t="s">
        <v>417</v>
      </c>
      <c r="C300" s="4" t="s">
        <v>62</v>
      </c>
      <c r="D300" s="4" t="s">
        <v>8</v>
      </c>
      <c r="E300" s="4"/>
      <c r="F300" s="4"/>
      <c r="G300" s="4"/>
      <c r="H300" s="4"/>
      <c r="I300" s="6">
        <v>46170.625</v>
      </c>
      <c r="J300" s="7"/>
      <c r="K300" s="4" t="s">
        <v>418</v>
      </c>
    </row>
    <row r="301" spans="1:11" s="3" customFormat="1" ht="21.95" customHeight="1" x14ac:dyDescent="0.4">
      <c r="A301" s="5">
        <v>1988</v>
      </c>
      <c r="B301" s="5" t="s">
        <v>419</v>
      </c>
      <c r="C301" s="5" t="s">
        <v>41</v>
      </c>
      <c r="D301" s="5" t="s">
        <v>6</v>
      </c>
      <c r="E301" s="5"/>
      <c r="F301" s="5"/>
      <c r="G301" s="5"/>
      <c r="H301" s="5"/>
      <c r="I301" s="8">
        <v>46170.625</v>
      </c>
      <c r="J301" s="9"/>
      <c r="K301" s="5" t="s">
        <v>418</v>
      </c>
    </row>
    <row r="302" spans="1:11" s="3" customFormat="1" ht="21.95" customHeight="1" x14ac:dyDescent="0.4">
      <c r="A302" s="4">
        <v>1989</v>
      </c>
      <c r="B302" s="4" t="s">
        <v>419</v>
      </c>
      <c r="C302" s="4" t="s">
        <v>62</v>
      </c>
      <c r="D302" s="4" t="s">
        <v>8</v>
      </c>
      <c r="E302" s="4"/>
      <c r="F302" s="4"/>
      <c r="G302" s="4"/>
      <c r="H302" s="4"/>
      <c r="I302" s="6">
        <v>46170.625</v>
      </c>
      <c r="J302" s="7"/>
      <c r="K302" s="4" t="s">
        <v>418</v>
      </c>
    </row>
    <row r="303" spans="1:11" s="3" customFormat="1" ht="21.95" customHeight="1" x14ac:dyDescent="0.4">
      <c r="A303" s="5" t="s">
        <v>32</v>
      </c>
      <c r="B303" s="5" t="s">
        <v>420</v>
      </c>
      <c r="C303" s="5" t="s">
        <v>168</v>
      </c>
      <c r="D303" s="5" t="s">
        <v>10</v>
      </c>
      <c r="E303" s="5"/>
      <c r="F303" s="5"/>
      <c r="G303" s="5"/>
      <c r="H303" s="5"/>
      <c r="I303" s="8">
        <v>46141.625</v>
      </c>
      <c r="J303" s="9"/>
      <c r="K303" s="5" t="s">
        <v>421</v>
      </c>
    </row>
    <row r="304" spans="1:11" s="3" customFormat="1" ht="21.95" customHeight="1" x14ac:dyDescent="0.4">
      <c r="A304" s="4" t="s">
        <v>32</v>
      </c>
      <c r="B304" s="4" t="s">
        <v>420</v>
      </c>
      <c r="C304" s="4" t="s">
        <v>41</v>
      </c>
      <c r="D304" s="4" t="s">
        <v>6</v>
      </c>
      <c r="E304" s="4"/>
      <c r="F304" s="4"/>
      <c r="G304" s="4"/>
      <c r="H304" s="4"/>
      <c r="I304" s="6"/>
      <c r="J304" s="7"/>
      <c r="K304" s="4" t="s">
        <v>422</v>
      </c>
    </row>
    <row r="305" spans="1:11" s="3" customFormat="1" ht="21.95" customHeight="1" x14ac:dyDescent="0.4">
      <c r="A305" s="5" t="s">
        <v>32</v>
      </c>
      <c r="B305" s="5" t="s">
        <v>420</v>
      </c>
      <c r="C305" s="5" t="s">
        <v>61</v>
      </c>
      <c r="D305" s="5" t="s">
        <v>12</v>
      </c>
      <c r="E305" s="5"/>
      <c r="F305" s="5"/>
      <c r="G305" s="5"/>
      <c r="H305" s="5"/>
      <c r="I305" s="8"/>
      <c r="J305" s="9"/>
      <c r="K305" s="5" t="s">
        <v>422</v>
      </c>
    </row>
    <row r="306" spans="1:11" s="3" customFormat="1" ht="21.95" customHeight="1" x14ac:dyDescent="0.4">
      <c r="A306" s="4" t="s">
        <v>32</v>
      </c>
      <c r="B306" s="4" t="s">
        <v>420</v>
      </c>
      <c r="C306" s="4" t="s">
        <v>62</v>
      </c>
      <c r="D306" s="4" t="s">
        <v>8</v>
      </c>
      <c r="E306" s="4"/>
      <c r="F306" s="4"/>
      <c r="G306" s="4"/>
      <c r="H306" s="4"/>
      <c r="I306" s="6"/>
      <c r="J306" s="7"/>
      <c r="K306" s="4" t="s">
        <v>422</v>
      </c>
    </row>
    <row r="307" spans="1:11" s="3" customFormat="1" ht="21.95" customHeight="1" x14ac:dyDescent="0.4">
      <c r="A307" s="5" t="s">
        <v>32</v>
      </c>
      <c r="B307" s="5" t="s">
        <v>423</v>
      </c>
      <c r="C307" s="5" t="s">
        <v>168</v>
      </c>
      <c r="D307" s="5" t="s">
        <v>10</v>
      </c>
      <c r="E307" s="5"/>
      <c r="F307" s="5"/>
      <c r="G307" s="5"/>
      <c r="H307" s="5"/>
      <c r="I307" s="8">
        <v>46141.625</v>
      </c>
      <c r="J307" s="9"/>
      <c r="K307" s="5" t="s">
        <v>421</v>
      </c>
    </row>
    <row r="308" spans="1:11" s="3" customFormat="1" ht="21.95" customHeight="1" x14ac:dyDescent="0.4">
      <c r="A308" s="4" t="s">
        <v>32</v>
      </c>
      <c r="B308" s="4" t="s">
        <v>423</v>
      </c>
      <c r="C308" s="4" t="s">
        <v>41</v>
      </c>
      <c r="D308" s="4" t="s">
        <v>6</v>
      </c>
      <c r="E308" s="4"/>
      <c r="F308" s="4"/>
      <c r="G308" s="4"/>
      <c r="H308" s="4"/>
      <c r="I308" s="6"/>
      <c r="J308" s="7"/>
      <c r="K308" s="4" t="s">
        <v>422</v>
      </c>
    </row>
    <row r="309" spans="1:11" s="3" customFormat="1" ht="21.95" customHeight="1" x14ac:dyDescent="0.4">
      <c r="A309" s="5" t="s">
        <v>32</v>
      </c>
      <c r="B309" s="5" t="s">
        <v>423</v>
      </c>
      <c r="C309" s="5" t="s">
        <v>61</v>
      </c>
      <c r="D309" s="5" t="s">
        <v>12</v>
      </c>
      <c r="E309" s="5"/>
      <c r="F309" s="5"/>
      <c r="G309" s="5"/>
      <c r="H309" s="5"/>
      <c r="I309" s="8"/>
      <c r="J309" s="9"/>
      <c r="K309" s="5" t="s">
        <v>422</v>
      </c>
    </row>
    <row r="310" spans="1:11" s="3" customFormat="1" ht="21.95" customHeight="1" x14ac:dyDescent="0.4">
      <c r="A310" s="4" t="s">
        <v>32</v>
      </c>
      <c r="B310" s="4" t="s">
        <v>423</v>
      </c>
      <c r="C310" s="4" t="s">
        <v>62</v>
      </c>
      <c r="D310" s="4" t="s">
        <v>8</v>
      </c>
      <c r="E310" s="4"/>
      <c r="F310" s="4"/>
      <c r="G310" s="4"/>
      <c r="H310" s="4"/>
      <c r="I310" s="6"/>
      <c r="J310" s="7"/>
      <c r="K310" s="4" t="s">
        <v>422</v>
      </c>
    </row>
    <row r="311" spans="1:11" s="3" customFormat="1" ht="21.95" customHeight="1" x14ac:dyDescent="0.4">
      <c r="A311" s="5">
        <v>1927</v>
      </c>
      <c r="B311" s="5" t="s">
        <v>424</v>
      </c>
      <c r="C311" s="5" t="s">
        <v>236</v>
      </c>
      <c r="D311" s="5" t="s">
        <v>4</v>
      </c>
      <c r="E311" s="5"/>
      <c r="F311" s="5"/>
      <c r="G311" s="5"/>
      <c r="H311" s="5"/>
      <c r="I311" s="8"/>
      <c r="J311" s="9">
        <v>9095</v>
      </c>
      <c r="K311" s="5" t="s">
        <v>32</v>
      </c>
    </row>
    <row r="312" spans="1:11" s="3" customFormat="1" ht="21.95" customHeight="1" x14ac:dyDescent="0.4">
      <c r="A312" s="4" t="s">
        <v>32</v>
      </c>
      <c r="B312" s="4" t="s">
        <v>425</v>
      </c>
      <c r="C312" s="4" t="s">
        <v>168</v>
      </c>
      <c r="D312" s="4" t="s">
        <v>10</v>
      </c>
      <c r="E312" s="4"/>
      <c r="F312" s="4"/>
      <c r="G312" s="4"/>
      <c r="H312" s="4"/>
      <c r="I312" s="6">
        <v>46141.625</v>
      </c>
      <c r="J312" s="7"/>
      <c r="K312" s="4" t="s">
        <v>421</v>
      </c>
    </row>
    <row r="313" spans="1:11" s="3" customFormat="1" ht="21.95" customHeight="1" x14ac:dyDescent="0.4">
      <c r="A313" s="5" t="s">
        <v>32</v>
      </c>
      <c r="B313" s="5" t="s">
        <v>425</v>
      </c>
      <c r="C313" s="5" t="s">
        <v>41</v>
      </c>
      <c r="D313" s="5" t="s">
        <v>6</v>
      </c>
      <c r="E313" s="5"/>
      <c r="F313" s="5"/>
      <c r="G313" s="5"/>
      <c r="H313" s="5"/>
      <c r="I313" s="8"/>
      <c r="J313" s="9"/>
      <c r="K313" s="5" t="s">
        <v>422</v>
      </c>
    </row>
    <row r="314" spans="1:11" s="3" customFormat="1" ht="21.95" customHeight="1" x14ac:dyDescent="0.4">
      <c r="A314" s="4" t="s">
        <v>32</v>
      </c>
      <c r="B314" s="4" t="s">
        <v>425</v>
      </c>
      <c r="C314" s="4" t="s">
        <v>61</v>
      </c>
      <c r="D314" s="4" t="s">
        <v>12</v>
      </c>
      <c r="E314" s="4"/>
      <c r="F314" s="4"/>
      <c r="G314" s="4"/>
      <c r="H314" s="4"/>
      <c r="I314" s="6"/>
      <c r="J314" s="7"/>
      <c r="K314" s="4" t="s">
        <v>422</v>
      </c>
    </row>
    <row r="315" spans="1:11" s="3" customFormat="1" ht="21.95" customHeight="1" x14ac:dyDescent="0.4">
      <c r="A315" s="5" t="s">
        <v>32</v>
      </c>
      <c r="B315" s="5" t="s">
        <v>425</v>
      </c>
      <c r="C315" s="5" t="s">
        <v>62</v>
      </c>
      <c r="D315" s="5" t="s">
        <v>8</v>
      </c>
      <c r="E315" s="5"/>
      <c r="F315" s="5"/>
      <c r="G315" s="5"/>
      <c r="H315" s="5"/>
      <c r="I315" s="8"/>
      <c r="J315" s="9"/>
      <c r="K315" s="5" t="s">
        <v>422</v>
      </c>
    </row>
    <row r="316" spans="1:11" s="3" customFormat="1" ht="21.95" customHeight="1" x14ac:dyDescent="0.4">
      <c r="A316" s="4" t="s">
        <v>32</v>
      </c>
      <c r="B316" s="4" t="s">
        <v>426</v>
      </c>
      <c r="C316" s="4" t="s">
        <v>427</v>
      </c>
      <c r="D316" s="4" t="s">
        <v>18</v>
      </c>
      <c r="E316" s="4"/>
      <c r="F316" s="4"/>
      <c r="G316" s="4"/>
      <c r="H316" s="4"/>
      <c r="I316" s="6"/>
      <c r="J316" s="7">
        <v>132509</v>
      </c>
      <c r="K316" s="4" t="s">
        <v>32</v>
      </c>
    </row>
    <row r="317" spans="1:11" s="3" customFormat="1" ht="21.95" customHeight="1" x14ac:dyDescent="0.4">
      <c r="A317" s="5">
        <v>18</v>
      </c>
      <c r="B317" s="5" t="s">
        <v>426</v>
      </c>
      <c r="C317" s="5" t="s">
        <v>428</v>
      </c>
      <c r="D317" s="5" t="s">
        <v>18</v>
      </c>
      <c r="E317" s="5"/>
      <c r="F317" s="5"/>
      <c r="G317" s="5"/>
      <c r="H317" s="5"/>
      <c r="I317" s="8"/>
      <c r="J317" s="9">
        <v>195000</v>
      </c>
      <c r="K317" s="5" t="s">
        <v>32</v>
      </c>
    </row>
    <row r="318" spans="1:11" s="3" customFormat="1" ht="21.95" customHeight="1" x14ac:dyDescent="0.4">
      <c r="A318" s="4">
        <v>1059</v>
      </c>
      <c r="B318" s="4" t="s">
        <v>429</v>
      </c>
      <c r="C318" s="4" t="s">
        <v>430</v>
      </c>
      <c r="D318" s="4" t="s">
        <v>18</v>
      </c>
      <c r="E318" s="4"/>
      <c r="F318" s="4"/>
      <c r="G318" s="4"/>
      <c r="H318" s="4"/>
      <c r="I318" s="6"/>
      <c r="J318" s="7">
        <v>39000</v>
      </c>
      <c r="K318" s="4" t="s">
        <v>431</v>
      </c>
    </row>
    <row r="319" spans="1:11" s="3" customFormat="1" ht="21.95" customHeight="1" x14ac:dyDescent="0.4">
      <c r="A319" s="5">
        <v>1757</v>
      </c>
      <c r="B319" s="5" t="s">
        <v>432</v>
      </c>
      <c r="C319" s="5" t="s">
        <v>433</v>
      </c>
      <c r="D319" s="5" t="s">
        <v>18</v>
      </c>
      <c r="E319" s="5"/>
      <c r="F319" s="5"/>
      <c r="G319" s="5"/>
      <c r="H319" s="5"/>
      <c r="I319" s="8"/>
      <c r="J319" s="9">
        <v>26322</v>
      </c>
      <c r="K319" s="5" t="s">
        <v>32</v>
      </c>
    </row>
    <row r="320" spans="1:11" s="3" customFormat="1" ht="21.95" customHeight="1" x14ac:dyDescent="0.4">
      <c r="A320" s="4">
        <v>1300</v>
      </c>
      <c r="B320" s="4" t="s">
        <v>434</v>
      </c>
      <c r="C320" s="4" t="s">
        <v>435</v>
      </c>
      <c r="D320" s="4" t="s">
        <v>18</v>
      </c>
      <c r="E320" s="4"/>
      <c r="F320" s="4"/>
      <c r="G320" s="4"/>
      <c r="H320" s="4"/>
      <c r="I320" s="6">
        <v>45916.625</v>
      </c>
      <c r="J320" s="7">
        <v>41299</v>
      </c>
      <c r="K320" s="4" t="s">
        <v>32</v>
      </c>
    </row>
    <row r="321" spans="1:11" s="3" customFormat="1" ht="21.95" customHeight="1" x14ac:dyDescent="0.4">
      <c r="A321" s="5">
        <v>1831</v>
      </c>
      <c r="B321" s="5" t="s">
        <v>434</v>
      </c>
      <c r="C321" s="5" t="s">
        <v>436</v>
      </c>
      <c r="D321" s="5" t="s">
        <v>18</v>
      </c>
      <c r="E321" s="5"/>
      <c r="F321" s="5"/>
      <c r="G321" s="5"/>
      <c r="H321" s="5"/>
      <c r="I321" s="8"/>
      <c r="J321" s="9">
        <v>77468</v>
      </c>
      <c r="K321" s="5" t="s">
        <v>32</v>
      </c>
    </row>
    <row r="322" spans="1:11" s="3" customFormat="1" ht="21.95" customHeight="1" x14ac:dyDescent="0.4">
      <c r="A322" s="4">
        <v>1548</v>
      </c>
      <c r="B322" s="4" t="s">
        <v>434</v>
      </c>
      <c r="C322" s="4" t="s">
        <v>437</v>
      </c>
      <c r="D322" s="4" t="s">
        <v>18</v>
      </c>
      <c r="E322" s="4"/>
      <c r="F322" s="4"/>
      <c r="G322" s="4"/>
      <c r="H322" s="4"/>
      <c r="I322" s="6"/>
      <c r="J322" s="7">
        <v>385200</v>
      </c>
      <c r="K322" s="4" t="s">
        <v>32</v>
      </c>
    </row>
    <row r="323" spans="1:11" s="3" customFormat="1" ht="21.95" customHeight="1" x14ac:dyDescent="0.4">
      <c r="A323" s="5">
        <v>1549</v>
      </c>
      <c r="B323" s="5" t="s">
        <v>434</v>
      </c>
      <c r="C323" s="5" t="s">
        <v>438</v>
      </c>
      <c r="D323" s="5" t="s">
        <v>18</v>
      </c>
      <c r="E323" s="5"/>
      <c r="F323" s="5"/>
      <c r="G323" s="5"/>
      <c r="H323" s="5"/>
      <c r="I323" s="8"/>
      <c r="J323" s="9">
        <v>363800</v>
      </c>
      <c r="K323" s="5" t="s">
        <v>32</v>
      </c>
    </row>
    <row r="324" spans="1:11" s="3" customFormat="1" ht="21.95" customHeight="1" x14ac:dyDescent="0.4">
      <c r="A324" s="4">
        <v>1573</v>
      </c>
      <c r="B324" s="4" t="s">
        <v>434</v>
      </c>
      <c r="C324" s="4" t="s">
        <v>439</v>
      </c>
      <c r="D324" s="4" t="s">
        <v>18</v>
      </c>
      <c r="E324" s="4"/>
      <c r="F324" s="4"/>
      <c r="G324" s="4"/>
      <c r="H324" s="4"/>
      <c r="I324" s="6"/>
      <c r="J324" s="7">
        <v>55148</v>
      </c>
      <c r="K324" s="4" t="s">
        <v>32</v>
      </c>
    </row>
    <row r="325" spans="1:11" s="3" customFormat="1" ht="21.95" customHeight="1" x14ac:dyDescent="0.4">
      <c r="A325" s="5">
        <v>1300</v>
      </c>
      <c r="B325" s="5" t="s">
        <v>434</v>
      </c>
      <c r="C325" s="5" t="s">
        <v>435</v>
      </c>
      <c r="D325" s="5" t="s">
        <v>18</v>
      </c>
      <c r="E325" s="5"/>
      <c r="F325" s="5"/>
      <c r="G325" s="5"/>
      <c r="H325" s="5"/>
      <c r="I325" s="8"/>
      <c r="J325" s="9">
        <v>41299</v>
      </c>
      <c r="K325" s="5" t="s">
        <v>32</v>
      </c>
    </row>
    <row r="326" spans="1:11" s="3" customFormat="1" ht="21.95" customHeight="1" x14ac:dyDescent="0.4">
      <c r="A326" s="4">
        <v>1548</v>
      </c>
      <c r="B326" s="4" t="s">
        <v>434</v>
      </c>
      <c r="C326" s="4" t="s">
        <v>437</v>
      </c>
      <c r="D326" s="4" t="s">
        <v>18</v>
      </c>
      <c r="E326" s="4"/>
      <c r="F326" s="4"/>
      <c r="G326" s="4"/>
      <c r="H326" s="4"/>
      <c r="I326" s="6"/>
      <c r="J326" s="7">
        <v>738300</v>
      </c>
      <c r="K326" s="4" t="s">
        <v>440</v>
      </c>
    </row>
    <row r="327" spans="1:11" s="3" customFormat="1" ht="21.95" customHeight="1" x14ac:dyDescent="0.4">
      <c r="A327" s="5">
        <v>1573</v>
      </c>
      <c r="B327" s="5" t="s">
        <v>434</v>
      </c>
      <c r="C327" s="5" t="s">
        <v>441</v>
      </c>
      <c r="D327" s="5" t="s">
        <v>18</v>
      </c>
      <c r="E327" s="5"/>
      <c r="F327" s="5"/>
      <c r="G327" s="5"/>
      <c r="H327" s="5"/>
      <c r="I327" s="8"/>
      <c r="J327" s="9">
        <v>32763</v>
      </c>
      <c r="K327" s="5" t="s">
        <v>442</v>
      </c>
    </row>
    <row r="328" spans="1:11" s="3" customFormat="1" ht="21.95" customHeight="1" x14ac:dyDescent="0.4">
      <c r="A328" s="4">
        <v>1928</v>
      </c>
      <c r="B328" s="4" t="s">
        <v>434</v>
      </c>
      <c r="C328" s="4" t="s">
        <v>443</v>
      </c>
      <c r="D328" s="4" t="s">
        <v>18</v>
      </c>
      <c r="E328" s="4"/>
      <c r="F328" s="4"/>
      <c r="G328" s="4"/>
      <c r="H328" s="4"/>
      <c r="I328" s="6"/>
      <c r="J328" s="7">
        <v>52173</v>
      </c>
      <c r="K328" s="4" t="s">
        <v>32</v>
      </c>
    </row>
    <row r="329" spans="1:11" s="3" customFormat="1" ht="21.95" customHeight="1" x14ac:dyDescent="0.4">
      <c r="A329" s="5">
        <v>1926</v>
      </c>
      <c r="B329" s="5" t="s">
        <v>434</v>
      </c>
      <c r="C329" s="5" t="s">
        <v>444</v>
      </c>
      <c r="D329" s="5" t="s">
        <v>4</v>
      </c>
      <c r="E329" s="5"/>
      <c r="F329" s="5"/>
      <c r="G329" s="5"/>
      <c r="H329" s="5"/>
      <c r="I329" s="8"/>
      <c r="J329" s="9">
        <v>2878</v>
      </c>
      <c r="K329" s="5" t="s">
        <v>137</v>
      </c>
    </row>
    <row r="330" spans="1:11" s="3" customFormat="1" ht="21.95" customHeight="1" x14ac:dyDescent="0.4">
      <c r="A330" s="4">
        <v>1300</v>
      </c>
      <c r="B330" s="4" t="s">
        <v>434</v>
      </c>
      <c r="C330" s="4" t="s">
        <v>435</v>
      </c>
      <c r="D330" s="4" t="s">
        <v>18</v>
      </c>
      <c r="E330" s="4"/>
      <c r="F330" s="4"/>
      <c r="G330" s="4"/>
      <c r="H330" s="4"/>
      <c r="I330" s="6"/>
      <c r="J330" s="7">
        <v>64243</v>
      </c>
      <c r="K330" s="4" t="s">
        <v>32</v>
      </c>
    </row>
    <row r="331" spans="1:11" s="3" customFormat="1" ht="21.95" customHeight="1" x14ac:dyDescent="0.4">
      <c r="A331" s="5">
        <v>1300</v>
      </c>
      <c r="B331" s="5" t="s">
        <v>434</v>
      </c>
      <c r="C331" s="5" t="s">
        <v>435</v>
      </c>
      <c r="D331" s="5" t="s">
        <v>18</v>
      </c>
      <c r="E331" s="5"/>
      <c r="F331" s="5"/>
      <c r="G331" s="5"/>
      <c r="H331" s="5"/>
      <c r="I331" s="8"/>
      <c r="J331" s="9">
        <v>64243</v>
      </c>
      <c r="K331" s="5" t="s">
        <v>445</v>
      </c>
    </row>
    <row r="332" spans="1:11" s="3" customFormat="1" ht="21.95" customHeight="1" x14ac:dyDescent="0.4">
      <c r="A332" s="4">
        <v>1300</v>
      </c>
      <c r="B332" s="4" t="s">
        <v>434</v>
      </c>
      <c r="C332" s="4" t="s">
        <v>435</v>
      </c>
      <c r="D332" s="4" t="s">
        <v>18</v>
      </c>
      <c r="E332" s="4"/>
      <c r="F332" s="4"/>
      <c r="G332" s="4"/>
      <c r="H332" s="4"/>
      <c r="I332" s="6"/>
      <c r="J332" s="7">
        <v>104774</v>
      </c>
      <c r="K332" s="4" t="s">
        <v>446</v>
      </c>
    </row>
    <row r="333" spans="1:11" s="3" customFormat="1" ht="21.95" customHeight="1" x14ac:dyDescent="0.4">
      <c r="A333" s="5">
        <v>1574</v>
      </c>
      <c r="B333" s="5" t="s">
        <v>434</v>
      </c>
      <c r="C333" s="5" t="s">
        <v>447</v>
      </c>
      <c r="D333" s="5" t="s">
        <v>18</v>
      </c>
      <c r="E333" s="5"/>
      <c r="F333" s="5"/>
      <c r="G333" s="5"/>
      <c r="H333" s="5"/>
      <c r="I333" s="8"/>
      <c r="J333" s="9">
        <v>22770</v>
      </c>
      <c r="K333" s="5" t="s">
        <v>448</v>
      </c>
    </row>
    <row r="334" spans="1:11" s="3" customFormat="1" ht="21.95" customHeight="1" x14ac:dyDescent="0.4">
      <c r="A334" s="4">
        <v>1548</v>
      </c>
      <c r="B334" s="4" t="s">
        <v>434</v>
      </c>
      <c r="C334" s="4" t="s">
        <v>437</v>
      </c>
      <c r="D334" s="4" t="s">
        <v>18</v>
      </c>
      <c r="E334" s="4"/>
      <c r="F334" s="4"/>
      <c r="G334" s="4"/>
      <c r="H334" s="4"/>
      <c r="I334" s="6"/>
      <c r="J334" s="7">
        <v>385200</v>
      </c>
      <c r="K334" s="4" t="s">
        <v>449</v>
      </c>
    </row>
    <row r="335" spans="1:11" s="3" customFormat="1" ht="21.95" customHeight="1" x14ac:dyDescent="0.4">
      <c r="A335" s="5">
        <v>1300</v>
      </c>
      <c r="B335" s="5" t="s">
        <v>434</v>
      </c>
      <c r="C335" s="5" t="s">
        <v>435</v>
      </c>
      <c r="D335" s="5" t="s">
        <v>18</v>
      </c>
      <c r="E335" s="5"/>
      <c r="F335" s="5"/>
      <c r="G335" s="5"/>
      <c r="H335" s="5"/>
      <c r="I335" s="8"/>
      <c r="J335" s="9">
        <v>64243</v>
      </c>
      <c r="K335" s="5" t="s">
        <v>32</v>
      </c>
    </row>
    <row r="336" spans="1:11" s="3" customFormat="1" ht="21.95" customHeight="1" x14ac:dyDescent="0.4">
      <c r="A336" s="4">
        <v>1300</v>
      </c>
      <c r="B336" s="4" t="s">
        <v>434</v>
      </c>
      <c r="C336" s="4" t="s">
        <v>435</v>
      </c>
      <c r="D336" s="4" t="s">
        <v>18</v>
      </c>
      <c r="E336" s="4"/>
      <c r="F336" s="4"/>
      <c r="G336" s="4"/>
      <c r="H336" s="4"/>
      <c r="I336" s="6">
        <v>46092.625</v>
      </c>
      <c r="J336" s="7">
        <v>30559</v>
      </c>
      <c r="K336" s="4" t="s">
        <v>32</v>
      </c>
    </row>
    <row r="337" spans="1:11" s="3" customFormat="1" ht="21.95" customHeight="1" x14ac:dyDescent="0.4">
      <c r="A337" s="5">
        <v>1744</v>
      </c>
      <c r="B337" s="5" t="s">
        <v>434</v>
      </c>
      <c r="C337" s="5" t="s">
        <v>450</v>
      </c>
      <c r="D337" s="5" t="s">
        <v>18</v>
      </c>
      <c r="E337" s="5"/>
      <c r="F337" s="5"/>
      <c r="G337" s="5"/>
      <c r="H337" s="5"/>
      <c r="I337" s="8"/>
      <c r="J337" s="9">
        <v>88000</v>
      </c>
      <c r="K337" s="5" t="s">
        <v>32</v>
      </c>
    </row>
    <row r="338" spans="1:11" s="3" customFormat="1" ht="21.95" customHeight="1" x14ac:dyDescent="0.4">
      <c r="A338" s="4">
        <v>2002</v>
      </c>
      <c r="B338" s="4" t="s">
        <v>434</v>
      </c>
      <c r="C338" s="4" t="s">
        <v>451</v>
      </c>
      <c r="D338" s="4" t="s">
        <v>18</v>
      </c>
      <c r="E338" s="4"/>
      <c r="F338" s="4"/>
      <c r="G338" s="4"/>
      <c r="H338" s="4"/>
      <c r="I338" s="6">
        <v>46126.625</v>
      </c>
      <c r="J338" s="7"/>
      <c r="K338" s="4" t="s">
        <v>452</v>
      </c>
    </row>
    <row r="339" spans="1:11" s="3" customFormat="1" ht="21.95" customHeight="1" x14ac:dyDescent="0.4">
      <c r="A339" s="5">
        <v>1895</v>
      </c>
      <c r="B339" s="5" t="s">
        <v>453</v>
      </c>
      <c r="C339" s="5" t="s">
        <v>105</v>
      </c>
      <c r="D339" s="5" t="s">
        <v>4</v>
      </c>
      <c r="E339" s="5"/>
      <c r="F339" s="5"/>
      <c r="G339" s="5"/>
      <c r="H339" s="5"/>
      <c r="I339" s="8">
        <v>45929.625</v>
      </c>
      <c r="J339" s="9">
        <v>2600000</v>
      </c>
      <c r="K339" s="5" t="s">
        <v>32</v>
      </c>
    </row>
    <row r="340" spans="1:11" s="3" customFormat="1" ht="21.95" customHeight="1" x14ac:dyDescent="0.4">
      <c r="A340" s="4">
        <v>1896</v>
      </c>
      <c r="B340" s="4" t="s">
        <v>453</v>
      </c>
      <c r="C340" s="4" t="s">
        <v>168</v>
      </c>
      <c r="D340" s="4" t="s">
        <v>10</v>
      </c>
      <c r="E340" s="4"/>
      <c r="F340" s="4"/>
      <c r="G340" s="4"/>
      <c r="H340" s="4"/>
      <c r="I340" s="6">
        <v>45929.625</v>
      </c>
      <c r="J340" s="7">
        <v>323418</v>
      </c>
      <c r="K340" s="4" t="s">
        <v>32</v>
      </c>
    </row>
    <row r="341" spans="1:11" s="3" customFormat="1" ht="21.95" customHeight="1" x14ac:dyDescent="0.4">
      <c r="A341" s="5">
        <v>1929</v>
      </c>
      <c r="B341" s="5" t="s">
        <v>454</v>
      </c>
      <c r="C341" s="5" t="s">
        <v>455</v>
      </c>
      <c r="D341" s="5" t="s">
        <v>14</v>
      </c>
      <c r="E341" s="5"/>
      <c r="F341" s="5"/>
      <c r="G341" s="5"/>
      <c r="H341" s="5"/>
      <c r="I341" s="8">
        <v>45988.625</v>
      </c>
      <c r="J341" s="9">
        <v>150000</v>
      </c>
      <c r="K341" s="5" t="s">
        <v>32</v>
      </c>
    </row>
    <row r="342" spans="1:11" s="3" customFormat="1" ht="21.95" customHeight="1" x14ac:dyDescent="0.4">
      <c r="A342" s="4">
        <v>270</v>
      </c>
      <c r="B342" s="4" t="s">
        <v>456</v>
      </c>
      <c r="C342" s="4" t="s">
        <v>220</v>
      </c>
      <c r="D342" s="4" t="s">
        <v>8</v>
      </c>
      <c r="E342" s="4"/>
      <c r="F342" s="4"/>
      <c r="G342" s="4"/>
      <c r="H342" s="4"/>
      <c r="I342" s="6"/>
      <c r="J342" s="7">
        <v>41580</v>
      </c>
      <c r="K342" s="4" t="s">
        <v>457</v>
      </c>
    </row>
    <row r="343" spans="1:11" s="3" customFormat="1" ht="21.95" customHeight="1" x14ac:dyDescent="0.4">
      <c r="A343" s="5">
        <v>1998</v>
      </c>
      <c r="B343" s="5" t="s">
        <v>456</v>
      </c>
      <c r="C343" s="5" t="s">
        <v>458</v>
      </c>
      <c r="D343" s="5" t="s">
        <v>18</v>
      </c>
      <c r="E343" s="5"/>
      <c r="F343" s="5"/>
      <c r="G343" s="5"/>
      <c r="H343" s="5"/>
      <c r="I343" s="8"/>
      <c r="J343" s="9">
        <v>36252</v>
      </c>
      <c r="K343" s="5" t="s">
        <v>459</v>
      </c>
    </row>
    <row r="344" spans="1:11" s="3" customFormat="1" ht="21.95" customHeight="1" x14ac:dyDescent="0.4">
      <c r="A344" s="4">
        <v>1324</v>
      </c>
      <c r="B344" s="4" t="s">
        <v>460</v>
      </c>
      <c r="C344" s="4" t="s">
        <v>461</v>
      </c>
      <c r="D344" s="4" t="s">
        <v>18</v>
      </c>
      <c r="E344" s="4"/>
      <c r="F344" s="4"/>
      <c r="G344" s="4"/>
      <c r="H344" s="4"/>
      <c r="I344" s="6">
        <v>45925.625</v>
      </c>
      <c r="J344" s="7">
        <v>46577</v>
      </c>
      <c r="K344" s="4" t="s">
        <v>32</v>
      </c>
    </row>
    <row r="345" spans="1:11" s="3" customFormat="1" ht="21.95" customHeight="1" x14ac:dyDescent="0.4">
      <c r="A345" s="5">
        <v>1894</v>
      </c>
      <c r="B345" s="5" t="s">
        <v>460</v>
      </c>
      <c r="C345" s="5" t="s">
        <v>462</v>
      </c>
      <c r="D345" s="5" t="s">
        <v>18</v>
      </c>
      <c r="E345" s="5"/>
      <c r="F345" s="5"/>
      <c r="G345" s="5"/>
      <c r="H345" s="5"/>
      <c r="I345" s="8"/>
      <c r="J345" s="9">
        <v>66254</v>
      </c>
      <c r="K345" s="5" t="s">
        <v>32</v>
      </c>
    </row>
    <row r="346" spans="1:11" s="3" customFormat="1" ht="21.95" customHeight="1" x14ac:dyDescent="0.4">
      <c r="A346" s="4">
        <v>1767</v>
      </c>
      <c r="B346" s="4" t="s">
        <v>460</v>
      </c>
      <c r="C346" s="4" t="s">
        <v>463</v>
      </c>
      <c r="D346" s="4" t="s">
        <v>18</v>
      </c>
      <c r="E346" s="4"/>
      <c r="F346" s="4"/>
      <c r="G346" s="4"/>
      <c r="H346" s="4"/>
      <c r="I346" s="6"/>
      <c r="J346" s="7">
        <v>13803</v>
      </c>
      <c r="K346" s="4" t="s">
        <v>32</v>
      </c>
    </row>
    <row r="347" spans="1:11" s="3" customFormat="1" ht="21.95" customHeight="1" x14ac:dyDescent="0.4">
      <c r="A347" s="5">
        <v>874</v>
      </c>
      <c r="B347" s="5" t="s">
        <v>460</v>
      </c>
      <c r="C347" s="5" t="s">
        <v>464</v>
      </c>
      <c r="D347" s="5" t="s">
        <v>18</v>
      </c>
      <c r="E347" s="5"/>
      <c r="F347" s="5"/>
      <c r="G347" s="5"/>
      <c r="H347" s="5"/>
      <c r="I347" s="8"/>
      <c r="J347" s="9">
        <v>104239</v>
      </c>
      <c r="K347" s="5" t="s">
        <v>32</v>
      </c>
    </row>
    <row r="348" spans="1:11" s="3" customFormat="1" ht="21.95" customHeight="1" x14ac:dyDescent="0.4">
      <c r="A348" s="4">
        <v>1807</v>
      </c>
      <c r="B348" s="4" t="s">
        <v>460</v>
      </c>
      <c r="C348" s="4" t="s">
        <v>465</v>
      </c>
      <c r="D348" s="4" t="s">
        <v>18</v>
      </c>
      <c r="E348" s="4"/>
      <c r="F348" s="4"/>
      <c r="G348" s="4"/>
      <c r="H348" s="4"/>
      <c r="I348" s="6"/>
      <c r="J348" s="7">
        <v>74386</v>
      </c>
      <c r="K348" s="4" t="s">
        <v>32</v>
      </c>
    </row>
    <row r="349" spans="1:11" s="3" customFormat="1" ht="21.95" customHeight="1" x14ac:dyDescent="0.4">
      <c r="A349" s="5">
        <v>18</v>
      </c>
      <c r="B349" s="5" t="s">
        <v>460</v>
      </c>
      <c r="C349" s="5" t="s">
        <v>428</v>
      </c>
      <c r="D349" s="5" t="s">
        <v>18</v>
      </c>
      <c r="E349" s="5"/>
      <c r="F349" s="5"/>
      <c r="G349" s="5"/>
      <c r="H349" s="5"/>
      <c r="I349" s="8"/>
      <c r="J349" s="9">
        <v>195000</v>
      </c>
      <c r="K349" s="5" t="s">
        <v>32</v>
      </c>
    </row>
    <row r="350" spans="1:11" s="3" customFormat="1" ht="21.95" customHeight="1" x14ac:dyDescent="0.4">
      <c r="A350" s="4">
        <v>1614</v>
      </c>
      <c r="B350" s="4" t="s">
        <v>460</v>
      </c>
      <c r="C350" s="4" t="s">
        <v>466</v>
      </c>
      <c r="D350" s="4" t="s">
        <v>18</v>
      </c>
      <c r="E350" s="4"/>
      <c r="F350" s="4"/>
      <c r="G350" s="4"/>
      <c r="H350" s="4"/>
      <c r="I350" s="6"/>
      <c r="J350" s="7">
        <v>105802</v>
      </c>
      <c r="K350" s="4" t="s">
        <v>467</v>
      </c>
    </row>
    <row r="351" spans="1:11" s="3" customFormat="1" ht="21.95" customHeight="1" x14ac:dyDescent="0.4">
      <c r="A351" s="5">
        <v>1734</v>
      </c>
      <c r="B351" s="5" t="s">
        <v>460</v>
      </c>
      <c r="C351" s="5" t="s">
        <v>468</v>
      </c>
      <c r="D351" s="5" t="s">
        <v>18</v>
      </c>
      <c r="E351" s="5"/>
      <c r="F351" s="5"/>
      <c r="G351" s="5"/>
      <c r="H351" s="5"/>
      <c r="I351" s="8">
        <v>45938.625</v>
      </c>
      <c r="J351" s="9">
        <v>106786</v>
      </c>
      <c r="K351" s="5" t="s">
        <v>32</v>
      </c>
    </row>
    <row r="352" spans="1:11" s="3" customFormat="1" ht="21.95" customHeight="1" x14ac:dyDescent="0.4">
      <c r="A352" s="4">
        <v>1925</v>
      </c>
      <c r="B352" s="4" t="s">
        <v>460</v>
      </c>
      <c r="C352" s="4" t="s">
        <v>469</v>
      </c>
      <c r="D352" s="4" t="s">
        <v>18</v>
      </c>
      <c r="E352" s="4"/>
      <c r="F352" s="4"/>
      <c r="G352" s="4"/>
      <c r="H352" s="4"/>
      <c r="I352" s="6">
        <v>45960.625</v>
      </c>
      <c r="J352" s="7">
        <v>22748</v>
      </c>
      <c r="K352" s="4" t="s">
        <v>32</v>
      </c>
    </row>
    <row r="353" spans="1:11" s="3" customFormat="1" ht="21.95" customHeight="1" x14ac:dyDescent="0.4">
      <c r="A353" s="5">
        <v>925</v>
      </c>
      <c r="B353" s="5" t="s">
        <v>460</v>
      </c>
      <c r="C353" s="5" t="s">
        <v>470</v>
      </c>
      <c r="D353" s="5" t="s">
        <v>18</v>
      </c>
      <c r="E353" s="5"/>
      <c r="F353" s="5"/>
      <c r="G353" s="5"/>
      <c r="H353" s="5"/>
      <c r="I353" s="8">
        <v>45960.625</v>
      </c>
      <c r="J353" s="9">
        <v>23540</v>
      </c>
      <c r="K353" s="5" t="s">
        <v>32</v>
      </c>
    </row>
    <row r="354" spans="1:11" s="3" customFormat="1" ht="21.95" customHeight="1" x14ac:dyDescent="0.4">
      <c r="A354" s="4">
        <v>1091</v>
      </c>
      <c r="B354" s="4" t="s">
        <v>460</v>
      </c>
      <c r="C354" s="4" t="s">
        <v>471</v>
      </c>
      <c r="D354" s="4" t="s">
        <v>18</v>
      </c>
      <c r="E354" s="4"/>
      <c r="F354" s="4"/>
      <c r="G354" s="4"/>
      <c r="H354" s="4"/>
      <c r="I354" s="6"/>
      <c r="J354" s="7">
        <v>118845</v>
      </c>
      <c r="K354" s="4" t="s">
        <v>32</v>
      </c>
    </row>
    <row r="355" spans="1:11" s="3" customFormat="1" ht="21.95" customHeight="1" x14ac:dyDescent="0.4">
      <c r="A355" s="5">
        <v>1767</v>
      </c>
      <c r="B355" s="5" t="s">
        <v>460</v>
      </c>
      <c r="C355" s="5" t="s">
        <v>472</v>
      </c>
      <c r="D355" s="5" t="s">
        <v>18</v>
      </c>
      <c r="E355" s="5"/>
      <c r="F355" s="5"/>
      <c r="G355" s="5"/>
      <c r="H355" s="5"/>
      <c r="I355" s="8">
        <v>45960.625</v>
      </c>
      <c r="J355" s="9">
        <v>18425</v>
      </c>
      <c r="K355" s="5" t="s">
        <v>32</v>
      </c>
    </row>
    <row r="356" spans="1:11" s="3" customFormat="1" ht="21.95" customHeight="1" x14ac:dyDescent="0.4">
      <c r="A356" s="4">
        <v>1694</v>
      </c>
      <c r="B356" s="4" t="s">
        <v>460</v>
      </c>
      <c r="C356" s="4" t="s">
        <v>473</v>
      </c>
      <c r="D356" s="4" t="s">
        <v>18</v>
      </c>
      <c r="E356" s="4"/>
      <c r="F356" s="4"/>
      <c r="G356" s="4"/>
      <c r="H356" s="4"/>
      <c r="I356" s="6"/>
      <c r="J356" s="7">
        <v>27563</v>
      </c>
      <c r="K356" s="4" t="s">
        <v>474</v>
      </c>
    </row>
    <row r="357" spans="1:11" s="3" customFormat="1" ht="21.95" customHeight="1" x14ac:dyDescent="0.4">
      <c r="A357" s="5">
        <v>1602</v>
      </c>
      <c r="B357" s="5" t="s">
        <v>460</v>
      </c>
      <c r="C357" s="5" t="s">
        <v>76</v>
      </c>
      <c r="D357" s="5" t="s">
        <v>18</v>
      </c>
      <c r="E357" s="5"/>
      <c r="F357" s="5"/>
      <c r="G357" s="5"/>
      <c r="H357" s="5"/>
      <c r="I357" s="8"/>
      <c r="J357" s="9">
        <v>29596</v>
      </c>
      <c r="K357" s="5" t="s">
        <v>164</v>
      </c>
    </row>
    <row r="358" spans="1:11" s="3" customFormat="1" ht="21.95" customHeight="1" x14ac:dyDescent="0.4">
      <c r="A358" s="4">
        <v>257</v>
      </c>
      <c r="B358" s="4" t="s">
        <v>460</v>
      </c>
      <c r="C358" s="4" t="s">
        <v>475</v>
      </c>
      <c r="D358" s="4" t="s">
        <v>18</v>
      </c>
      <c r="E358" s="4"/>
      <c r="F358" s="4"/>
      <c r="G358" s="4"/>
      <c r="H358" s="4"/>
      <c r="I358" s="6"/>
      <c r="J358" s="7">
        <v>340560</v>
      </c>
      <c r="K358" s="4" t="s">
        <v>32</v>
      </c>
    </row>
    <row r="359" spans="1:11" s="3" customFormat="1" ht="21.95" customHeight="1" x14ac:dyDescent="0.4">
      <c r="A359" s="5">
        <v>1401</v>
      </c>
      <c r="B359" s="5" t="s">
        <v>460</v>
      </c>
      <c r="C359" s="5" t="s">
        <v>476</v>
      </c>
      <c r="D359" s="5" t="s">
        <v>18</v>
      </c>
      <c r="E359" s="5"/>
      <c r="F359" s="5"/>
      <c r="G359" s="5"/>
      <c r="H359" s="5"/>
      <c r="I359" s="8"/>
      <c r="J359" s="9">
        <v>15000</v>
      </c>
      <c r="K359" s="5" t="s">
        <v>32</v>
      </c>
    </row>
    <row r="360" spans="1:11" s="3" customFormat="1" ht="21.95" customHeight="1" x14ac:dyDescent="0.4">
      <c r="A360" s="4">
        <v>874</v>
      </c>
      <c r="B360" s="4" t="s">
        <v>460</v>
      </c>
      <c r="C360" s="4" t="s">
        <v>464</v>
      </c>
      <c r="D360" s="4" t="s">
        <v>18</v>
      </c>
      <c r="E360" s="4"/>
      <c r="F360" s="4"/>
      <c r="G360" s="4"/>
      <c r="H360" s="4"/>
      <c r="I360" s="6"/>
      <c r="J360" s="7">
        <v>9245</v>
      </c>
      <c r="K360" s="4" t="s">
        <v>32</v>
      </c>
    </row>
    <row r="361" spans="1:11" s="3" customFormat="1" ht="21.95" customHeight="1" x14ac:dyDescent="0.4">
      <c r="A361" s="5">
        <v>1634</v>
      </c>
      <c r="B361" s="5" t="s">
        <v>460</v>
      </c>
      <c r="C361" s="5" t="s">
        <v>477</v>
      </c>
      <c r="D361" s="5" t="s">
        <v>18</v>
      </c>
      <c r="E361" s="5"/>
      <c r="F361" s="5"/>
      <c r="G361" s="5"/>
      <c r="H361" s="5"/>
      <c r="I361" s="8"/>
      <c r="J361" s="9">
        <v>274883</v>
      </c>
      <c r="K361" s="5" t="s">
        <v>32</v>
      </c>
    </row>
    <row r="362" spans="1:11" s="3" customFormat="1" ht="21.95" customHeight="1" x14ac:dyDescent="0.4">
      <c r="A362" s="4">
        <v>1934</v>
      </c>
      <c r="B362" s="4" t="s">
        <v>460</v>
      </c>
      <c r="C362" s="4" t="s">
        <v>466</v>
      </c>
      <c r="D362" s="4" t="s">
        <v>18</v>
      </c>
      <c r="E362" s="4"/>
      <c r="F362" s="4"/>
      <c r="G362" s="4"/>
      <c r="H362" s="4"/>
      <c r="I362" s="6"/>
      <c r="J362" s="7">
        <v>242344</v>
      </c>
      <c r="K362" s="4" t="s">
        <v>32</v>
      </c>
    </row>
    <row r="363" spans="1:11" s="3" customFormat="1" ht="21.95" customHeight="1" x14ac:dyDescent="0.4">
      <c r="A363" s="5">
        <v>1767</v>
      </c>
      <c r="B363" s="5" t="s">
        <v>460</v>
      </c>
      <c r="C363" s="5" t="s">
        <v>478</v>
      </c>
      <c r="D363" s="5" t="s">
        <v>18</v>
      </c>
      <c r="E363" s="5"/>
      <c r="F363" s="5"/>
      <c r="G363" s="5"/>
      <c r="H363" s="5"/>
      <c r="I363" s="8"/>
      <c r="J363" s="9">
        <v>32228</v>
      </c>
      <c r="K363" s="5" t="s">
        <v>32</v>
      </c>
    </row>
    <row r="364" spans="1:11" s="3" customFormat="1" ht="21.95" customHeight="1" x14ac:dyDescent="0.4">
      <c r="A364" s="4">
        <v>1963</v>
      </c>
      <c r="B364" s="4" t="s">
        <v>460</v>
      </c>
      <c r="C364" s="4" t="s">
        <v>479</v>
      </c>
      <c r="D364" s="4" t="s">
        <v>18</v>
      </c>
      <c r="E364" s="4"/>
      <c r="F364" s="4"/>
      <c r="G364" s="4"/>
      <c r="H364" s="4"/>
      <c r="I364" s="6"/>
      <c r="J364" s="7">
        <v>9245</v>
      </c>
      <c r="K364" s="4" t="s">
        <v>480</v>
      </c>
    </row>
    <row r="365" spans="1:11" s="3" customFormat="1" ht="21.95" customHeight="1" x14ac:dyDescent="0.4">
      <c r="A365" s="5">
        <v>1767</v>
      </c>
      <c r="B365" s="5" t="s">
        <v>460</v>
      </c>
      <c r="C365" s="5" t="s">
        <v>478</v>
      </c>
      <c r="D365" s="5" t="s">
        <v>18</v>
      </c>
      <c r="E365" s="5"/>
      <c r="F365" s="5"/>
      <c r="G365" s="5"/>
      <c r="H365" s="5"/>
      <c r="I365" s="8"/>
      <c r="J365" s="9">
        <v>12000</v>
      </c>
      <c r="K365" s="5" t="s">
        <v>32</v>
      </c>
    </row>
    <row r="366" spans="1:11" s="3" customFormat="1" ht="21.95" customHeight="1" x14ac:dyDescent="0.4">
      <c r="A366" s="4">
        <v>1614</v>
      </c>
      <c r="B366" s="4" t="s">
        <v>481</v>
      </c>
      <c r="C366" s="4" t="s">
        <v>466</v>
      </c>
      <c r="D366" s="4" t="s">
        <v>18</v>
      </c>
      <c r="E366" s="4"/>
      <c r="F366" s="4"/>
      <c r="G366" s="4"/>
      <c r="H366" s="4"/>
      <c r="I366" s="6"/>
      <c r="J366" s="7">
        <v>165122</v>
      </c>
      <c r="K366" s="4" t="s">
        <v>482</v>
      </c>
    </row>
    <row r="367" spans="1:11" s="3" customFormat="1" ht="21.95" customHeight="1" x14ac:dyDescent="0.4">
      <c r="A367" s="5">
        <v>1897</v>
      </c>
      <c r="B367" s="5" t="s">
        <v>483</v>
      </c>
      <c r="C367" s="5" t="s">
        <v>484</v>
      </c>
      <c r="D367" s="5" t="s">
        <v>18</v>
      </c>
      <c r="E367" s="5"/>
      <c r="F367" s="5"/>
      <c r="G367" s="5"/>
      <c r="H367" s="5"/>
      <c r="I367" s="8"/>
      <c r="J367" s="9">
        <v>30474</v>
      </c>
      <c r="K367" s="5" t="s">
        <v>32</v>
      </c>
    </row>
    <row r="368" spans="1:11" s="3" customFormat="1" ht="21.95" customHeight="1" x14ac:dyDescent="0.4">
      <c r="A368" s="4">
        <v>283</v>
      </c>
      <c r="B368" s="4" t="s">
        <v>483</v>
      </c>
      <c r="C368" s="4" t="s">
        <v>485</v>
      </c>
      <c r="D368" s="4" t="s">
        <v>12</v>
      </c>
      <c r="E368" s="4"/>
      <c r="F368" s="4"/>
      <c r="G368" s="4"/>
      <c r="H368" s="4"/>
      <c r="I368" s="6"/>
      <c r="J368" s="7">
        <v>162469</v>
      </c>
      <c r="K368" s="4" t="s">
        <v>486</v>
      </c>
    </row>
    <row r="369" spans="1:11" s="3" customFormat="1" ht="21.95" customHeight="1" x14ac:dyDescent="0.4">
      <c r="A369" s="5">
        <v>643</v>
      </c>
      <c r="B369" s="5" t="s">
        <v>483</v>
      </c>
      <c r="C369" s="5" t="s">
        <v>487</v>
      </c>
      <c r="D369" s="5" t="s">
        <v>18</v>
      </c>
      <c r="E369" s="5"/>
      <c r="F369" s="5"/>
      <c r="G369" s="5"/>
      <c r="H369" s="5"/>
      <c r="I369" s="8"/>
      <c r="J369" s="9">
        <v>55469</v>
      </c>
      <c r="K369" s="5" t="s">
        <v>32</v>
      </c>
    </row>
    <row r="370" spans="1:11" s="3" customFormat="1" ht="21.95" customHeight="1" x14ac:dyDescent="0.4">
      <c r="A370" s="4">
        <v>1927</v>
      </c>
      <c r="B370" s="4" t="s">
        <v>483</v>
      </c>
      <c r="C370" s="4" t="s">
        <v>488</v>
      </c>
      <c r="D370" s="4" t="s">
        <v>4</v>
      </c>
      <c r="E370" s="4"/>
      <c r="F370" s="4"/>
      <c r="G370" s="4"/>
      <c r="H370" s="4"/>
      <c r="I370" s="6"/>
      <c r="J370" s="7">
        <v>1767600</v>
      </c>
      <c r="K370" s="4" t="s">
        <v>489</v>
      </c>
    </row>
    <row r="371" spans="1:11" s="3" customFormat="1" ht="21.95" customHeight="1" x14ac:dyDescent="0.4">
      <c r="A371" s="5">
        <v>1574</v>
      </c>
      <c r="B371" s="5" t="s">
        <v>483</v>
      </c>
      <c r="C371" s="5" t="s">
        <v>490</v>
      </c>
      <c r="D371" s="5" t="s">
        <v>18</v>
      </c>
      <c r="E371" s="5"/>
      <c r="F371" s="5"/>
      <c r="G371" s="5"/>
      <c r="H371" s="5"/>
      <c r="I371" s="8"/>
      <c r="J371" s="9">
        <v>66000</v>
      </c>
      <c r="K371" s="5" t="s">
        <v>491</v>
      </c>
    </row>
    <row r="372" spans="1:11" s="3" customFormat="1" ht="21.95" customHeight="1" x14ac:dyDescent="0.4">
      <c r="A372" s="4">
        <v>643</v>
      </c>
      <c r="B372" s="4" t="s">
        <v>483</v>
      </c>
      <c r="C372" s="4" t="s">
        <v>487</v>
      </c>
      <c r="D372" s="4" t="s">
        <v>18</v>
      </c>
      <c r="E372" s="4"/>
      <c r="F372" s="4"/>
      <c r="G372" s="4"/>
      <c r="H372" s="4"/>
      <c r="I372" s="6"/>
      <c r="J372" s="7">
        <v>73968</v>
      </c>
      <c r="K372" s="4" t="s">
        <v>492</v>
      </c>
    </row>
    <row r="373" spans="1:11" s="3" customFormat="1" ht="21.95" customHeight="1" x14ac:dyDescent="0.4">
      <c r="A373" s="5">
        <v>26</v>
      </c>
      <c r="B373" s="5" t="s">
        <v>483</v>
      </c>
      <c r="C373" s="5" t="s">
        <v>493</v>
      </c>
      <c r="D373" s="5" t="s">
        <v>18</v>
      </c>
      <c r="E373" s="5"/>
      <c r="F373" s="5"/>
      <c r="G373" s="5"/>
      <c r="H373" s="5"/>
      <c r="I373" s="8"/>
      <c r="J373" s="9">
        <v>43580</v>
      </c>
      <c r="K373" s="5" t="s">
        <v>32</v>
      </c>
    </row>
    <row r="374" spans="1:11" s="3" customFormat="1" ht="21.95" customHeight="1" x14ac:dyDescent="0.4">
      <c r="A374" s="4">
        <v>1940</v>
      </c>
      <c r="B374" s="4" t="s">
        <v>494</v>
      </c>
      <c r="C374" s="4" t="s">
        <v>273</v>
      </c>
      <c r="D374" s="4" t="s">
        <v>18</v>
      </c>
      <c r="E374" s="4"/>
      <c r="F374" s="4"/>
      <c r="G374" s="4"/>
      <c r="H374" s="4"/>
      <c r="I374" s="6"/>
      <c r="J374" s="7">
        <v>119800</v>
      </c>
      <c r="K374" s="4" t="s">
        <v>32</v>
      </c>
    </row>
    <row r="375" spans="1:11" s="3" customFormat="1" ht="21.95" customHeight="1" x14ac:dyDescent="0.4">
      <c r="A375" s="5">
        <v>1940</v>
      </c>
      <c r="B375" s="5" t="s">
        <v>495</v>
      </c>
      <c r="C375" s="5" t="s">
        <v>496</v>
      </c>
      <c r="D375" s="5" t="s">
        <v>18</v>
      </c>
      <c r="E375" s="5"/>
      <c r="F375" s="5"/>
      <c r="G375" s="5"/>
      <c r="H375" s="5"/>
      <c r="I375" s="8"/>
      <c r="J375" s="9">
        <v>76000</v>
      </c>
      <c r="K375" s="5" t="s">
        <v>32</v>
      </c>
    </row>
    <row r="376" spans="1:11" s="3" customFormat="1" ht="21.95" customHeight="1" x14ac:dyDescent="0.4">
      <c r="A376" s="4">
        <v>1940</v>
      </c>
      <c r="B376" s="4" t="s">
        <v>495</v>
      </c>
      <c r="C376" s="4" t="s">
        <v>496</v>
      </c>
      <c r="D376" s="4" t="s">
        <v>18</v>
      </c>
      <c r="E376" s="4"/>
      <c r="F376" s="4"/>
      <c r="G376" s="4"/>
      <c r="H376" s="4"/>
      <c r="I376" s="6">
        <v>46043.625</v>
      </c>
      <c r="J376" s="7">
        <v>15000</v>
      </c>
      <c r="K376" s="4" t="s">
        <v>32</v>
      </c>
    </row>
    <row r="377" spans="1:11" s="3" customFormat="1" ht="21.95" customHeight="1" x14ac:dyDescent="0.4">
      <c r="A377" s="5">
        <v>1871</v>
      </c>
      <c r="B377" s="5" t="s">
        <v>497</v>
      </c>
      <c r="C377" s="5" t="s">
        <v>498</v>
      </c>
      <c r="D377" s="5" t="s">
        <v>18</v>
      </c>
      <c r="E377" s="5"/>
      <c r="F377" s="5"/>
      <c r="G377" s="5"/>
      <c r="H377" s="5"/>
      <c r="I377" s="8">
        <v>46012.625</v>
      </c>
      <c r="J377" s="9">
        <v>4000000</v>
      </c>
      <c r="K377" s="5" t="s">
        <v>499</v>
      </c>
    </row>
    <row r="378" spans="1:11" s="3" customFormat="1" ht="21.95" customHeight="1" x14ac:dyDescent="0.4">
      <c r="A378" s="4">
        <v>1942</v>
      </c>
      <c r="B378" s="4" t="s">
        <v>500</v>
      </c>
      <c r="C378" s="4" t="s">
        <v>501</v>
      </c>
      <c r="D378" s="4" t="s">
        <v>18</v>
      </c>
      <c r="E378" s="4"/>
      <c r="F378" s="4"/>
      <c r="G378" s="4"/>
      <c r="H378" s="4"/>
      <c r="I378" s="6"/>
      <c r="J378" s="7">
        <v>374500</v>
      </c>
      <c r="K378" s="4" t="s">
        <v>502</v>
      </c>
    </row>
    <row r="379" spans="1:11" s="3" customFormat="1" ht="21.95" customHeight="1" x14ac:dyDescent="0.4">
      <c r="A379" s="5">
        <v>1938</v>
      </c>
      <c r="B379" s="5" t="s">
        <v>500</v>
      </c>
      <c r="C379" s="5" t="s">
        <v>501</v>
      </c>
      <c r="D379" s="5" t="s">
        <v>18</v>
      </c>
      <c r="E379" s="5"/>
      <c r="F379" s="5"/>
      <c r="G379" s="5"/>
      <c r="H379" s="5"/>
      <c r="I379" s="8"/>
      <c r="J379" s="9">
        <v>321000</v>
      </c>
      <c r="K379" s="5" t="s">
        <v>503</v>
      </c>
    </row>
    <row r="380" spans="1:11" s="3" customFormat="1" ht="21.95" customHeight="1" x14ac:dyDescent="0.4">
      <c r="A380" s="4">
        <v>1941</v>
      </c>
      <c r="B380" s="4" t="s">
        <v>500</v>
      </c>
      <c r="C380" s="4" t="s">
        <v>504</v>
      </c>
      <c r="D380" s="4" t="s">
        <v>14</v>
      </c>
      <c r="E380" s="4"/>
      <c r="F380" s="4"/>
      <c r="G380" s="4"/>
      <c r="H380" s="4"/>
      <c r="I380" s="6"/>
      <c r="J380" s="7">
        <v>16059</v>
      </c>
      <c r="K380" s="4" t="s">
        <v>32</v>
      </c>
    </row>
    <row r="381" spans="1:11" s="3" customFormat="1" ht="21.95" customHeight="1" x14ac:dyDescent="0.4">
      <c r="A381" s="5">
        <v>1922</v>
      </c>
      <c r="B381" s="5" t="s">
        <v>500</v>
      </c>
      <c r="C381" s="5" t="s">
        <v>505</v>
      </c>
      <c r="D381" s="5" t="s">
        <v>14</v>
      </c>
      <c r="E381" s="5"/>
      <c r="F381" s="5"/>
      <c r="G381" s="5"/>
      <c r="H381" s="5"/>
      <c r="I381" s="8"/>
      <c r="J381" s="9">
        <v>29832</v>
      </c>
      <c r="K381" s="5" t="s">
        <v>32</v>
      </c>
    </row>
    <row r="382" spans="1:11" s="3" customFormat="1" ht="21.95" customHeight="1" x14ac:dyDescent="0.4">
      <c r="A382" s="4" t="s">
        <v>32</v>
      </c>
      <c r="B382" s="4" t="s">
        <v>506</v>
      </c>
      <c r="C382" s="4" t="s">
        <v>507</v>
      </c>
      <c r="D382" s="4" t="s">
        <v>18</v>
      </c>
      <c r="E382" s="4"/>
      <c r="F382" s="4"/>
      <c r="G382" s="4"/>
      <c r="H382" s="4"/>
      <c r="I382" s="6"/>
      <c r="J382" s="7">
        <v>59664</v>
      </c>
      <c r="K382" s="4" t="s">
        <v>32</v>
      </c>
    </row>
  </sheetData>
  <autoFilter ref="A1:K1"/>
  <phoneticPr fontId="6"/>
  <dataValidations count="2">
    <dataValidation type="list" allowBlank="1" showErrorMessage="1" errorTitle="入力エラー" error="リストから選択してください" sqref="D10:D382">
      <formula1>"Die,TP,Tem,Mill,GC,Ins,S,Other"</formula1>
    </dataValidation>
    <dataValidation type="list" allowBlank="1" showErrorMessage="1" errorTitle="入力エラー" error="リストから選択してください" sqref="D2:D382">
      <formula1>"Die,TP,Tem,Mill,GC,Ins,S,Other"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R382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0" sqref="K10"/>
    </sheetView>
  </sheetViews>
  <sheetFormatPr defaultRowHeight="18.75" x14ac:dyDescent="0.4"/>
  <cols>
    <col min="1" max="1" width="5" customWidth="1"/>
    <col min="2" max="2" width="10" customWidth="1"/>
    <col min="3" max="4" width="22" customWidth="1"/>
    <col min="5" max="5" width="8" customWidth="1"/>
    <col min="6" max="7" width="10" customWidth="1"/>
    <col min="8" max="8" width="8" customWidth="1"/>
    <col min="9" max="11" width="11" customWidth="1"/>
    <col min="12" max="12" width="8" customWidth="1"/>
    <col min="13" max="14" width="11" customWidth="1"/>
    <col min="15" max="15" width="8" customWidth="1"/>
    <col min="16" max="16" width="10" customWidth="1"/>
    <col min="17" max="17" width="20" customWidth="1"/>
    <col min="18" max="382" width="2.5" customWidth="1"/>
  </cols>
  <sheetData>
    <row r="1" spans="1:382" ht="24" customHeight="1" x14ac:dyDescent="0.4">
      <c r="A1" s="10" t="s">
        <v>508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509</v>
      </c>
      <c r="G1" s="10" t="s">
        <v>510</v>
      </c>
      <c r="H1" s="10" t="s">
        <v>27</v>
      </c>
      <c r="I1" s="10" t="s">
        <v>28</v>
      </c>
      <c r="J1" s="11" t="s">
        <v>511</v>
      </c>
      <c r="K1" s="11" t="s">
        <v>512</v>
      </c>
      <c r="L1" s="11" t="s">
        <v>513</v>
      </c>
      <c r="M1" s="12" t="s">
        <v>514</v>
      </c>
      <c r="N1" s="12" t="s">
        <v>515</v>
      </c>
      <c r="O1" s="12" t="s">
        <v>516</v>
      </c>
      <c r="P1" s="13" t="s">
        <v>517</v>
      </c>
      <c r="Q1" s="10" t="s">
        <v>30</v>
      </c>
      <c r="R1" s="14" t="s">
        <v>518</v>
      </c>
      <c r="S1" s="15">
        <v>2</v>
      </c>
      <c r="T1" s="15">
        <v>3</v>
      </c>
      <c r="U1" s="15">
        <v>4</v>
      </c>
      <c r="V1" s="15">
        <v>5</v>
      </c>
      <c r="W1" s="15">
        <v>6</v>
      </c>
      <c r="X1" s="16">
        <v>7</v>
      </c>
      <c r="Y1" s="17">
        <v>8</v>
      </c>
      <c r="Z1" s="15">
        <v>9</v>
      </c>
      <c r="AA1" s="15">
        <v>10</v>
      </c>
      <c r="AB1" s="15">
        <v>11</v>
      </c>
      <c r="AC1" s="15">
        <v>12</v>
      </c>
      <c r="AD1" s="15">
        <v>13</v>
      </c>
      <c r="AE1" s="16">
        <v>14</v>
      </c>
      <c r="AF1" s="17">
        <v>15</v>
      </c>
      <c r="AG1" s="15">
        <v>16</v>
      </c>
      <c r="AH1" s="15">
        <v>17</v>
      </c>
      <c r="AI1" s="15">
        <v>18</v>
      </c>
      <c r="AJ1" s="15">
        <v>19</v>
      </c>
      <c r="AK1" s="15">
        <v>20</v>
      </c>
      <c r="AL1" s="16">
        <v>21</v>
      </c>
      <c r="AM1" s="17">
        <v>22</v>
      </c>
      <c r="AN1" s="15">
        <v>23</v>
      </c>
      <c r="AO1" s="15">
        <v>24</v>
      </c>
      <c r="AP1" s="15">
        <v>25</v>
      </c>
      <c r="AQ1" s="15">
        <v>26</v>
      </c>
      <c r="AR1" s="15">
        <v>27</v>
      </c>
      <c r="AS1" s="16">
        <v>28</v>
      </c>
      <c r="AT1" s="17">
        <v>29</v>
      </c>
      <c r="AU1" s="15">
        <v>30</v>
      </c>
      <c r="AV1" s="15">
        <v>31</v>
      </c>
      <c r="AW1" s="18" t="s">
        <v>519</v>
      </c>
      <c r="AX1" s="15">
        <v>2</v>
      </c>
      <c r="AY1" s="15">
        <v>3</v>
      </c>
      <c r="AZ1" s="16">
        <v>4</v>
      </c>
      <c r="BA1" s="17">
        <v>5</v>
      </c>
      <c r="BB1" s="15">
        <v>6</v>
      </c>
      <c r="BC1" s="15">
        <v>7</v>
      </c>
      <c r="BD1" s="15">
        <v>8</v>
      </c>
      <c r="BE1" s="15">
        <v>9</v>
      </c>
      <c r="BF1" s="15">
        <v>10</v>
      </c>
      <c r="BG1" s="16">
        <v>11</v>
      </c>
      <c r="BH1" s="17">
        <v>12</v>
      </c>
      <c r="BI1" s="15">
        <v>13</v>
      </c>
      <c r="BJ1" s="15">
        <v>14</v>
      </c>
      <c r="BK1" s="15">
        <v>15</v>
      </c>
      <c r="BL1" s="15">
        <v>16</v>
      </c>
      <c r="BM1" s="15">
        <v>17</v>
      </c>
      <c r="BN1" s="16">
        <v>18</v>
      </c>
      <c r="BO1" s="17">
        <v>19</v>
      </c>
      <c r="BP1" s="15">
        <v>20</v>
      </c>
      <c r="BQ1" s="15">
        <v>21</v>
      </c>
      <c r="BR1" s="15">
        <v>22</v>
      </c>
      <c r="BS1" s="15">
        <v>23</v>
      </c>
      <c r="BT1" s="15">
        <v>24</v>
      </c>
      <c r="BU1" s="16">
        <v>25</v>
      </c>
      <c r="BV1" s="17">
        <v>26</v>
      </c>
      <c r="BW1" s="15">
        <v>27</v>
      </c>
      <c r="BX1" s="15">
        <v>28</v>
      </c>
      <c r="BY1" s="15">
        <v>29</v>
      </c>
      <c r="BZ1" s="15">
        <v>30</v>
      </c>
      <c r="CA1" s="19" t="s">
        <v>520</v>
      </c>
      <c r="CB1" s="16">
        <v>2</v>
      </c>
      <c r="CC1" s="17">
        <v>3</v>
      </c>
      <c r="CD1" s="15">
        <v>4</v>
      </c>
      <c r="CE1" s="15">
        <v>5</v>
      </c>
      <c r="CF1" s="15">
        <v>6</v>
      </c>
      <c r="CG1" s="15">
        <v>7</v>
      </c>
      <c r="CH1" s="15">
        <v>8</v>
      </c>
      <c r="CI1" s="16">
        <v>9</v>
      </c>
      <c r="CJ1" s="17">
        <v>10</v>
      </c>
      <c r="CK1" s="15">
        <v>11</v>
      </c>
      <c r="CL1" s="15">
        <v>12</v>
      </c>
      <c r="CM1" s="15">
        <v>13</v>
      </c>
      <c r="CN1" s="15">
        <v>14</v>
      </c>
      <c r="CO1" s="15">
        <v>15</v>
      </c>
      <c r="CP1" s="16">
        <v>16</v>
      </c>
      <c r="CQ1" s="17">
        <v>17</v>
      </c>
      <c r="CR1" s="15">
        <v>18</v>
      </c>
      <c r="CS1" s="15">
        <v>19</v>
      </c>
      <c r="CT1" s="15">
        <v>20</v>
      </c>
      <c r="CU1" s="15">
        <v>21</v>
      </c>
      <c r="CV1" s="15">
        <v>22</v>
      </c>
      <c r="CW1" s="16">
        <v>23</v>
      </c>
      <c r="CX1" s="17">
        <v>24</v>
      </c>
      <c r="CY1" s="15">
        <v>25</v>
      </c>
      <c r="CZ1" s="15">
        <v>26</v>
      </c>
      <c r="DA1" s="15">
        <v>27</v>
      </c>
      <c r="DB1" s="15">
        <v>28</v>
      </c>
      <c r="DC1" s="15">
        <v>29</v>
      </c>
      <c r="DD1" s="16">
        <v>30</v>
      </c>
      <c r="DE1" s="17">
        <v>31</v>
      </c>
      <c r="DF1" s="20" t="s">
        <v>521</v>
      </c>
      <c r="DG1" s="15">
        <v>2</v>
      </c>
      <c r="DH1" s="15">
        <v>3</v>
      </c>
      <c r="DI1" s="15">
        <v>4</v>
      </c>
      <c r="DJ1" s="15">
        <v>5</v>
      </c>
      <c r="DK1" s="16">
        <v>6</v>
      </c>
      <c r="DL1" s="17">
        <v>7</v>
      </c>
      <c r="DM1" s="15">
        <v>8</v>
      </c>
      <c r="DN1" s="15">
        <v>9</v>
      </c>
      <c r="DO1" s="15">
        <v>10</v>
      </c>
      <c r="DP1" s="15">
        <v>11</v>
      </c>
      <c r="DQ1" s="15">
        <v>12</v>
      </c>
      <c r="DR1" s="16">
        <v>13</v>
      </c>
      <c r="DS1" s="17">
        <v>14</v>
      </c>
      <c r="DT1" s="15">
        <v>15</v>
      </c>
      <c r="DU1" s="15">
        <v>16</v>
      </c>
      <c r="DV1" s="15">
        <v>17</v>
      </c>
      <c r="DW1" s="15">
        <v>18</v>
      </c>
      <c r="DX1" s="15">
        <v>19</v>
      </c>
      <c r="DY1" s="16">
        <v>20</v>
      </c>
      <c r="DZ1" s="17">
        <v>21</v>
      </c>
      <c r="EA1" s="15">
        <v>22</v>
      </c>
      <c r="EB1" s="15">
        <v>23</v>
      </c>
      <c r="EC1" s="15">
        <v>24</v>
      </c>
      <c r="ED1" s="15">
        <v>25</v>
      </c>
      <c r="EE1" s="15">
        <v>26</v>
      </c>
      <c r="EF1" s="16">
        <v>27</v>
      </c>
      <c r="EG1" s="17">
        <v>28</v>
      </c>
      <c r="EH1" s="15">
        <v>29</v>
      </c>
      <c r="EI1" s="15">
        <v>30</v>
      </c>
      <c r="EJ1" s="21" t="s">
        <v>522</v>
      </c>
      <c r="EK1" s="15">
        <v>2</v>
      </c>
      <c r="EL1" s="15">
        <v>3</v>
      </c>
      <c r="EM1" s="16">
        <v>4</v>
      </c>
      <c r="EN1" s="17">
        <v>5</v>
      </c>
      <c r="EO1" s="15">
        <v>6</v>
      </c>
      <c r="EP1" s="15">
        <v>7</v>
      </c>
      <c r="EQ1" s="15">
        <v>8</v>
      </c>
      <c r="ER1" s="15">
        <v>9</v>
      </c>
      <c r="ES1" s="15">
        <v>10</v>
      </c>
      <c r="ET1" s="16">
        <v>11</v>
      </c>
      <c r="EU1" s="17">
        <v>12</v>
      </c>
      <c r="EV1" s="15">
        <v>13</v>
      </c>
      <c r="EW1" s="15">
        <v>14</v>
      </c>
      <c r="EX1" s="15">
        <v>15</v>
      </c>
      <c r="EY1" s="15">
        <v>16</v>
      </c>
      <c r="EZ1" s="15">
        <v>17</v>
      </c>
      <c r="FA1" s="16">
        <v>18</v>
      </c>
      <c r="FB1" s="17">
        <v>19</v>
      </c>
      <c r="FC1" s="15">
        <v>20</v>
      </c>
      <c r="FD1" s="15">
        <v>21</v>
      </c>
      <c r="FE1" s="15">
        <v>22</v>
      </c>
      <c r="FF1" s="15">
        <v>23</v>
      </c>
      <c r="FG1" s="15">
        <v>24</v>
      </c>
      <c r="FH1" s="16">
        <v>25</v>
      </c>
      <c r="FI1" s="17">
        <v>26</v>
      </c>
      <c r="FJ1" s="15">
        <v>27</v>
      </c>
      <c r="FK1" s="15">
        <v>28</v>
      </c>
      <c r="FL1" s="15">
        <v>29</v>
      </c>
      <c r="FM1" s="15">
        <v>30</v>
      </c>
      <c r="FN1" s="15">
        <v>31</v>
      </c>
      <c r="FO1" s="22" t="s">
        <v>523</v>
      </c>
      <c r="FP1" s="17">
        <v>2</v>
      </c>
      <c r="FQ1" s="15">
        <v>3</v>
      </c>
      <c r="FR1" s="15">
        <v>4</v>
      </c>
      <c r="FS1" s="15">
        <v>5</v>
      </c>
      <c r="FT1" s="15">
        <v>6</v>
      </c>
      <c r="FU1" s="15">
        <v>7</v>
      </c>
      <c r="FV1" s="16">
        <v>8</v>
      </c>
      <c r="FW1" s="17">
        <v>9</v>
      </c>
      <c r="FX1" s="15">
        <v>10</v>
      </c>
      <c r="FY1" s="15">
        <v>11</v>
      </c>
      <c r="FZ1" s="15">
        <v>12</v>
      </c>
      <c r="GA1" s="15">
        <v>13</v>
      </c>
      <c r="GB1" s="15">
        <v>14</v>
      </c>
      <c r="GC1" s="16">
        <v>15</v>
      </c>
      <c r="GD1" s="17">
        <v>16</v>
      </c>
      <c r="GE1" s="15">
        <v>17</v>
      </c>
      <c r="GF1" s="15">
        <v>18</v>
      </c>
      <c r="GG1" s="15">
        <v>19</v>
      </c>
      <c r="GH1" s="15">
        <v>20</v>
      </c>
      <c r="GI1" s="15">
        <v>21</v>
      </c>
      <c r="GJ1" s="16">
        <v>22</v>
      </c>
      <c r="GK1" s="17">
        <v>23</v>
      </c>
      <c r="GL1" s="15">
        <v>24</v>
      </c>
      <c r="GM1" s="15">
        <v>25</v>
      </c>
      <c r="GN1" s="15">
        <v>26</v>
      </c>
      <c r="GO1" s="15">
        <v>27</v>
      </c>
      <c r="GP1" s="15">
        <v>28</v>
      </c>
      <c r="GQ1" s="16">
        <v>29</v>
      </c>
      <c r="GR1" s="17">
        <v>30</v>
      </c>
      <c r="GS1" s="15">
        <v>31</v>
      </c>
      <c r="GT1" s="23" t="s">
        <v>524</v>
      </c>
      <c r="GU1" s="15">
        <v>2</v>
      </c>
      <c r="GV1" s="15">
        <v>3</v>
      </c>
      <c r="GW1" s="15">
        <v>4</v>
      </c>
      <c r="GX1" s="16">
        <v>5</v>
      </c>
      <c r="GY1" s="17">
        <v>6</v>
      </c>
      <c r="GZ1" s="15">
        <v>7</v>
      </c>
      <c r="HA1" s="15">
        <v>8</v>
      </c>
      <c r="HB1" s="15">
        <v>9</v>
      </c>
      <c r="HC1" s="15">
        <v>10</v>
      </c>
      <c r="HD1" s="15">
        <v>11</v>
      </c>
      <c r="HE1" s="16">
        <v>12</v>
      </c>
      <c r="HF1" s="17">
        <v>13</v>
      </c>
      <c r="HG1" s="15">
        <v>14</v>
      </c>
      <c r="HH1" s="15">
        <v>15</v>
      </c>
      <c r="HI1" s="15">
        <v>16</v>
      </c>
      <c r="HJ1" s="15">
        <v>17</v>
      </c>
      <c r="HK1" s="15">
        <v>18</v>
      </c>
      <c r="HL1" s="16">
        <v>19</v>
      </c>
      <c r="HM1" s="17">
        <v>20</v>
      </c>
      <c r="HN1" s="15">
        <v>21</v>
      </c>
      <c r="HO1" s="15">
        <v>22</v>
      </c>
      <c r="HP1" s="15">
        <v>23</v>
      </c>
      <c r="HQ1" s="15">
        <v>24</v>
      </c>
      <c r="HR1" s="15">
        <v>25</v>
      </c>
      <c r="HS1" s="16">
        <v>26</v>
      </c>
      <c r="HT1" s="17">
        <v>27</v>
      </c>
      <c r="HU1" s="15">
        <v>28</v>
      </c>
      <c r="HV1" s="15">
        <v>29</v>
      </c>
      <c r="HW1" s="15">
        <v>30</v>
      </c>
      <c r="HX1" s="24" t="s">
        <v>525</v>
      </c>
      <c r="HY1" s="15">
        <v>2</v>
      </c>
      <c r="HZ1" s="16">
        <v>3</v>
      </c>
      <c r="IA1" s="17">
        <v>4</v>
      </c>
      <c r="IB1" s="15">
        <v>5</v>
      </c>
      <c r="IC1" s="15">
        <v>6</v>
      </c>
      <c r="ID1" s="15">
        <v>7</v>
      </c>
      <c r="IE1" s="15">
        <v>8</v>
      </c>
      <c r="IF1" s="15">
        <v>9</v>
      </c>
      <c r="IG1" s="16">
        <v>10</v>
      </c>
      <c r="IH1" s="17">
        <v>11</v>
      </c>
      <c r="II1" s="15">
        <v>12</v>
      </c>
      <c r="IJ1" s="15">
        <v>13</v>
      </c>
      <c r="IK1" s="15">
        <v>14</v>
      </c>
      <c r="IL1" s="15">
        <v>15</v>
      </c>
      <c r="IM1" s="15">
        <v>16</v>
      </c>
      <c r="IN1" s="16">
        <v>17</v>
      </c>
      <c r="IO1" s="17">
        <v>18</v>
      </c>
      <c r="IP1" s="15">
        <v>19</v>
      </c>
      <c r="IQ1" s="15">
        <v>20</v>
      </c>
      <c r="IR1" s="15">
        <v>21</v>
      </c>
      <c r="IS1" s="15">
        <v>22</v>
      </c>
      <c r="IT1" s="15">
        <v>23</v>
      </c>
      <c r="IU1" s="16">
        <v>24</v>
      </c>
      <c r="IV1" s="17">
        <v>25</v>
      </c>
      <c r="IW1" s="15">
        <v>26</v>
      </c>
      <c r="IX1" s="15">
        <v>27</v>
      </c>
      <c r="IY1" s="15">
        <v>28</v>
      </c>
      <c r="IZ1" s="15">
        <v>29</v>
      </c>
      <c r="JA1" s="15">
        <v>30</v>
      </c>
      <c r="JB1" s="16">
        <v>31</v>
      </c>
      <c r="JC1" s="25" t="s">
        <v>526</v>
      </c>
      <c r="JD1" s="15">
        <v>2</v>
      </c>
      <c r="JE1" s="15">
        <v>3</v>
      </c>
      <c r="JF1" s="15">
        <v>4</v>
      </c>
      <c r="JG1" s="15">
        <v>5</v>
      </c>
      <c r="JH1" s="15">
        <v>6</v>
      </c>
      <c r="JI1" s="16">
        <v>7</v>
      </c>
      <c r="JJ1" s="17">
        <v>8</v>
      </c>
      <c r="JK1" s="15">
        <v>9</v>
      </c>
      <c r="JL1" s="15">
        <v>10</v>
      </c>
      <c r="JM1" s="15">
        <v>11</v>
      </c>
      <c r="JN1" s="15">
        <v>12</v>
      </c>
      <c r="JO1" s="15">
        <v>13</v>
      </c>
      <c r="JP1" s="16">
        <v>14</v>
      </c>
      <c r="JQ1" s="17">
        <v>15</v>
      </c>
      <c r="JR1" s="15">
        <v>16</v>
      </c>
      <c r="JS1" s="15">
        <v>17</v>
      </c>
      <c r="JT1" s="15">
        <v>18</v>
      </c>
      <c r="JU1" s="15">
        <v>19</v>
      </c>
      <c r="JV1" s="15">
        <v>20</v>
      </c>
      <c r="JW1" s="16">
        <v>21</v>
      </c>
      <c r="JX1" s="17">
        <v>22</v>
      </c>
      <c r="JY1" s="15">
        <v>23</v>
      </c>
      <c r="JZ1" s="15">
        <v>24</v>
      </c>
      <c r="KA1" s="15">
        <v>25</v>
      </c>
      <c r="KB1" s="15">
        <v>26</v>
      </c>
      <c r="KC1" s="15">
        <v>27</v>
      </c>
      <c r="KD1" s="16">
        <v>28</v>
      </c>
      <c r="KE1" s="17">
        <v>29</v>
      </c>
      <c r="KF1" s="15">
        <v>30</v>
      </c>
      <c r="KG1" s="26" t="s">
        <v>527</v>
      </c>
      <c r="KH1" s="15">
        <v>2</v>
      </c>
      <c r="KI1" s="15">
        <v>3</v>
      </c>
      <c r="KJ1" s="15">
        <v>4</v>
      </c>
      <c r="KK1" s="16">
        <v>5</v>
      </c>
      <c r="KL1" s="17">
        <v>6</v>
      </c>
      <c r="KM1" s="15">
        <v>7</v>
      </c>
      <c r="KN1" s="15">
        <v>8</v>
      </c>
      <c r="KO1" s="15">
        <v>9</v>
      </c>
      <c r="KP1" s="15">
        <v>10</v>
      </c>
      <c r="KQ1" s="15">
        <v>11</v>
      </c>
      <c r="KR1" s="16">
        <v>12</v>
      </c>
      <c r="KS1" s="17">
        <v>13</v>
      </c>
      <c r="KT1" s="15">
        <v>14</v>
      </c>
      <c r="KU1" s="15">
        <v>15</v>
      </c>
      <c r="KV1" s="15">
        <v>16</v>
      </c>
      <c r="KW1" s="15">
        <v>17</v>
      </c>
      <c r="KX1" s="15">
        <v>18</v>
      </c>
      <c r="KY1" s="16">
        <v>19</v>
      </c>
      <c r="KZ1" s="17">
        <v>20</v>
      </c>
      <c r="LA1" s="15">
        <v>21</v>
      </c>
      <c r="LB1" s="15">
        <v>22</v>
      </c>
      <c r="LC1" s="15">
        <v>23</v>
      </c>
      <c r="LD1" s="15">
        <v>24</v>
      </c>
      <c r="LE1" s="15">
        <v>25</v>
      </c>
      <c r="LF1" s="16">
        <v>26</v>
      </c>
      <c r="LG1" s="17">
        <v>27</v>
      </c>
      <c r="LH1" s="15">
        <v>28</v>
      </c>
      <c r="LI1" s="15">
        <v>29</v>
      </c>
      <c r="LJ1" s="15">
        <v>30</v>
      </c>
      <c r="LK1" s="15">
        <v>31</v>
      </c>
      <c r="LL1" s="27" t="s">
        <v>528</v>
      </c>
      <c r="LM1" s="16">
        <v>2</v>
      </c>
      <c r="LN1" s="17">
        <v>3</v>
      </c>
      <c r="LO1" s="15">
        <v>4</v>
      </c>
      <c r="LP1" s="15">
        <v>5</v>
      </c>
      <c r="LQ1" s="15">
        <v>6</v>
      </c>
      <c r="LR1" s="15">
        <v>7</v>
      </c>
      <c r="LS1" s="15">
        <v>8</v>
      </c>
      <c r="LT1" s="16">
        <v>9</v>
      </c>
      <c r="LU1" s="17">
        <v>10</v>
      </c>
      <c r="LV1" s="15">
        <v>11</v>
      </c>
      <c r="LW1" s="15">
        <v>12</v>
      </c>
      <c r="LX1" s="15">
        <v>13</v>
      </c>
      <c r="LY1" s="15">
        <v>14</v>
      </c>
      <c r="LZ1" s="15">
        <v>15</v>
      </c>
      <c r="MA1" s="16">
        <v>16</v>
      </c>
      <c r="MB1" s="17">
        <v>17</v>
      </c>
      <c r="MC1" s="15">
        <v>18</v>
      </c>
      <c r="MD1" s="15">
        <v>19</v>
      </c>
      <c r="ME1" s="15">
        <v>20</v>
      </c>
      <c r="MF1" s="15">
        <v>21</v>
      </c>
      <c r="MG1" s="15">
        <v>22</v>
      </c>
      <c r="MH1" s="16">
        <v>23</v>
      </c>
      <c r="MI1" s="17">
        <v>24</v>
      </c>
      <c r="MJ1" s="15">
        <v>25</v>
      </c>
      <c r="MK1" s="15">
        <v>26</v>
      </c>
      <c r="ML1" s="15">
        <v>27</v>
      </c>
      <c r="MM1" s="15">
        <v>28</v>
      </c>
      <c r="MN1" s="15">
        <v>29</v>
      </c>
      <c r="MO1" s="16">
        <v>30</v>
      </c>
      <c r="MP1" s="17">
        <v>31</v>
      </c>
      <c r="MQ1" s="28" t="s">
        <v>529</v>
      </c>
      <c r="MR1" s="15">
        <v>2</v>
      </c>
      <c r="MS1" s="15">
        <v>3</v>
      </c>
      <c r="MT1" s="15">
        <v>4</v>
      </c>
      <c r="MU1" s="15">
        <v>5</v>
      </c>
      <c r="MV1" s="16">
        <v>6</v>
      </c>
      <c r="MW1" s="17">
        <v>7</v>
      </c>
      <c r="MX1" s="15">
        <v>8</v>
      </c>
      <c r="MY1" s="15">
        <v>9</v>
      </c>
      <c r="MZ1" s="15">
        <v>10</v>
      </c>
      <c r="NA1" s="15">
        <v>11</v>
      </c>
      <c r="NB1" s="15">
        <v>12</v>
      </c>
      <c r="NC1" s="16">
        <v>13</v>
      </c>
      <c r="ND1" s="17">
        <v>14</v>
      </c>
      <c r="NE1" s="15">
        <v>15</v>
      </c>
      <c r="NF1" s="15">
        <v>16</v>
      </c>
      <c r="NG1" s="15">
        <v>17</v>
      </c>
      <c r="NH1" s="15">
        <v>18</v>
      </c>
      <c r="NI1" s="15">
        <v>19</v>
      </c>
      <c r="NJ1" s="16">
        <v>20</v>
      </c>
      <c r="NK1" s="17">
        <v>21</v>
      </c>
      <c r="NL1" s="15">
        <v>22</v>
      </c>
      <c r="NM1" s="15">
        <v>23</v>
      </c>
      <c r="NN1" s="15">
        <v>24</v>
      </c>
      <c r="NO1" s="15">
        <v>25</v>
      </c>
      <c r="NP1" s="15">
        <v>26</v>
      </c>
      <c r="NQ1" s="16">
        <v>27</v>
      </c>
      <c r="NR1" s="17">
        <v>28</v>
      </c>
    </row>
    <row r="2" spans="1:382" s="3" customFormat="1" ht="20.100000000000001" customHeight="1" x14ac:dyDescent="0.4">
      <c r="A2" s="29">
        <v>1</v>
      </c>
      <c r="B2" s="5">
        <v>30</v>
      </c>
      <c r="C2" s="5" t="s">
        <v>31</v>
      </c>
      <c r="D2" s="5" t="s">
        <v>32</v>
      </c>
      <c r="E2" s="5" t="s">
        <v>33</v>
      </c>
      <c r="F2" s="5" t="s">
        <v>32</v>
      </c>
      <c r="G2" s="5" t="s">
        <v>32</v>
      </c>
      <c r="H2" s="5" t="s">
        <v>32</v>
      </c>
      <c r="I2" s="8"/>
      <c r="J2" s="8"/>
      <c r="K2" s="8" t="str">
        <f>IF(OR(J2="",E2=""),"",J2+IFERROR(VLOOKUP(E2,リードタイム!$A$2:$C$9,3,FALSE),0))</f>
        <v/>
      </c>
      <c r="L2" s="5" t="s">
        <v>530</v>
      </c>
      <c r="M2" s="8"/>
      <c r="N2" s="8" t="str">
        <f>IF(OR(M2="",E2=""),"",M2+IFERROR(VLOOKUP(E2,リードタイム!$A$2:$D$9,4,FALSE),0))</f>
        <v/>
      </c>
      <c r="O2" s="5" t="s">
        <v>530</v>
      </c>
      <c r="P2" s="5" t="s">
        <v>530</v>
      </c>
      <c r="Q2" s="5">
        <v>0.17910354394169706</v>
      </c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</row>
    <row r="3" spans="1:382" s="3" customFormat="1" ht="20.100000000000001" customHeight="1" x14ac:dyDescent="0.4">
      <c r="A3" s="29">
        <v>1</v>
      </c>
      <c r="B3" s="5">
        <v>1927</v>
      </c>
      <c r="C3" s="5" t="s">
        <v>34</v>
      </c>
      <c r="D3" s="5" t="s">
        <v>35</v>
      </c>
      <c r="E3" s="5" t="s">
        <v>4</v>
      </c>
      <c r="F3" s="5" t="s">
        <v>32</v>
      </c>
      <c r="G3" s="5" t="s">
        <v>32</v>
      </c>
      <c r="H3" s="5" t="s">
        <v>32</v>
      </c>
      <c r="I3" s="8"/>
      <c r="J3" s="8"/>
      <c r="K3" s="8" t="str">
        <f>IF(OR(J3="",E3=""),"",J3+IFERROR(VLOOKUP(E3,リードタイム!$A$2:$C$9,3,FALSE),0))</f>
        <v/>
      </c>
      <c r="L3" s="5" t="s">
        <v>530</v>
      </c>
      <c r="M3" s="8"/>
      <c r="N3" s="8" t="str">
        <f>IF(OR(M3="",E3=""),"",M3+IFERROR(VLOOKUP(E3,リードタイム!$A$2:$D$9,4,FALSE),0))</f>
        <v/>
      </c>
      <c r="O3" s="5" t="s">
        <v>530</v>
      </c>
      <c r="P3" s="5" t="s">
        <v>530</v>
      </c>
      <c r="Q3" s="5" t="s">
        <v>32</v>
      </c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</row>
    <row r="4" spans="1:382" s="3" customFormat="1" ht="20.100000000000001" customHeight="1" x14ac:dyDescent="0.4">
      <c r="A4" s="29">
        <v>1</v>
      </c>
      <c r="B4" s="5">
        <v>29</v>
      </c>
      <c r="C4" s="5" t="s">
        <v>36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8"/>
      <c r="J4" s="8"/>
      <c r="K4" s="8" t="str">
        <f>IF(OR(J4="",E4=""),"",J4+IFERROR(VLOOKUP(E4,リードタイム!$A$2:$C$9,3,FALSE),0))</f>
        <v/>
      </c>
      <c r="L4" s="5" t="s">
        <v>531</v>
      </c>
      <c r="M4" s="8"/>
      <c r="N4" s="8" t="str">
        <f>IF(OR(M4="",E4=""),"",M4+IFERROR(VLOOKUP(E4,リードタイム!$A$2:$D$9,4,FALSE),0))</f>
        <v/>
      </c>
      <c r="O4" s="5" t="s">
        <v>531</v>
      </c>
      <c r="P4" s="5" t="s">
        <v>532</v>
      </c>
      <c r="Q4" s="5" t="s">
        <v>37</v>
      </c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</row>
    <row r="5" spans="1:382" s="3" customFormat="1" ht="20.100000000000001" customHeight="1" x14ac:dyDescent="0.4">
      <c r="A5" s="29">
        <v>2</v>
      </c>
      <c r="B5" s="5">
        <v>41</v>
      </c>
      <c r="C5" s="5" t="s">
        <v>36</v>
      </c>
      <c r="D5" s="5" t="s">
        <v>32</v>
      </c>
      <c r="E5" s="5" t="s">
        <v>32</v>
      </c>
      <c r="F5" s="5" t="s">
        <v>32</v>
      </c>
      <c r="G5" s="5" t="s">
        <v>32</v>
      </c>
      <c r="H5" s="5" t="s">
        <v>32</v>
      </c>
      <c r="I5" s="8"/>
      <c r="J5" s="8"/>
      <c r="K5" s="8" t="str">
        <f>IF(OR(J5="",E5=""),"",J5+IFERROR(VLOOKUP(E5,リードタイム!$A$2:$C$9,3,FALSE),0))</f>
        <v/>
      </c>
      <c r="L5" s="5" t="s">
        <v>531</v>
      </c>
      <c r="M5" s="8"/>
      <c r="N5" s="8" t="str">
        <f>IF(OR(M5="",E5=""),"",M5+IFERROR(VLOOKUP(E5,リードタイム!$A$2:$D$9,4,FALSE),0))</f>
        <v/>
      </c>
      <c r="O5" s="5" t="s">
        <v>531</v>
      </c>
      <c r="P5" s="5" t="s">
        <v>532</v>
      </c>
      <c r="Q5" s="5" t="s">
        <v>37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</row>
    <row r="6" spans="1:382" s="3" customFormat="1" ht="20.100000000000001" customHeight="1" x14ac:dyDescent="0.4">
      <c r="A6" s="29">
        <v>3</v>
      </c>
      <c r="B6" s="5">
        <v>47</v>
      </c>
      <c r="C6" s="5" t="s">
        <v>36</v>
      </c>
      <c r="D6" s="5" t="s">
        <v>32</v>
      </c>
      <c r="E6" s="5" t="s">
        <v>32</v>
      </c>
      <c r="F6" s="5" t="s">
        <v>32</v>
      </c>
      <c r="G6" s="5" t="s">
        <v>32</v>
      </c>
      <c r="H6" s="5" t="s">
        <v>32</v>
      </c>
      <c r="I6" s="8"/>
      <c r="J6" s="8"/>
      <c r="K6" s="8" t="str">
        <f>IF(OR(J6="",E6=""),"",J6+IFERROR(VLOOKUP(E6,リードタイム!$A$2:$C$9,3,FALSE),0))</f>
        <v/>
      </c>
      <c r="L6" s="5" t="s">
        <v>531</v>
      </c>
      <c r="M6" s="8"/>
      <c r="N6" s="8" t="str">
        <f>IF(OR(M6="",E6=""),"",M6+IFERROR(VLOOKUP(E6,リードタイム!$A$2:$D$9,4,FALSE),0))</f>
        <v/>
      </c>
      <c r="O6" s="5" t="s">
        <v>531</v>
      </c>
      <c r="P6" s="5" t="s">
        <v>532</v>
      </c>
      <c r="Q6" s="5" t="s">
        <v>38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  <c r="NC6" s="30"/>
      <c r="ND6" s="30"/>
      <c r="NE6" s="30"/>
      <c r="NF6" s="30"/>
      <c r="NG6" s="30"/>
      <c r="NH6" s="30"/>
      <c r="NI6" s="30"/>
      <c r="NJ6" s="30"/>
      <c r="NK6" s="30"/>
      <c r="NL6" s="30"/>
      <c r="NM6" s="30"/>
      <c r="NN6" s="30"/>
      <c r="NO6" s="30"/>
      <c r="NP6" s="30"/>
      <c r="NQ6" s="30"/>
      <c r="NR6" s="30"/>
    </row>
    <row r="7" spans="1:382" s="3" customFormat="1" ht="20.100000000000001" customHeight="1" x14ac:dyDescent="0.4">
      <c r="A7" s="29">
        <v>4</v>
      </c>
      <c r="B7" s="5">
        <v>70</v>
      </c>
      <c r="C7" s="5" t="s">
        <v>36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8"/>
      <c r="J7" s="8"/>
      <c r="K7" s="8" t="str">
        <f>IF(OR(J7="",E7=""),"",J7+IFERROR(VLOOKUP(E7,リードタイム!$A$2:$C$9,3,FALSE),0))</f>
        <v/>
      </c>
      <c r="L7" s="5" t="s">
        <v>531</v>
      </c>
      <c r="M7" s="8"/>
      <c r="N7" s="8" t="str">
        <f>IF(OR(M7="",E7=""),"",M7+IFERROR(VLOOKUP(E7,リードタイム!$A$2:$D$9,4,FALSE),0))</f>
        <v/>
      </c>
      <c r="O7" s="5" t="s">
        <v>531</v>
      </c>
      <c r="P7" s="5" t="s">
        <v>532</v>
      </c>
      <c r="Q7" s="5" t="s">
        <v>39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</row>
    <row r="8" spans="1:382" s="3" customFormat="1" ht="20.100000000000001" customHeight="1" x14ac:dyDescent="0.4">
      <c r="A8" s="29">
        <v>5</v>
      </c>
      <c r="B8" s="5">
        <v>41</v>
      </c>
      <c r="C8" s="5" t="s">
        <v>36</v>
      </c>
      <c r="D8" s="5" t="s">
        <v>32</v>
      </c>
      <c r="E8" s="5" t="s">
        <v>33</v>
      </c>
      <c r="F8" s="5" t="s">
        <v>32</v>
      </c>
      <c r="G8" s="5" t="s">
        <v>32</v>
      </c>
      <c r="H8" s="5" t="s">
        <v>32</v>
      </c>
      <c r="I8" s="8"/>
      <c r="J8" s="8"/>
      <c r="K8" s="8" t="str">
        <f>IF(OR(J8="",E8=""),"",J8+IFERROR(VLOOKUP(E8,リードタイム!$A$2:$C$9,3,FALSE),0))</f>
        <v/>
      </c>
      <c r="L8" s="5" t="s">
        <v>530</v>
      </c>
      <c r="M8" s="8"/>
      <c r="N8" s="8" t="str">
        <f>IF(OR(M8="",E8=""),"",M8+IFERROR(VLOOKUP(E8,リードタイム!$A$2:$D$9,4,FALSE),0))</f>
        <v/>
      </c>
      <c r="O8" s="5" t="s">
        <v>530</v>
      </c>
      <c r="P8" s="5" t="s">
        <v>530</v>
      </c>
      <c r="Q8" s="5">
        <v>0.99999386194752737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</row>
    <row r="9" spans="1:382" s="3" customFormat="1" ht="20.100000000000001" customHeight="1" x14ac:dyDescent="0.4">
      <c r="A9" s="29">
        <v>6</v>
      </c>
      <c r="B9" s="5">
        <v>40</v>
      </c>
      <c r="C9" s="5" t="s">
        <v>36</v>
      </c>
      <c r="D9" s="5">
        <v>159409</v>
      </c>
      <c r="E9" s="5" t="s">
        <v>33</v>
      </c>
      <c r="F9" s="5" t="s">
        <v>32</v>
      </c>
      <c r="G9" s="5" t="s">
        <v>32</v>
      </c>
      <c r="H9" s="5" t="s">
        <v>32</v>
      </c>
      <c r="I9" s="8"/>
      <c r="J9" s="8"/>
      <c r="K9" s="8" t="str">
        <f>IF(OR(J9="",E9=""),"",J9+IFERROR(VLOOKUP(E9,リードタイム!$A$2:$C$9,3,FALSE),0))</f>
        <v/>
      </c>
      <c r="L9" s="5" t="s">
        <v>530</v>
      </c>
      <c r="M9" s="8"/>
      <c r="N9" s="8" t="str">
        <f>IF(OR(M9="",E9=""),"",M9+IFERROR(VLOOKUP(E9,リードタイム!$A$2:$D$9,4,FALSE),0))</f>
        <v/>
      </c>
      <c r="O9" s="5" t="s">
        <v>530</v>
      </c>
      <c r="P9" s="5" t="s">
        <v>530</v>
      </c>
      <c r="Q9" s="5">
        <v>1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</row>
    <row r="10" spans="1:382" s="3" customFormat="1" ht="20.100000000000001" customHeight="1" x14ac:dyDescent="0.4">
      <c r="A10" s="29">
        <v>1</v>
      </c>
      <c r="B10" s="5">
        <v>1613</v>
      </c>
      <c r="C10" s="5" t="s">
        <v>40</v>
      </c>
      <c r="D10" s="5" t="s">
        <v>41</v>
      </c>
      <c r="E10" s="5" t="s">
        <v>6</v>
      </c>
      <c r="F10" s="5" t="s">
        <v>32</v>
      </c>
      <c r="G10" s="5" t="s">
        <v>32</v>
      </c>
      <c r="H10" s="5" t="s">
        <v>32</v>
      </c>
      <c r="I10" s="8">
        <v>46141.625</v>
      </c>
      <c r="J10" s="8"/>
      <c r="K10" s="8" t="str">
        <f>IF(OR(J10="",E10=""),"",J10+IFERROR(VLOOKUP(E10,リードタイム!$A$2:$C$9,3,FALSE),0))</f>
        <v/>
      </c>
      <c r="L10" s="5" t="s">
        <v>531</v>
      </c>
      <c r="M10" s="8"/>
      <c r="N10" s="8" t="str">
        <f>IF(OR(M10="",E10=""),"",M10+IFERROR(VLOOKUP(E10,リードタイム!$A$2:$D$9,4,FALSE),0))</f>
        <v/>
      </c>
      <c r="O10" s="5" t="s">
        <v>531</v>
      </c>
      <c r="P10" s="5" t="s">
        <v>532</v>
      </c>
      <c r="Q10" s="5" t="s">
        <v>42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</row>
    <row r="11" spans="1:382" s="3" customFormat="1" ht="20.100000000000001" customHeight="1" x14ac:dyDescent="0.4">
      <c r="A11" s="29">
        <v>1</v>
      </c>
      <c r="B11" s="5">
        <v>2000</v>
      </c>
      <c r="C11" s="5" t="s">
        <v>43</v>
      </c>
      <c r="D11" s="5" t="s">
        <v>41</v>
      </c>
      <c r="E11" s="5" t="s">
        <v>6</v>
      </c>
      <c r="F11" s="5" t="s">
        <v>32</v>
      </c>
      <c r="G11" s="5" t="s">
        <v>32</v>
      </c>
      <c r="H11" s="5" t="s">
        <v>32</v>
      </c>
      <c r="I11" s="8">
        <v>46156.625</v>
      </c>
      <c r="J11" s="8"/>
      <c r="K11" s="8" t="str">
        <f>IF(OR(J11="",E11=""),"",J11+IFERROR(VLOOKUP(E11,リードタイム!$A$2:$C$9,3,FALSE),0))</f>
        <v/>
      </c>
      <c r="L11" s="5" t="s">
        <v>531</v>
      </c>
      <c r="M11" s="8"/>
      <c r="N11" s="8" t="str">
        <f>IF(OR(M11="",E11=""),"",M11+IFERROR(VLOOKUP(E11,リードタイム!$A$2:$D$9,4,FALSE),0))</f>
        <v/>
      </c>
      <c r="O11" s="5" t="s">
        <v>531</v>
      </c>
      <c r="P11" s="5" t="s">
        <v>532</v>
      </c>
      <c r="Q11" s="5" t="s">
        <v>44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</row>
    <row r="12" spans="1:382" s="3" customFormat="1" ht="20.100000000000001" customHeight="1" x14ac:dyDescent="0.4">
      <c r="A12" s="29">
        <v>1</v>
      </c>
      <c r="B12" s="5">
        <v>2001</v>
      </c>
      <c r="C12" s="5" t="s">
        <v>45</v>
      </c>
      <c r="D12" s="5" t="s">
        <v>41</v>
      </c>
      <c r="E12" s="5" t="s">
        <v>6</v>
      </c>
      <c r="F12" s="5" t="s">
        <v>32</v>
      </c>
      <c r="G12" s="5" t="s">
        <v>32</v>
      </c>
      <c r="H12" s="5" t="s">
        <v>32</v>
      </c>
      <c r="I12" s="8">
        <v>46156.625</v>
      </c>
      <c r="J12" s="8"/>
      <c r="K12" s="8" t="str">
        <f>IF(OR(J12="",E12=""),"",J12+IFERROR(VLOOKUP(E12,リードタイム!$A$2:$C$9,3,FALSE),0))</f>
        <v/>
      </c>
      <c r="L12" s="5" t="s">
        <v>531</v>
      </c>
      <c r="M12" s="8"/>
      <c r="N12" s="8" t="str">
        <f>IF(OR(M12="",E12=""),"",M12+IFERROR(VLOOKUP(E12,リードタイム!$A$2:$D$9,4,FALSE),0))</f>
        <v/>
      </c>
      <c r="O12" s="5" t="s">
        <v>531</v>
      </c>
      <c r="P12" s="5" t="s">
        <v>532</v>
      </c>
      <c r="Q12" s="5" t="s">
        <v>44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</row>
    <row r="13" spans="1:382" s="3" customFormat="1" ht="20.100000000000001" customHeight="1" x14ac:dyDescent="0.4">
      <c r="A13" s="29">
        <v>1</v>
      </c>
      <c r="B13" s="5">
        <v>1974</v>
      </c>
      <c r="C13" s="5" t="s">
        <v>46</v>
      </c>
      <c r="D13" s="5" t="s">
        <v>47</v>
      </c>
      <c r="E13" s="5" t="s">
        <v>4</v>
      </c>
      <c r="F13" s="5" t="s">
        <v>32</v>
      </c>
      <c r="G13" s="5" t="s">
        <v>32</v>
      </c>
      <c r="H13" s="5" t="s">
        <v>32</v>
      </c>
      <c r="I13" s="8"/>
      <c r="J13" s="8"/>
      <c r="K13" s="8" t="str">
        <f>IF(OR(J13="",E13=""),"",J13+IFERROR(VLOOKUP(E13,リードタイム!$A$2:$C$9,3,FALSE),0))</f>
        <v/>
      </c>
      <c r="L13" s="5" t="s">
        <v>530</v>
      </c>
      <c r="M13" s="8"/>
      <c r="N13" s="8" t="str">
        <f>IF(OR(M13="",E13=""),"",M13+IFERROR(VLOOKUP(E13,リードタイム!$A$2:$D$9,4,FALSE),0))</f>
        <v/>
      </c>
      <c r="O13" s="5" t="s">
        <v>530</v>
      </c>
      <c r="P13" s="5" t="s">
        <v>530</v>
      </c>
      <c r="Q13" s="5" t="s">
        <v>32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</row>
    <row r="14" spans="1:382" s="3" customFormat="1" ht="20.100000000000001" customHeight="1" x14ac:dyDescent="0.4">
      <c r="A14" s="29">
        <v>2</v>
      </c>
      <c r="B14" s="5">
        <v>1203</v>
      </c>
      <c r="C14" s="5" t="s">
        <v>46</v>
      </c>
      <c r="D14" s="5" t="s">
        <v>48</v>
      </c>
      <c r="E14" s="5" t="s">
        <v>12</v>
      </c>
      <c r="F14" s="5" t="s">
        <v>32</v>
      </c>
      <c r="G14" s="5" t="s">
        <v>32</v>
      </c>
      <c r="H14" s="5" t="s">
        <v>32</v>
      </c>
      <c r="I14" s="8">
        <v>46084.625</v>
      </c>
      <c r="J14" s="8"/>
      <c r="K14" s="8" t="str">
        <f>IF(OR(J14="",E14=""),"",J14+IFERROR(VLOOKUP(E14,リードタイム!$A$2:$C$9,3,FALSE),0))</f>
        <v/>
      </c>
      <c r="L14" s="5" t="s">
        <v>531</v>
      </c>
      <c r="M14" s="8"/>
      <c r="N14" s="8" t="str">
        <f>IF(OR(M14="",E14=""),"",M14+IFERROR(VLOOKUP(E14,リードタイム!$A$2:$D$9,4,FALSE),0))</f>
        <v/>
      </c>
      <c r="O14" s="5" t="s">
        <v>531</v>
      </c>
      <c r="P14" s="5" t="s">
        <v>533</v>
      </c>
      <c r="Q14" s="5" t="s">
        <v>32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</row>
    <row r="15" spans="1:382" s="3" customFormat="1" ht="20.100000000000001" customHeight="1" x14ac:dyDescent="0.4">
      <c r="A15" s="29">
        <v>1</v>
      </c>
      <c r="B15" s="5">
        <v>1792</v>
      </c>
      <c r="C15" s="5" t="s">
        <v>49</v>
      </c>
      <c r="D15" s="5" t="s">
        <v>50</v>
      </c>
      <c r="E15" s="5" t="s">
        <v>4</v>
      </c>
      <c r="F15" s="5" t="s">
        <v>32</v>
      </c>
      <c r="G15" s="5" t="s">
        <v>32</v>
      </c>
      <c r="H15" s="5" t="s">
        <v>32</v>
      </c>
      <c r="I15" s="8">
        <v>45970.625</v>
      </c>
      <c r="J15" s="8"/>
      <c r="K15" s="8" t="str">
        <f>IF(OR(J15="",E15=""),"",J15+IFERROR(VLOOKUP(E15,リードタイム!$A$2:$C$9,3,FALSE),0))</f>
        <v/>
      </c>
      <c r="L15" s="5" t="s">
        <v>531</v>
      </c>
      <c r="M15" s="8"/>
      <c r="N15" s="8" t="str">
        <f>IF(OR(M15="",E15=""),"",M15+IFERROR(VLOOKUP(E15,リードタイム!$A$2:$D$9,4,FALSE),0))</f>
        <v/>
      </c>
      <c r="O15" s="5" t="s">
        <v>531</v>
      </c>
      <c r="P15" s="5" t="s">
        <v>533</v>
      </c>
      <c r="Q15" s="5" t="s">
        <v>51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</row>
    <row r="16" spans="1:382" s="3" customFormat="1" ht="20.100000000000001" customHeight="1" x14ac:dyDescent="0.4">
      <c r="A16" s="29">
        <v>1</v>
      </c>
      <c r="B16" s="5">
        <v>1919</v>
      </c>
      <c r="C16" s="5" t="s">
        <v>52</v>
      </c>
      <c r="D16" s="5" t="s">
        <v>53</v>
      </c>
      <c r="E16" s="5" t="s">
        <v>4</v>
      </c>
      <c r="F16" s="5" t="s">
        <v>32</v>
      </c>
      <c r="G16" s="5" t="s">
        <v>32</v>
      </c>
      <c r="H16" s="5" t="s">
        <v>32</v>
      </c>
      <c r="I16" s="8"/>
      <c r="J16" s="8"/>
      <c r="K16" s="8" t="str">
        <f>IF(OR(J16="",E16=""),"",J16+IFERROR(VLOOKUP(E16,リードタイム!$A$2:$C$9,3,FALSE),0))</f>
        <v/>
      </c>
      <c r="L16" s="5" t="s">
        <v>531</v>
      </c>
      <c r="M16" s="8"/>
      <c r="N16" s="8" t="str">
        <f>IF(OR(M16="",E16=""),"",M16+IFERROR(VLOOKUP(E16,リードタイム!$A$2:$D$9,4,FALSE),0))</f>
        <v/>
      </c>
      <c r="O16" s="5" t="s">
        <v>531</v>
      </c>
      <c r="P16" s="5" t="s">
        <v>533</v>
      </c>
      <c r="Q16" s="5" t="s">
        <v>32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</row>
    <row r="17" spans="1:382" s="3" customFormat="1" ht="20.100000000000001" customHeight="1" x14ac:dyDescent="0.4">
      <c r="A17" s="29">
        <v>2</v>
      </c>
      <c r="B17" s="5">
        <v>1927</v>
      </c>
      <c r="C17" s="5" t="s">
        <v>52</v>
      </c>
      <c r="D17" s="5" t="s">
        <v>54</v>
      </c>
      <c r="E17" s="5" t="s">
        <v>4</v>
      </c>
      <c r="F17" s="5" t="s">
        <v>32</v>
      </c>
      <c r="G17" s="5" t="s">
        <v>32</v>
      </c>
      <c r="H17" s="5" t="s">
        <v>32</v>
      </c>
      <c r="I17" s="8"/>
      <c r="J17" s="8"/>
      <c r="K17" s="8" t="str">
        <f>IF(OR(J17="",E17=""),"",J17+IFERROR(VLOOKUP(E17,リードタイム!$A$2:$C$9,3,FALSE),0))</f>
        <v/>
      </c>
      <c r="L17" s="5" t="s">
        <v>531</v>
      </c>
      <c r="M17" s="8"/>
      <c r="N17" s="8" t="str">
        <f>IF(OR(M17="",E17=""),"",M17+IFERROR(VLOOKUP(E17,リードタイム!$A$2:$D$9,4,FALSE),0))</f>
        <v/>
      </c>
      <c r="O17" s="5" t="s">
        <v>531</v>
      </c>
      <c r="P17" s="5" t="s">
        <v>532</v>
      </c>
      <c r="Q17" s="5" t="s">
        <v>32</v>
      </c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</row>
    <row r="18" spans="1:382" s="3" customFormat="1" ht="20.100000000000001" customHeight="1" x14ac:dyDescent="0.4">
      <c r="A18" s="29">
        <v>1</v>
      </c>
      <c r="B18" s="5">
        <v>1919</v>
      </c>
      <c r="C18" s="5" t="s">
        <v>55</v>
      </c>
      <c r="D18" s="5" t="s">
        <v>56</v>
      </c>
      <c r="E18" s="5" t="s">
        <v>4</v>
      </c>
      <c r="F18" s="5" t="s">
        <v>32</v>
      </c>
      <c r="G18" s="5" t="s">
        <v>32</v>
      </c>
      <c r="H18" s="5" t="s">
        <v>32</v>
      </c>
      <c r="I18" s="8">
        <v>45988.625</v>
      </c>
      <c r="J18" s="8"/>
      <c r="K18" s="8" t="str">
        <f>IF(OR(J18="",E18=""),"",J18+IFERROR(VLOOKUP(E18,リードタイム!$A$2:$C$9,3,FALSE),0))</f>
        <v/>
      </c>
      <c r="L18" s="5" t="s">
        <v>531</v>
      </c>
      <c r="M18" s="8"/>
      <c r="N18" s="8" t="str">
        <f>IF(OR(M18="",E18=""),"",M18+IFERROR(VLOOKUP(E18,リードタイム!$A$2:$D$9,4,FALSE),0))</f>
        <v/>
      </c>
      <c r="O18" s="5" t="s">
        <v>531</v>
      </c>
      <c r="P18" s="5" t="s">
        <v>532</v>
      </c>
      <c r="Q18" s="5" t="s">
        <v>32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</row>
    <row r="19" spans="1:382" s="3" customFormat="1" ht="20.100000000000001" customHeight="1" x14ac:dyDescent="0.4">
      <c r="A19" s="29">
        <v>1</v>
      </c>
      <c r="B19" s="5">
        <v>1786</v>
      </c>
      <c r="C19" s="5" t="s">
        <v>57</v>
      </c>
      <c r="D19" s="5" t="s">
        <v>58</v>
      </c>
      <c r="E19" s="5" t="s">
        <v>4</v>
      </c>
      <c r="F19" s="5" t="s">
        <v>32</v>
      </c>
      <c r="G19" s="5" t="s">
        <v>32</v>
      </c>
      <c r="H19" s="5" t="s">
        <v>32</v>
      </c>
      <c r="I19" s="8"/>
      <c r="J19" s="8"/>
      <c r="K19" s="8" t="str">
        <f>IF(OR(J19="",E19=""),"",J19+IFERROR(VLOOKUP(E19,リードタイム!$A$2:$C$9,3,FALSE),0))</f>
        <v/>
      </c>
      <c r="L19" s="5" t="s">
        <v>530</v>
      </c>
      <c r="M19" s="8"/>
      <c r="N19" s="8" t="str">
        <f>IF(OR(M19="",E19=""),"",M19+IFERROR(VLOOKUP(E19,リードタイム!$A$2:$D$9,4,FALSE),0))</f>
        <v/>
      </c>
      <c r="O19" s="5" t="s">
        <v>530</v>
      </c>
      <c r="P19" s="5" t="s">
        <v>530</v>
      </c>
      <c r="Q19" s="5" t="s">
        <v>59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</row>
    <row r="20" spans="1:382" s="3" customFormat="1" ht="20.100000000000001" customHeight="1" x14ac:dyDescent="0.4">
      <c r="A20" s="29">
        <v>1</v>
      </c>
      <c r="B20" s="5">
        <v>1901</v>
      </c>
      <c r="C20" s="5" t="s">
        <v>60</v>
      </c>
      <c r="D20" s="5" t="s">
        <v>41</v>
      </c>
      <c r="E20" s="5" t="s">
        <v>6</v>
      </c>
      <c r="F20" s="5" t="s">
        <v>32</v>
      </c>
      <c r="G20" s="5" t="s">
        <v>32</v>
      </c>
      <c r="H20" s="5" t="s">
        <v>32</v>
      </c>
      <c r="I20" s="8">
        <v>45988.625</v>
      </c>
      <c r="J20" s="8"/>
      <c r="K20" s="8" t="str">
        <f>IF(OR(J20="",E20=""),"",J20+IFERROR(VLOOKUP(E20,リードタイム!$A$2:$C$9,3,FALSE),0))</f>
        <v/>
      </c>
      <c r="L20" s="5" t="s">
        <v>531</v>
      </c>
      <c r="M20" s="8"/>
      <c r="N20" s="8" t="str">
        <f>IF(OR(M20="",E20=""),"",M20+IFERROR(VLOOKUP(E20,リードタイム!$A$2:$D$9,4,FALSE),0))</f>
        <v/>
      </c>
      <c r="O20" s="5" t="s">
        <v>531</v>
      </c>
      <c r="P20" s="5" t="s">
        <v>532</v>
      </c>
      <c r="Q20" s="5" t="s">
        <v>32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0"/>
      <c r="NO20" s="30"/>
      <c r="NP20" s="30"/>
      <c r="NQ20" s="30"/>
      <c r="NR20" s="30"/>
    </row>
    <row r="21" spans="1:382" s="3" customFormat="1" ht="20.100000000000001" customHeight="1" x14ac:dyDescent="0.4">
      <c r="A21" s="29">
        <v>2</v>
      </c>
      <c r="B21" s="5">
        <v>1902</v>
      </c>
      <c r="C21" s="5" t="s">
        <v>60</v>
      </c>
      <c r="D21" s="5" t="s">
        <v>61</v>
      </c>
      <c r="E21" s="5" t="s">
        <v>12</v>
      </c>
      <c r="F21" s="5" t="s">
        <v>32</v>
      </c>
      <c r="G21" s="5" t="s">
        <v>32</v>
      </c>
      <c r="H21" s="5" t="s">
        <v>32</v>
      </c>
      <c r="I21" s="8">
        <v>45988.625</v>
      </c>
      <c r="J21" s="8"/>
      <c r="K21" s="8" t="str">
        <f>IF(OR(J21="",E21=""),"",J21+IFERROR(VLOOKUP(E21,リードタイム!$A$2:$C$9,3,FALSE),0))</f>
        <v/>
      </c>
      <c r="L21" s="5" t="s">
        <v>531</v>
      </c>
      <c r="M21" s="8"/>
      <c r="N21" s="8" t="str">
        <f>IF(OR(M21="",E21=""),"",M21+IFERROR(VLOOKUP(E21,リードタイム!$A$2:$D$9,4,FALSE),0))</f>
        <v/>
      </c>
      <c r="O21" s="5" t="s">
        <v>531</v>
      </c>
      <c r="P21" s="5" t="s">
        <v>532</v>
      </c>
      <c r="Q21" s="5" t="s">
        <v>32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</row>
    <row r="22" spans="1:382" s="3" customFormat="1" ht="20.100000000000001" customHeight="1" x14ac:dyDescent="0.4">
      <c r="A22" s="29">
        <v>3</v>
      </c>
      <c r="B22" s="5">
        <v>1903</v>
      </c>
      <c r="C22" s="5" t="s">
        <v>60</v>
      </c>
      <c r="D22" s="5" t="s">
        <v>62</v>
      </c>
      <c r="E22" s="5" t="s">
        <v>8</v>
      </c>
      <c r="F22" s="5" t="s">
        <v>32</v>
      </c>
      <c r="G22" s="5" t="s">
        <v>32</v>
      </c>
      <c r="H22" s="5" t="s">
        <v>32</v>
      </c>
      <c r="I22" s="8">
        <v>45988.625</v>
      </c>
      <c r="J22" s="8"/>
      <c r="K22" s="8" t="str">
        <f>IF(OR(J22="",E22=""),"",J22+IFERROR(VLOOKUP(E22,リードタイム!$A$2:$C$9,3,FALSE),0))</f>
        <v/>
      </c>
      <c r="L22" s="5" t="s">
        <v>531</v>
      </c>
      <c r="M22" s="8"/>
      <c r="N22" s="8" t="str">
        <f>IF(OR(M22="",E22=""),"",M22+IFERROR(VLOOKUP(E22,リードタイム!$A$2:$D$9,4,FALSE),0))</f>
        <v/>
      </c>
      <c r="O22" s="5" t="s">
        <v>531</v>
      </c>
      <c r="P22" s="5" t="s">
        <v>532</v>
      </c>
      <c r="Q22" s="5" t="s">
        <v>32</v>
      </c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0"/>
      <c r="NO22" s="30"/>
      <c r="NP22" s="30"/>
      <c r="NQ22" s="30"/>
      <c r="NR22" s="30"/>
    </row>
    <row r="23" spans="1:382" s="3" customFormat="1" ht="20.100000000000001" customHeight="1" x14ac:dyDescent="0.4">
      <c r="A23" s="29">
        <v>4</v>
      </c>
      <c r="B23" s="5">
        <v>1924</v>
      </c>
      <c r="C23" s="5" t="s">
        <v>60</v>
      </c>
      <c r="D23" s="5" t="s">
        <v>63</v>
      </c>
      <c r="E23" s="5" t="s">
        <v>16</v>
      </c>
      <c r="F23" s="5" t="s">
        <v>32</v>
      </c>
      <c r="G23" s="5" t="s">
        <v>32</v>
      </c>
      <c r="H23" s="5" t="s">
        <v>32</v>
      </c>
      <c r="I23" s="8">
        <v>45990.625</v>
      </c>
      <c r="J23" s="8"/>
      <c r="K23" s="8" t="str">
        <f>IF(OR(J23="",E23=""),"",J23+IFERROR(VLOOKUP(E23,リードタイム!$A$2:$C$9,3,FALSE),0))</f>
        <v/>
      </c>
      <c r="L23" s="5" t="s">
        <v>531</v>
      </c>
      <c r="M23" s="8"/>
      <c r="N23" s="8" t="str">
        <f>IF(OR(M23="",E23=""),"",M23+IFERROR(VLOOKUP(E23,リードタイム!$A$2:$D$9,4,FALSE),0))</f>
        <v/>
      </c>
      <c r="O23" s="5" t="s">
        <v>531</v>
      </c>
      <c r="P23" s="5" t="s">
        <v>532</v>
      </c>
      <c r="Q23" s="5" t="s">
        <v>32</v>
      </c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</row>
    <row r="24" spans="1:382" s="3" customFormat="1" ht="20.100000000000001" customHeight="1" x14ac:dyDescent="0.4">
      <c r="A24" s="29">
        <v>5</v>
      </c>
      <c r="B24" s="5">
        <v>1900</v>
      </c>
      <c r="C24" s="5" t="s">
        <v>60</v>
      </c>
      <c r="D24" s="5" t="s">
        <v>64</v>
      </c>
      <c r="E24" s="5" t="s">
        <v>10</v>
      </c>
      <c r="F24" s="5" t="s">
        <v>32</v>
      </c>
      <c r="G24" s="5" t="s">
        <v>32</v>
      </c>
      <c r="H24" s="5" t="s">
        <v>32</v>
      </c>
      <c r="I24" s="8">
        <v>45960.625</v>
      </c>
      <c r="J24" s="8"/>
      <c r="K24" s="8" t="str">
        <f>IF(OR(J24="",E24=""),"",J24+IFERROR(VLOOKUP(E24,リードタイム!$A$2:$C$9,3,FALSE),0))</f>
        <v/>
      </c>
      <c r="L24" s="5" t="s">
        <v>531</v>
      </c>
      <c r="M24" s="8"/>
      <c r="N24" s="8" t="str">
        <f>IF(OR(M24="",E24=""),"",M24+IFERROR(VLOOKUP(E24,リードタイム!$A$2:$D$9,4,FALSE),0))</f>
        <v/>
      </c>
      <c r="O24" s="5" t="s">
        <v>531</v>
      </c>
      <c r="P24" s="5" t="s">
        <v>532</v>
      </c>
      <c r="Q24" s="5" t="s">
        <v>65</v>
      </c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0"/>
      <c r="NO24" s="30"/>
      <c r="NP24" s="30"/>
      <c r="NQ24" s="30"/>
      <c r="NR24" s="30"/>
    </row>
    <row r="25" spans="1:382" s="3" customFormat="1" ht="20.100000000000001" customHeight="1" x14ac:dyDescent="0.4">
      <c r="A25" s="29">
        <v>6</v>
      </c>
      <c r="B25" s="5">
        <v>1990</v>
      </c>
      <c r="C25" s="5" t="s">
        <v>60</v>
      </c>
      <c r="D25" s="5" t="s">
        <v>66</v>
      </c>
      <c r="E25" s="5" t="s">
        <v>4</v>
      </c>
      <c r="F25" s="5" t="s">
        <v>32</v>
      </c>
      <c r="G25" s="5" t="s">
        <v>32</v>
      </c>
      <c r="H25" s="5" t="s">
        <v>32</v>
      </c>
      <c r="I25" s="8"/>
      <c r="J25" s="8"/>
      <c r="K25" s="8" t="str">
        <f>IF(OR(J25="",E25=""),"",J25+IFERROR(VLOOKUP(E25,リードタイム!$A$2:$C$9,3,FALSE),0))</f>
        <v/>
      </c>
      <c r="L25" s="5" t="s">
        <v>530</v>
      </c>
      <c r="M25" s="8"/>
      <c r="N25" s="8" t="str">
        <f>IF(OR(M25="",E25=""),"",M25+IFERROR(VLOOKUP(E25,リードタイム!$A$2:$D$9,4,FALSE),0))</f>
        <v/>
      </c>
      <c r="O25" s="5" t="s">
        <v>530</v>
      </c>
      <c r="P25" s="5" t="s">
        <v>530</v>
      </c>
      <c r="Q25" s="5" t="s">
        <v>67</v>
      </c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30"/>
    </row>
    <row r="26" spans="1:382" s="3" customFormat="1" ht="20.100000000000001" customHeight="1" x14ac:dyDescent="0.4">
      <c r="A26" s="29">
        <v>1</v>
      </c>
      <c r="B26" s="5">
        <v>1927</v>
      </c>
      <c r="C26" s="5" t="s">
        <v>68</v>
      </c>
      <c r="D26" s="5" t="s">
        <v>69</v>
      </c>
      <c r="E26" s="5" t="s">
        <v>4</v>
      </c>
      <c r="F26" s="5" t="s">
        <v>32</v>
      </c>
      <c r="G26" s="5" t="s">
        <v>32</v>
      </c>
      <c r="H26" s="5" t="s">
        <v>32</v>
      </c>
      <c r="I26" s="8"/>
      <c r="J26" s="8"/>
      <c r="K26" s="8" t="str">
        <f>IF(OR(J26="",E26=""),"",J26+IFERROR(VLOOKUP(E26,リードタイム!$A$2:$C$9,3,FALSE),0))</f>
        <v/>
      </c>
      <c r="L26" s="5" t="s">
        <v>531</v>
      </c>
      <c r="M26" s="8"/>
      <c r="N26" s="8" t="str">
        <f>IF(OR(M26="",E26=""),"",M26+IFERROR(VLOOKUP(E26,リードタイム!$A$2:$D$9,4,FALSE),0))</f>
        <v/>
      </c>
      <c r="O26" s="5" t="s">
        <v>531</v>
      </c>
      <c r="P26" s="5" t="s">
        <v>533</v>
      </c>
      <c r="Q26" s="5" t="s">
        <v>70</v>
      </c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0"/>
      <c r="MI26" s="30"/>
      <c r="MJ26" s="30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0"/>
      <c r="NE26" s="30"/>
      <c r="NF26" s="30"/>
      <c r="NG26" s="30"/>
      <c r="NH26" s="30"/>
      <c r="NI26" s="30"/>
      <c r="NJ26" s="30"/>
      <c r="NK26" s="30"/>
      <c r="NL26" s="30"/>
      <c r="NM26" s="30"/>
      <c r="NN26" s="30"/>
      <c r="NO26" s="30"/>
      <c r="NP26" s="30"/>
      <c r="NQ26" s="30"/>
      <c r="NR26" s="30"/>
    </row>
    <row r="27" spans="1:382" s="3" customFormat="1" ht="20.100000000000001" customHeight="1" x14ac:dyDescent="0.4">
      <c r="A27" s="29">
        <v>1</v>
      </c>
      <c r="B27" s="5">
        <v>713</v>
      </c>
      <c r="C27" s="5" t="s">
        <v>71</v>
      </c>
      <c r="D27" s="5" t="s">
        <v>72</v>
      </c>
      <c r="E27" s="5" t="s">
        <v>4</v>
      </c>
      <c r="F27" s="5" t="s">
        <v>32</v>
      </c>
      <c r="G27" s="5" t="s">
        <v>32</v>
      </c>
      <c r="H27" s="5" t="s">
        <v>32</v>
      </c>
      <c r="I27" s="8"/>
      <c r="J27" s="8"/>
      <c r="K27" s="8" t="str">
        <f>IF(OR(J27="",E27=""),"",J27+IFERROR(VLOOKUP(E27,リードタイム!$A$2:$C$9,3,FALSE),0))</f>
        <v/>
      </c>
      <c r="L27" s="5" t="s">
        <v>530</v>
      </c>
      <c r="M27" s="8"/>
      <c r="N27" s="8" t="str">
        <f>IF(OR(M27="",E27=""),"",M27+IFERROR(VLOOKUP(E27,リードタイム!$A$2:$D$9,4,FALSE),0))</f>
        <v/>
      </c>
      <c r="O27" s="5" t="s">
        <v>530</v>
      </c>
      <c r="P27" s="5" t="s">
        <v>530</v>
      </c>
      <c r="Q27" s="5" t="s">
        <v>32</v>
      </c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</row>
    <row r="28" spans="1:382" s="3" customFormat="1" ht="20.100000000000001" customHeight="1" x14ac:dyDescent="0.4">
      <c r="A28" s="29">
        <v>2</v>
      </c>
      <c r="B28" s="5">
        <v>714</v>
      </c>
      <c r="C28" s="5" t="s">
        <v>71</v>
      </c>
      <c r="D28" s="5" t="s">
        <v>73</v>
      </c>
      <c r="E28" s="5" t="s">
        <v>4</v>
      </c>
      <c r="F28" s="5" t="s">
        <v>32</v>
      </c>
      <c r="G28" s="5" t="s">
        <v>32</v>
      </c>
      <c r="H28" s="5" t="s">
        <v>32</v>
      </c>
      <c r="I28" s="8"/>
      <c r="J28" s="8"/>
      <c r="K28" s="8" t="str">
        <f>IF(OR(J28="",E28=""),"",J28+IFERROR(VLOOKUP(E28,リードタイム!$A$2:$C$9,3,FALSE),0))</f>
        <v/>
      </c>
      <c r="L28" s="5" t="s">
        <v>530</v>
      </c>
      <c r="M28" s="8"/>
      <c r="N28" s="8" t="str">
        <f>IF(OR(M28="",E28=""),"",M28+IFERROR(VLOOKUP(E28,リードタイム!$A$2:$D$9,4,FALSE),0))</f>
        <v/>
      </c>
      <c r="O28" s="5" t="s">
        <v>530</v>
      </c>
      <c r="P28" s="5" t="s">
        <v>530</v>
      </c>
      <c r="Q28" s="5" t="s">
        <v>32</v>
      </c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</row>
    <row r="29" spans="1:382" s="3" customFormat="1" ht="20.100000000000001" customHeight="1" x14ac:dyDescent="0.4">
      <c r="A29" s="29">
        <v>3</v>
      </c>
      <c r="B29" s="5">
        <v>717</v>
      </c>
      <c r="C29" s="5" t="s">
        <v>71</v>
      </c>
      <c r="D29" s="5" t="s">
        <v>74</v>
      </c>
      <c r="E29" s="5" t="s">
        <v>4</v>
      </c>
      <c r="F29" s="5" t="s">
        <v>32</v>
      </c>
      <c r="G29" s="5" t="s">
        <v>32</v>
      </c>
      <c r="H29" s="5" t="s">
        <v>32</v>
      </c>
      <c r="I29" s="8"/>
      <c r="J29" s="8"/>
      <c r="K29" s="8" t="str">
        <f>IF(OR(J29="",E29=""),"",J29+IFERROR(VLOOKUP(E29,リードタイム!$A$2:$C$9,3,FALSE),0))</f>
        <v/>
      </c>
      <c r="L29" s="5" t="s">
        <v>530</v>
      </c>
      <c r="M29" s="8"/>
      <c r="N29" s="8" t="str">
        <f>IF(OR(M29="",E29=""),"",M29+IFERROR(VLOOKUP(E29,リードタイム!$A$2:$D$9,4,FALSE),0))</f>
        <v/>
      </c>
      <c r="O29" s="5" t="s">
        <v>530</v>
      </c>
      <c r="P29" s="5" t="s">
        <v>530</v>
      </c>
      <c r="Q29" s="5" t="s">
        <v>32</v>
      </c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0"/>
      <c r="NO29" s="30"/>
      <c r="NP29" s="30"/>
      <c r="NQ29" s="30"/>
      <c r="NR29" s="30"/>
    </row>
    <row r="30" spans="1:382" s="3" customFormat="1" ht="20.100000000000001" customHeight="1" x14ac:dyDescent="0.4">
      <c r="A30" s="29">
        <v>1</v>
      </c>
      <c r="B30" s="5">
        <v>404</v>
      </c>
      <c r="C30" s="5" t="s">
        <v>75</v>
      </c>
      <c r="D30" s="5" t="s">
        <v>76</v>
      </c>
      <c r="E30" s="5" t="s">
        <v>6</v>
      </c>
      <c r="F30" s="5" t="s">
        <v>32</v>
      </c>
      <c r="G30" s="5" t="s">
        <v>32</v>
      </c>
      <c r="H30" s="5" t="s">
        <v>32</v>
      </c>
      <c r="I30" s="8"/>
      <c r="J30" s="8"/>
      <c r="K30" s="8" t="str">
        <f>IF(OR(J30="",E30=""),"",J30+IFERROR(VLOOKUP(E30,リードタイム!$A$2:$C$9,3,FALSE),0))</f>
        <v/>
      </c>
      <c r="L30" s="5" t="s">
        <v>530</v>
      </c>
      <c r="M30" s="8"/>
      <c r="N30" s="8" t="str">
        <f>IF(OR(M30="",E30=""),"",M30+IFERROR(VLOOKUP(E30,リードタイム!$A$2:$D$9,4,FALSE),0))</f>
        <v/>
      </c>
      <c r="O30" s="5" t="s">
        <v>530</v>
      </c>
      <c r="P30" s="5" t="s">
        <v>530</v>
      </c>
      <c r="Q30" s="5" t="s">
        <v>77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0"/>
      <c r="MJ30" s="30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30"/>
    </row>
    <row r="31" spans="1:382" s="3" customFormat="1" ht="20.100000000000001" customHeight="1" x14ac:dyDescent="0.4">
      <c r="A31" s="29">
        <v>1</v>
      </c>
      <c r="B31" s="5">
        <v>258</v>
      </c>
      <c r="C31" s="5" t="s">
        <v>78</v>
      </c>
      <c r="D31" s="5" t="s">
        <v>76</v>
      </c>
      <c r="E31" s="5" t="s">
        <v>6</v>
      </c>
      <c r="F31" s="5" t="s">
        <v>32</v>
      </c>
      <c r="G31" s="5" t="s">
        <v>32</v>
      </c>
      <c r="H31" s="5" t="s">
        <v>32</v>
      </c>
      <c r="I31" s="8"/>
      <c r="J31" s="8"/>
      <c r="K31" s="8" t="str">
        <f>IF(OR(J31="",E31=""),"",J31+IFERROR(VLOOKUP(E31,リードタイム!$A$2:$C$9,3,FALSE),0))</f>
        <v/>
      </c>
      <c r="L31" s="5" t="s">
        <v>530</v>
      </c>
      <c r="M31" s="8"/>
      <c r="N31" s="8" t="str">
        <f>IF(OR(M31="",E31=""),"",M31+IFERROR(VLOOKUP(E31,リードタイム!$A$2:$D$9,4,FALSE),0))</f>
        <v/>
      </c>
      <c r="O31" s="5" t="s">
        <v>530</v>
      </c>
      <c r="P31" s="5" t="s">
        <v>530</v>
      </c>
      <c r="Q31" s="5" t="s">
        <v>79</v>
      </c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0"/>
      <c r="NO31" s="30"/>
      <c r="NP31" s="30"/>
      <c r="NQ31" s="30"/>
      <c r="NR31" s="30"/>
    </row>
    <row r="32" spans="1:382" s="3" customFormat="1" ht="20.100000000000001" customHeight="1" x14ac:dyDescent="0.4">
      <c r="A32" s="29">
        <v>1</v>
      </c>
      <c r="B32" s="5">
        <v>1853</v>
      </c>
      <c r="C32" s="5" t="s">
        <v>80</v>
      </c>
      <c r="D32" s="5" t="s">
        <v>41</v>
      </c>
      <c r="E32" s="5" t="s">
        <v>6</v>
      </c>
      <c r="F32" s="5" t="s">
        <v>32</v>
      </c>
      <c r="G32" s="5" t="s">
        <v>32</v>
      </c>
      <c r="H32" s="5" t="s">
        <v>32</v>
      </c>
      <c r="I32" s="8">
        <v>45929.625</v>
      </c>
      <c r="J32" s="8"/>
      <c r="K32" s="8" t="str">
        <f>IF(OR(J32="",E32=""),"",J32+IFERROR(VLOOKUP(E32,リードタイム!$A$2:$C$9,3,FALSE),0))</f>
        <v/>
      </c>
      <c r="L32" s="5" t="s">
        <v>531</v>
      </c>
      <c r="M32" s="8"/>
      <c r="N32" s="8" t="str">
        <f>IF(OR(M32="",E32=""),"",M32+IFERROR(VLOOKUP(E32,リードタイム!$A$2:$D$9,4,FALSE),0))</f>
        <v/>
      </c>
      <c r="O32" s="5" t="s">
        <v>531</v>
      </c>
      <c r="P32" s="5" t="s">
        <v>533</v>
      </c>
      <c r="Q32" s="5" t="s">
        <v>32</v>
      </c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</row>
    <row r="33" spans="1:382" s="3" customFormat="1" ht="20.100000000000001" customHeight="1" x14ac:dyDescent="0.4">
      <c r="A33" s="29">
        <v>1</v>
      </c>
      <c r="B33" s="5">
        <v>1854</v>
      </c>
      <c r="C33" s="5" t="s">
        <v>81</v>
      </c>
      <c r="D33" s="5" t="s">
        <v>76</v>
      </c>
      <c r="E33" s="5" t="s">
        <v>6</v>
      </c>
      <c r="F33" s="5" t="s">
        <v>32</v>
      </c>
      <c r="G33" s="5" t="s">
        <v>32</v>
      </c>
      <c r="H33" s="5" t="s">
        <v>32</v>
      </c>
      <c r="I33" s="8"/>
      <c r="J33" s="8"/>
      <c r="K33" s="8" t="str">
        <f>IF(OR(J33="",E33=""),"",J33+IFERROR(VLOOKUP(E33,リードタイム!$A$2:$C$9,3,FALSE),0))</f>
        <v/>
      </c>
      <c r="L33" s="5" t="s">
        <v>531</v>
      </c>
      <c r="M33" s="8"/>
      <c r="N33" s="8" t="str">
        <f>IF(OR(M33="",E33=""),"",M33+IFERROR(VLOOKUP(E33,リードタイム!$A$2:$D$9,4,FALSE),0))</f>
        <v/>
      </c>
      <c r="O33" s="5" t="s">
        <v>531</v>
      </c>
      <c r="P33" s="5" t="s">
        <v>533</v>
      </c>
      <c r="Q33" s="5" t="s">
        <v>44</v>
      </c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</row>
    <row r="34" spans="1:382" s="3" customFormat="1" ht="20.100000000000001" customHeight="1" x14ac:dyDescent="0.4">
      <c r="A34" s="29">
        <v>1</v>
      </c>
      <c r="B34" s="5" t="s">
        <v>32</v>
      </c>
      <c r="C34" s="5" t="s">
        <v>82</v>
      </c>
      <c r="D34" s="5" t="s">
        <v>41</v>
      </c>
      <c r="E34" s="5" t="s">
        <v>6</v>
      </c>
      <c r="F34" s="5" t="s">
        <v>32</v>
      </c>
      <c r="G34" s="5" t="s">
        <v>32</v>
      </c>
      <c r="H34" s="5" t="s">
        <v>32</v>
      </c>
      <c r="I34" s="8"/>
      <c r="J34" s="8"/>
      <c r="K34" s="8" t="str">
        <f>IF(OR(J34="",E34=""),"",J34+IFERROR(VLOOKUP(E34,リードタイム!$A$2:$C$9,3,FALSE),0))</f>
        <v/>
      </c>
      <c r="L34" s="5" t="s">
        <v>530</v>
      </c>
      <c r="M34" s="8"/>
      <c r="N34" s="8" t="str">
        <f>IF(OR(M34="",E34=""),"",M34+IFERROR(VLOOKUP(E34,リードタイム!$A$2:$D$9,4,FALSE),0))</f>
        <v/>
      </c>
      <c r="O34" s="5" t="s">
        <v>530</v>
      </c>
      <c r="P34" s="5" t="s">
        <v>530</v>
      </c>
      <c r="Q34" s="5" t="s">
        <v>44</v>
      </c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</row>
    <row r="35" spans="1:382" s="3" customFormat="1" ht="20.100000000000001" customHeight="1" x14ac:dyDescent="0.4">
      <c r="A35" s="29">
        <v>1</v>
      </c>
      <c r="B35" s="5" t="s">
        <v>32</v>
      </c>
      <c r="C35" s="5" t="s">
        <v>83</v>
      </c>
      <c r="D35" s="5" t="s">
        <v>41</v>
      </c>
      <c r="E35" s="5" t="s">
        <v>6</v>
      </c>
      <c r="F35" s="5" t="s">
        <v>32</v>
      </c>
      <c r="G35" s="5" t="s">
        <v>32</v>
      </c>
      <c r="H35" s="5" t="s">
        <v>32</v>
      </c>
      <c r="I35" s="8"/>
      <c r="J35" s="8"/>
      <c r="K35" s="8" t="str">
        <f>IF(OR(J35="",E35=""),"",J35+IFERROR(VLOOKUP(E35,リードタイム!$A$2:$C$9,3,FALSE),0))</f>
        <v/>
      </c>
      <c r="L35" s="5" t="s">
        <v>530</v>
      </c>
      <c r="M35" s="8"/>
      <c r="N35" s="8" t="str">
        <f>IF(OR(M35="",E35=""),"",M35+IFERROR(VLOOKUP(E35,リードタイム!$A$2:$D$9,4,FALSE),0))</f>
        <v/>
      </c>
      <c r="O35" s="5" t="s">
        <v>530</v>
      </c>
      <c r="P35" s="5" t="s">
        <v>530</v>
      </c>
      <c r="Q35" s="5" t="s">
        <v>44</v>
      </c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0"/>
      <c r="MI35" s="30"/>
      <c r="MJ35" s="30"/>
      <c r="MK35" s="30"/>
      <c r="ML35" s="30"/>
      <c r="MM35" s="30"/>
      <c r="MN35" s="30"/>
      <c r="MO35" s="30"/>
      <c r="MP35" s="30"/>
      <c r="MQ35" s="30"/>
      <c r="MR35" s="30"/>
      <c r="MS35" s="30"/>
      <c r="MT35" s="30"/>
      <c r="MU35" s="30"/>
      <c r="MV35" s="30"/>
      <c r="MW35" s="30"/>
      <c r="MX35" s="30"/>
      <c r="MY35" s="30"/>
      <c r="MZ35" s="30"/>
      <c r="NA35" s="30"/>
      <c r="NB35" s="30"/>
      <c r="NC35" s="30"/>
      <c r="ND35" s="30"/>
      <c r="NE35" s="30"/>
      <c r="NF35" s="30"/>
      <c r="NG35" s="30"/>
      <c r="NH35" s="30"/>
      <c r="NI35" s="30"/>
      <c r="NJ35" s="30"/>
      <c r="NK35" s="30"/>
      <c r="NL35" s="30"/>
      <c r="NM35" s="30"/>
      <c r="NN35" s="30"/>
      <c r="NO35" s="30"/>
      <c r="NP35" s="30"/>
      <c r="NQ35" s="30"/>
      <c r="NR35" s="30"/>
    </row>
    <row r="36" spans="1:382" s="3" customFormat="1" ht="20.100000000000001" customHeight="1" x14ac:dyDescent="0.4">
      <c r="A36" s="29">
        <v>1</v>
      </c>
      <c r="B36" s="5">
        <v>1906</v>
      </c>
      <c r="C36" s="5" t="s">
        <v>84</v>
      </c>
      <c r="D36" s="5" t="s">
        <v>48</v>
      </c>
      <c r="E36" s="5" t="s">
        <v>12</v>
      </c>
      <c r="F36" s="5" t="s">
        <v>32</v>
      </c>
      <c r="G36" s="5" t="s">
        <v>32</v>
      </c>
      <c r="H36" s="5" t="s">
        <v>32</v>
      </c>
      <c r="I36" s="8"/>
      <c r="J36" s="8"/>
      <c r="K36" s="8" t="str">
        <f>IF(OR(J36="",E36=""),"",J36+IFERROR(VLOOKUP(E36,リードタイム!$A$2:$C$9,3,FALSE),0))</f>
        <v/>
      </c>
      <c r="L36" s="5" t="s">
        <v>531</v>
      </c>
      <c r="M36" s="8"/>
      <c r="N36" s="8" t="str">
        <f>IF(OR(M36="",E36=""),"",M36+IFERROR(VLOOKUP(E36,リードタイム!$A$2:$D$9,4,FALSE),0))</f>
        <v/>
      </c>
      <c r="O36" s="5" t="s">
        <v>531</v>
      </c>
      <c r="P36" s="5" t="s">
        <v>533</v>
      </c>
      <c r="Q36" s="5" t="s">
        <v>32</v>
      </c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</row>
    <row r="37" spans="1:382" s="3" customFormat="1" ht="20.100000000000001" customHeight="1" x14ac:dyDescent="0.4">
      <c r="A37" s="29">
        <v>1</v>
      </c>
      <c r="B37" s="5">
        <v>1906</v>
      </c>
      <c r="C37" s="5" t="s">
        <v>85</v>
      </c>
      <c r="D37" s="5" t="s">
        <v>61</v>
      </c>
      <c r="E37" s="5" t="s">
        <v>12</v>
      </c>
      <c r="F37" s="5" t="s">
        <v>32</v>
      </c>
      <c r="G37" s="5" t="s">
        <v>32</v>
      </c>
      <c r="H37" s="5" t="s">
        <v>32</v>
      </c>
      <c r="I37" s="8">
        <v>45988.625</v>
      </c>
      <c r="J37" s="8"/>
      <c r="K37" s="8" t="str">
        <f>IF(OR(J37="",E37=""),"",J37+IFERROR(VLOOKUP(E37,リードタイム!$A$2:$C$9,3,FALSE),0))</f>
        <v/>
      </c>
      <c r="L37" s="5" t="s">
        <v>531</v>
      </c>
      <c r="M37" s="8"/>
      <c r="N37" s="8" t="str">
        <f>IF(OR(M37="",E37=""),"",M37+IFERROR(VLOOKUP(E37,リードタイム!$A$2:$D$9,4,FALSE),0))</f>
        <v/>
      </c>
      <c r="O37" s="5" t="s">
        <v>531</v>
      </c>
      <c r="P37" s="5" t="s">
        <v>532</v>
      </c>
      <c r="Q37" s="5" t="s">
        <v>32</v>
      </c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</row>
    <row r="38" spans="1:382" s="3" customFormat="1" ht="20.100000000000001" customHeight="1" x14ac:dyDescent="0.4">
      <c r="A38" s="29">
        <v>2</v>
      </c>
      <c r="B38" s="5">
        <v>1907</v>
      </c>
      <c r="C38" s="5" t="s">
        <v>85</v>
      </c>
      <c r="D38" s="5" t="s">
        <v>62</v>
      </c>
      <c r="E38" s="5" t="s">
        <v>8</v>
      </c>
      <c r="F38" s="5" t="s">
        <v>32</v>
      </c>
      <c r="G38" s="5" t="s">
        <v>32</v>
      </c>
      <c r="H38" s="5" t="s">
        <v>32</v>
      </c>
      <c r="I38" s="8">
        <v>45988.625</v>
      </c>
      <c r="J38" s="8"/>
      <c r="K38" s="8" t="str">
        <f>IF(OR(J38="",E38=""),"",J38+IFERROR(VLOOKUP(E38,リードタイム!$A$2:$C$9,3,FALSE),0))</f>
        <v/>
      </c>
      <c r="L38" s="5" t="s">
        <v>531</v>
      </c>
      <c r="M38" s="8"/>
      <c r="N38" s="8" t="str">
        <f>IF(OR(M38="",E38=""),"",M38+IFERROR(VLOOKUP(E38,リードタイム!$A$2:$D$9,4,FALSE),0))</f>
        <v/>
      </c>
      <c r="O38" s="5" t="s">
        <v>531</v>
      </c>
      <c r="P38" s="5" t="s">
        <v>532</v>
      </c>
      <c r="Q38" s="5" t="s">
        <v>32</v>
      </c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0"/>
      <c r="MI38" s="30"/>
      <c r="MJ38" s="30"/>
      <c r="MK38" s="30"/>
      <c r="ML38" s="30"/>
      <c r="MM38" s="30"/>
      <c r="MN38" s="30"/>
      <c r="MO38" s="30"/>
      <c r="MP38" s="30"/>
      <c r="MQ38" s="30"/>
      <c r="MR38" s="30"/>
      <c r="MS38" s="30"/>
      <c r="MT38" s="30"/>
      <c r="MU38" s="30"/>
      <c r="MV38" s="30"/>
      <c r="MW38" s="30"/>
      <c r="MX38" s="30"/>
      <c r="MY38" s="30"/>
      <c r="MZ38" s="30"/>
      <c r="NA38" s="30"/>
      <c r="NB38" s="30"/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0"/>
      <c r="NO38" s="30"/>
      <c r="NP38" s="30"/>
      <c r="NQ38" s="30"/>
      <c r="NR38" s="30"/>
    </row>
    <row r="39" spans="1:382" s="3" customFormat="1" ht="20.100000000000001" customHeight="1" x14ac:dyDescent="0.4">
      <c r="A39" s="29">
        <v>3</v>
      </c>
      <c r="B39" s="5">
        <v>1905</v>
      </c>
      <c r="C39" s="5" t="s">
        <v>85</v>
      </c>
      <c r="D39" s="5" t="s">
        <v>41</v>
      </c>
      <c r="E39" s="5" t="s">
        <v>6</v>
      </c>
      <c r="F39" s="5" t="s">
        <v>32</v>
      </c>
      <c r="G39" s="5" t="s">
        <v>32</v>
      </c>
      <c r="H39" s="5" t="s">
        <v>32</v>
      </c>
      <c r="I39" s="8">
        <v>45988.625</v>
      </c>
      <c r="J39" s="8"/>
      <c r="K39" s="8" t="str">
        <f>IF(OR(J39="",E39=""),"",J39+IFERROR(VLOOKUP(E39,リードタイム!$A$2:$C$9,3,FALSE),0))</f>
        <v/>
      </c>
      <c r="L39" s="5" t="s">
        <v>531</v>
      </c>
      <c r="M39" s="8"/>
      <c r="N39" s="8" t="str">
        <f>IF(OR(M39="",E39=""),"",M39+IFERROR(VLOOKUP(E39,リードタイム!$A$2:$D$9,4,FALSE),0))</f>
        <v/>
      </c>
      <c r="O39" s="5" t="s">
        <v>531</v>
      </c>
      <c r="P39" s="5" t="s">
        <v>532</v>
      </c>
      <c r="Q39" s="5" t="s">
        <v>86</v>
      </c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0"/>
      <c r="MI39" s="30"/>
      <c r="MJ39" s="30"/>
      <c r="MK39" s="30"/>
      <c r="ML39" s="30"/>
      <c r="MM39" s="30"/>
      <c r="MN39" s="30"/>
      <c r="MO39" s="30"/>
      <c r="MP39" s="30"/>
      <c r="MQ39" s="30"/>
      <c r="MR39" s="30"/>
      <c r="MS39" s="30"/>
      <c r="MT39" s="30"/>
      <c r="MU39" s="30"/>
      <c r="MV39" s="30"/>
      <c r="MW39" s="30"/>
      <c r="MX39" s="30"/>
      <c r="MY39" s="30"/>
      <c r="MZ39" s="30"/>
      <c r="NA39" s="30"/>
      <c r="NB39" s="30"/>
      <c r="NC39" s="30"/>
      <c r="ND39" s="30"/>
      <c r="NE39" s="30"/>
      <c r="NF39" s="30"/>
      <c r="NG39" s="30"/>
      <c r="NH39" s="30"/>
      <c r="NI39" s="30"/>
      <c r="NJ39" s="30"/>
      <c r="NK39" s="30"/>
      <c r="NL39" s="30"/>
      <c r="NM39" s="30"/>
      <c r="NN39" s="30"/>
      <c r="NO39" s="30"/>
      <c r="NP39" s="30"/>
      <c r="NQ39" s="30"/>
      <c r="NR39" s="30"/>
    </row>
    <row r="40" spans="1:382" s="3" customFormat="1" ht="20.100000000000001" customHeight="1" x14ac:dyDescent="0.4">
      <c r="A40" s="29">
        <v>1</v>
      </c>
      <c r="B40" s="5">
        <v>1927</v>
      </c>
      <c r="C40" s="5" t="s">
        <v>87</v>
      </c>
      <c r="D40" s="5" t="s">
        <v>88</v>
      </c>
      <c r="E40" s="5" t="s">
        <v>4</v>
      </c>
      <c r="F40" s="5" t="s">
        <v>32</v>
      </c>
      <c r="G40" s="5" t="s">
        <v>32</v>
      </c>
      <c r="H40" s="5" t="s">
        <v>32</v>
      </c>
      <c r="I40" s="8"/>
      <c r="J40" s="8"/>
      <c r="K40" s="8" t="str">
        <f>IF(OR(J40="",E40=""),"",J40+IFERROR(VLOOKUP(E40,リードタイム!$A$2:$C$9,3,FALSE),0))</f>
        <v/>
      </c>
      <c r="L40" s="5" t="s">
        <v>531</v>
      </c>
      <c r="M40" s="8"/>
      <c r="N40" s="8" t="str">
        <f>IF(OR(M40="",E40=""),"",M40+IFERROR(VLOOKUP(E40,リードタイム!$A$2:$D$9,4,FALSE),0))</f>
        <v/>
      </c>
      <c r="O40" s="5" t="s">
        <v>531</v>
      </c>
      <c r="P40" s="5" t="s">
        <v>533</v>
      </c>
      <c r="Q40" s="5" t="s">
        <v>70</v>
      </c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0"/>
      <c r="MI40" s="30"/>
      <c r="MJ40" s="30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0"/>
      <c r="NO40" s="30"/>
      <c r="NP40" s="30"/>
      <c r="NQ40" s="30"/>
      <c r="NR40" s="30"/>
    </row>
    <row r="41" spans="1:382" s="3" customFormat="1" ht="20.100000000000001" customHeight="1" x14ac:dyDescent="0.4">
      <c r="A41" s="29">
        <v>1</v>
      </c>
      <c r="B41" s="5">
        <v>1909</v>
      </c>
      <c r="C41" s="5" t="s">
        <v>89</v>
      </c>
      <c r="D41" s="5" t="s">
        <v>61</v>
      </c>
      <c r="E41" s="5" t="s">
        <v>12</v>
      </c>
      <c r="F41" s="5" t="s">
        <v>32</v>
      </c>
      <c r="G41" s="5" t="s">
        <v>32</v>
      </c>
      <c r="H41" s="5" t="s">
        <v>32</v>
      </c>
      <c r="I41" s="8">
        <v>45988.625</v>
      </c>
      <c r="J41" s="8"/>
      <c r="K41" s="8" t="str">
        <f>IF(OR(J41="",E41=""),"",J41+IFERROR(VLOOKUP(E41,リードタイム!$A$2:$C$9,3,FALSE),0))</f>
        <v/>
      </c>
      <c r="L41" s="5" t="s">
        <v>531</v>
      </c>
      <c r="M41" s="8"/>
      <c r="N41" s="8" t="str">
        <f>IF(OR(M41="",E41=""),"",M41+IFERROR(VLOOKUP(E41,リードタイム!$A$2:$D$9,4,FALSE),0))</f>
        <v/>
      </c>
      <c r="O41" s="5" t="s">
        <v>531</v>
      </c>
      <c r="P41" s="5" t="s">
        <v>532</v>
      </c>
      <c r="Q41" s="5" t="s">
        <v>32</v>
      </c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0"/>
      <c r="MI41" s="30"/>
      <c r="MJ41" s="30"/>
      <c r="MK41" s="30"/>
      <c r="ML41" s="30"/>
      <c r="MM41" s="30"/>
      <c r="MN41" s="30"/>
      <c r="MO41" s="30"/>
      <c r="MP41" s="30"/>
      <c r="MQ41" s="30"/>
      <c r="MR41" s="30"/>
      <c r="MS41" s="30"/>
      <c r="MT41" s="30"/>
      <c r="MU41" s="30"/>
      <c r="MV41" s="30"/>
      <c r="MW41" s="30"/>
      <c r="MX41" s="30"/>
      <c r="MY41" s="30"/>
      <c r="MZ41" s="30"/>
      <c r="NA41" s="30"/>
      <c r="NB41" s="30"/>
      <c r="NC41" s="30"/>
      <c r="ND41" s="30"/>
      <c r="NE41" s="30"/>
      <c r="NF41" s="30"/>
      <c r="NG41" s="30"/>
      <c r="NH41" s="30"/>
      <c r="NI41" s="30"/>
      <c r="NJ41" s="30"/>
      <c r="NK41" s="30"/>
      <c r="NL41" s="30"/>
      <c r="NM41" s="30"/>
      <c r="NN41" s="30"/>
      <c r="NO41" s="30"/>
      <c r="NP41" s="30"/>
      <c r="NQ41" s="30"/>
      <c r="NR41" s="30"/>
    </row>
    <row r="42" spans="1:382" s="3" customFormat="1" ht="20.100000000000001" customHeight="1" x14ac:dyDescent="0.4">
      <c r="A42" s="29">
        <v>2</v>
      </c>
      <c r="B42" s="5">
        <v>1910</v>
      </c>
      <c r="C42" s="5" t="s">
        <v>89</v>
      </c>
      <c r="D42" s="5" t="s">
        <v>62</v>
      </c>
      <c r="E42" s="5" t="s">
        <v>8</v>
      </c>
      <c r="F42" s="5" t="s">
        <v>32</v>
      </c>
      <c r="G42" s="5" t="s">
        <v>32</v>
      </c>
      <c r="H42" s="5" t="s">
        <v>32</v>
      </c>
      <c r="I42" s="8">
        <v>45988.625</v>
      </c>
      <c r="J42" s="8"/>
      <c r="K42" s="8" t="str">
        <f>IF(OR(J42="",E42=""),"",J42+IFERROR(VLOOKUP(E42,リードタイム!$A$2:$C$9,3,FALSE),0))</f>
        <v/>
      </c>
      <c r="L42" s="5" t="s">
        <v>531</v>
      </c>
      <c r="M42" s="8"/>
      <c r="N42" s="8" t="str">
        <f>IF(OR(M42="",E42=""),"",M42+IFERROR(VLOOKUP(E42,リードタイム!$A$2:$D$9,4,FALSE),0))</f>
        <v/>
      </c>
      <c r="O42" s="5" t="s">
        <v>531</v>
      </c>
      <c r="P42" s="5" t="s">
        <v>532</v>
      </c>
      <c r="Q42" s="5" t="s">
        <v>32</v>
      </c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0"/>
      <c r="MP42" s="30"/>
      <c r="MQ42" s="30"/>
      <c r="MR42" s="30"/>
      <c r="MS42" s="30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30"/>
    </row>
    <row r="43" spans="1:382" s="3" customFormat="1" ht="20.100000000000001" customHeight="1" x14ac:dyDescent="0.4">
      <c r="A43" s="29">
        <v>3</v>
      </c>
      <c r="B43" s="5">
        <v>1908</v>
      </c>
      <c r="C43" s="5" t="s">
        <v>89</v>
      </c>
      <c r="D43" s="5" t="s">
        <v>41</v>
      </c>
      <c r="E43" s="5" t="s">
        <v>6</v>
      </c>
      <c r="F43" s="5" t="s">
        <v>32</v>
      </c>
      <c r="G43" s="5" t="s">
        <v>32</v>
      </c>
      <c r="H43" s="5" t="s">
        <v>32</v>
      </c>
      <c r="I43" s="8">
        <v>45988.625</v>
      </c>
      <c r="J43" s="8"/>
      <c r="K43" s="8" t="str">
        <f>IF(OR(J43="",E43=""),"",J43+IFERROR(VLOOKUP(E43,リードタイム!$A$2:$C$9,3,FALSE),0))</f>
        <v/>
      </c>
      <c r="L43" s="5" t="s">
        <v>531</v>
      </c>
      <c r="M43" s="8"/>
      <c r="N43" s="8" t="str">
        <f>IF(OR(M43="",E43=""),"",M43+IFERROR(VLOOKUP(E43,リードタイム!$A$2:$D$9,4,FALSE),0))</f>
        <v/>
      </c>
      <c r="O43" s="5" t="s">
        <v>531</v>
      </c>
      <c r="P43" s="5" t="s">
        <v>533</v>
      </c>
      <c r="Q43" s="5" t="s">
        <v>90</v>
      </c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0"/>
      <c r="MS43" s="30"/>
      <c r="MT43" s="30"/>
      <c r="MU43" s="30"/>
      <c r="MV43" s="30"/>
      <c r="MW43" s="30"/>
      <c r="MX43" s="30"/>
      <c r="MY43" s="30"/>
      <c r="MZ43" s="30"/>
      <c r="NA43" s="30"/>
      <c r="NB43" s="30"/>
      <c r="NC43" s="30"/>
      <c r="ND43" s="30"/>
      <c r="NE43" s="30"/>
      <c r="NF43" s="30"/>
      <c r="NG43" s="30"/>
      <c r="NH43" s="30"/>
      <c r="NI43" s="30"/>
      <c r="NJ43" s="30"/>
      <c r="NK43" s="30"/>
      <c r="NL43" s="30"/>
      <c r="NM43" s="30"/>
      <c r="NN43" s="30"/>
      <c r="NO43" s="30"/>
      <c r="NP43" s="30"/>
      <c r="NQ43" s="30"/>
      <c r="NR43" s="30"/>
    </row>
    <row r="44" spans="1:382" s="3" customFormat="1" ht="20.100000000000001" customHeight="1" x14ac:dyDescent="0.4">
      <c r="A44" s="29">
        <v>1</v>
      </c>
      <c r="B44" s="5">
        <v>1912</v>
      </c>
      <c r="C44" s="5" t="s">
        <v>91</v>
      </c>
      <c r="D44" s="5" t="s">
        <v>48</v>
      </c>
      <c r="E44" s="5" t="s">
        <v>12</v>
      </c>
      <c r="F44" s="5" t="s">
        <v>32</v>
      </c>
      <c r="G44" s="5" t="s">
        <v>32</v>
      </c>
      <c r="H44" s="5" t="s">
        <v>32</v>
      </c>
      <c r="I44" s="8"/>
      <c r="J44" s="8"/>
      <c r="K44" s="8" t="str">
        <f>IF(OR(J44="",E44=""),"",J44+IFERROR(VLOOKUP(E44,リードタイム!$A$2:$C$9,3,FALSE),0))</f>
        <v/>
      </c>
      <c r="L44" s="5" t="s">
        <v>531</v>
      </c>
      <c r="M44" s="8"/>
      <c r="N44" s="8" t="str">
        <f>IF(OR(M44="",E44=""),"",M44+IFERROR(VLOOKUP(E44,リードタイム!$A$2:$D$9,4,FALSE),0))</f>
        <v/>
      </c>
      <c r="O44" s="5" t="s">
        <v>531</v>
      </c>
      <c r="P44" s="5" t="s">
        <v>533</v>
      </c>
      <c r="Q44" s="5" t="s">
        <v>32</v>
      </c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0"/>
      <c r="KL44" s="30"/>
      <c r="KM44" s="30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0"/>
      <c r="MI44" s="30"/>
      <c r="MJ44" s="30"/>
      <c r="MK44" s="30"/>
      <c r="ML44" s="30"/>
      <c r="MM44" s="30"/>
      <c r="MN44" s="30"/>
      <c r="MO44" s="30"/>
      <c r="MP44" s="30"/>
      <c r="MQ44" s="30"/>
      <c r="MR44" s="30"/>
      <c r="MS44" s="30"/>
      <c r="MT44" s="30"/>
      <c r="MU44" s="30"/>
      <c r="MV44" s="30"/>
      <c r="MW44" s="30"/>
      <c r="MX44" s="30"/>
      <c r="MY44" s="30"/>
      <c r="MZ44" s="30"/>
      <c r="NA44" s="30"/>
      <c r="NB44" s="30"/>
      <c r="NC44" s="30"/>
      <c r="ND44" s="30"/>
      <c r="NE44" s="30"/>
      <c r="NF44" s="30"/>
      <c r="NG44" s="30"/>
      <c r="NH44" s="30"/>
      <c r="NI44" s="30"/>
      <c r="NJ44" s="30"/>
      <c r="NK44" s="30"/>
      <c r="NL44" s="30"/>
      <c r="NM44" s="30"/>
      <c r="NN44" s="30"/>
      <c r="NO44" s="30"/>
      <c r="NP44" s="30"/>
      <c r="NQ44" s="30"/>
      <c r="NR44" s="30"/>
    </row>
    <row r="45" spans="1:382" s="3" customFormat="1" ht="20.100000000000001" customHeight="1" x14ac:dyDescent="0.4">
      <c r="A45" s="29">
        <v>1</v>
      </c>
      <c r="B45" s="5">
        <v>1912</v>
      </c>
      <c r="C45" s="5" t="s">
        <v>92</v>
      </c>
      <c r="D45" s="5" t="s">
        <v>61</v>
      </c>
      <c r="E45" s="5" t="s">
        <v>12</v>
      </c>
      <c r="F45" s="5" t="s">
        <v>32</v>
      </c>
      <c r="G45" s="5" t="s">
        <v>32</v>
      </c>
      <c r="H45" s="5" t="s">
        <v>32</v>
      </c>
      <c r="I45" s="8">
        <v>45988.625</v>
      </c>
      <c r="J45" s="8"/>
      <c r="K45" s="8" t="str">
        <f>IF(OR(J45="",E45=""),"",J45+IFERROR(VLOOKUP(E45,リードタイム!$A$2:$C$9,3,FALSE),0))</f>
        <v/>
      </c>
      <c r="L45" s="5" t="s">
        <v>531</v>
      </c>
      <c r="M45" s="8"/>
      <c r="N45" s="8" t="str">
        <f>IF(OR(M45="",E45=""),"",M45+IFERROR(VLOOKUP(E45,リードタイム!$A$2:$D$9,4,FALSE),0))</f>
        <v/>
      </c>
      <c r="O45" s="5" t="s">
        <v>531</v>
      </c>
      <c r="P45" s="5" t="s">
        <v>532</v>
      </c>
      <c r="Q45" s="5" t="s">
        <v>32</v>
      </c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0"/>
      <c r="KL45" s="30"/>
      <c r="KM45" s="30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0"/>
      <c r="MI45" s="30"/>
      <c r="MJ45" s="30"/>
      <c r="MK45" s="30"/>
      <c r="ML45" s="30"/>
      <c r="MM45" s="30"/>
      <c r="MN45" s="30"/>
      <c r="MO45" s="30"/>
      <c r="MP45" s="30"/>
      <c r="MQ45" s="30"/>
      <c r="MR45" s="30"/>
      <c r="MS45" s="30"/>
      <c r="MT45" s="30"/>
      <c r="MU45" s="30"/>
      <c r="MV45" s="30"/>
      <c r="MW45" s="30"/>
      <c r="MX45" s="30"/>
      <c r="MY45" s="30"/>
      <c r="MZ45" s="30"/>
      <c r="NA45" s="30"/>
      <c r="NB45" s="30"/>
      <c r="NC45" s="30"/>
      <c r="ND45" s="30"/>
      <c r="NE45" s="30"/>
      <c r="NF45" s="30"/>
      <c r="NG45" s="30"/>
      <c r="NH45" s="30"/>
      <c r="NI45" s="30"/>
      <c r="NJ45" s="30"/>
      <c r="NK45" s="30"/>
      <c r="NL45" s="30"/>
      <c r="NM45" s="30"/>
      <c r="NN45" s="30"/>
      <c r="NO45" s="30"/>
      <c r="NP45" s="30"/>
      <c r="NQ45" s="30"/>
      <c r="NR45" s="30"/>
    </row>
    <row r="46" spans="1:382" s="3" customFormat="1" ht="20.100000000000001" customHeight="1" x14ac:dyDescent="0.4">
      <c r="A46" s="29">
        <v>2</v>
      </c>
      <c r="B46" s="5">
        <v>1913</v>
      </c>
      <c r="C46" s="5" t="s">
        <v>92</v>
      </c>
      <c r="D46" s="5" t="s">
        <v>62</v>
      </c>
      <c r="E46" s="5" t="s">
        <v>8</v>
      </c>
      <c r="F46" s="5" t="s">
        <v>32</v>
      </c>
      <c r="G46" s="5" t="s">
        <v>32</v>
      </c>
      <c r="H46" s="5" t="s">
        <v>32</v>
      </c>
      <c r="I46" s="8">
        <v>45988.625</v>
      </c>
      <c r="J46" s="8"/>
      <c r="K46" s="8" t="str">
        <f>IF(OR(J46="",E46=""),"",J46+IFERROR(VLOOKUP(E46,リードタイム!$A$2:$C$9,3,FALSE),0))</f>
        <v/>
      </c>
      <c r="L46" s="5" t="s">
        <v>531</v>
      </c>
      <c r="M46" s="8"/>
      <c r="N46" s="8" t="str">
        <f>IF(OR(M46="",E46=""),"",M46+IFERROR(VLOOKUP(E46,リードタイム!$A$2:$D$9,4,FALSE),0))</f>
        <v/>
      </c>
      <c r="O46" s="5" t="s">
        <v>531</v>
      </c>
      <c r="P46" s="5" t="s">
        <v>532</v>
      </c>
      <c r="Q46" s="5" t="s">
        <v>32</v>
      </c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0"/>
      <c r="NI46" s="30"/>
      <c r="NJ46" s="30"/>
      <c r="NK46" s="30"/>
      <c r="NL46" s="30"/>
      <c r="NM46" s="30"/>
      <c r="NN46" s="30"/>
      <c r="NO46" s="30"/>
      <c r="NP46" s="30"/>
      <c r="NQ46" s="30"/>
      <c r="NR46" s="30"/>
    </row>
    <row r="47" spans="1:382" s="3" customFormat="1" ht="20.100000000000001" customHeight="1" x14ac:dyDescent="0.4">
      <c r="A47" s="29">
        <v>3</v>
      </c>
      <c r="B47" s="5">
        <v>1911</v>
      </c>
      <c r="C47" s="5" t="s">
        <v>92</v>
      </c>
      <c r="D47" s="5" t="s">
        <v>41</v>
      </c>
      <c r="E47" s="5" t="s">
        <v>6</v>
      </c>
      <c r="F47" s="5" t="s">
        <v>32</v>
      </c>
      <c r="G47" s="5" t="s">
        <v>32</v>
      </c>
      <c r="H47" s="5" t="s">
        <v>32</v>
      </c>
      <c r="I47" s="8">
        <v>45988.625</v>
      </c>
      <c r="J47" s="8"/>
      <c r="K47" s="8" t="str">
        <f>IF(OR(J47="",E47=""),"",J47+IFERROR(VLOOKUP(E47,リードタイム!$A$2:$C$9,3,FALSE),0))</f>
        <v/>
      </c>
      <c r="L47" s="5" t="s">
        <v>531</v>
      </c>
      <c r="M47" s="8"/>
      <c r="N47" s="8" t="str">
        <f>IF(OR(M47="",E47=""),"",M47+IFERROR(VLOOKUP(E47,リードタイム!$A$2:$D$9,4,FALSE),0))</f>
        <v/>
      </c>
      <c r="O47" s="5" t="s">
        <v>531</v>
      </c>
      <c r="P47" s="5" t="s">
        <v>532</v>
      </c>
      <c r="Q47" s="5" t="s">
        <v>86</v>
      </c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0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30"/>
      <c r="KM47" s="30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0"/>
      <c r="MI47" s="30"/>
      <c r="MJ47" s="30"/>
      <c r="MK47" s="30"/>
      <c r="ML47" s="30"/>
      <c r="MM47" s="30"/>
      <c r="MN47" s="30"/>
      <c r="MO47" s="30"/>
      <c r="MP47" s="30"/>
      <c r="MQ47" s="30"/>
      <c r="MR47" s="30"/>
      <c r="MS47" s="30"/>
      <c r="MT47" s="30"/>
      <c r="MU47" s="30"/>
      <c r="MV47" s="30"/>
      <c r="MW47" s="30"/>
      <c r="MX47" s="30"/>
      <c r="MY47" s="30"/>
      <c r="MZ47" s="30"/>
      <c r="NA47" s="30"/>
      <c r="NB47" s="30"/>
      <c r="NC47" s="30"/>
      <c r="ND47" s="30"/>
      <c r="NE47" s="30"/>
      <c r="NF47" s="30"/>
      <c r="NG47" s="30"/>
      <c r="NH47" s="30"/>
      <c r="NI47" s="30"/>
      <c r="NJ47" s="30"/>
      <c r="NK47" s="30"/>
      <c r="NL47" s="30"/>
      <c r="NM47" s="30"/>
      <c r="NN47" s="30"/>
      <c r="NO47" s="30"/>
      <c r="NP47" s="30"/>
      <c r="NQ47" s="30"/>
      <c r="NR47" s="30"/>
    </row>
    <row r="48" spans="1:382" s="3" customFormat="1" ht="20.100000000000001" customHeight="1" x14ac:dyDescent="0.4">
      <c r="A48" s="29">
        <v>1</v>
      </c>
      <c r="B48" s="5">
        <v>1915</v>
      </c>
      <c r="C48" s="5" t="s">
        <v>93</v>
      </c>
      <c r="D48" s="5" t="s">
        <v>61</v>
      </c>
      <c r="E48" s="5" t="s">
        <v>12</v>
      </c>
      <c r="F48" s="5" t="s">
        <v>32</v>
      </c>
      <c r="G48" s="5" t="s">
        <v>32</v>
      </c>
      <c r="H48" s="5" t="s">
        <v>32</v>
      </c>
      <c r="I48" s="8">
        <v>45988.625</v>
      </c>
      <c r="J48" s="8"/>
      <c r="K48" s="8" t="str">
        <f>IF(OR(J48="",E48=""),"",J48+IFERROR(VLOOKUP(E48,リードタイム!$A$2:$C$9,3,FALSE),0))</f>
        <v/>
      </c>
      <c r="L48" s="5" t="s">
        <v>531</v>
      </c>
      <c r="M48" s="8"/>
      <c r="N48" s="8" t="str">
        <f>IF(OR(M48="",E48=""),"",M48+IFERROR(VLOOKUP(E48,リードタイム!$A$2:$D$9,4,FALSE),0))</f>
        <v/>
      </c>
      <c r="O48" s="5" t="s">
        <v>531</v>
      </c>
      <c r="P48" s="5" t="s">
        <v>532</v>
      </c>
      <c r="Q48" s="5" t="s">
        <v>32</v>
      </c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0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0"/>
      <c r="KL48" s="30"/>
      <c r="KM48" s="30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0"/>
      <c r="MI48" s="30"/>
      <c r="MJ48" s="30"/>
      <c r="MK48" s="30"/>
      <c r="ML48" s="30"/>
      <c r="MM48" s="30"/>
      <c r="MN48" s="30"/>
      <c r="MO48" s="30"/>
      <c r="MP48" s="30"/>
      <c r="MQ48" s="30"/>
      <c r="MR48" s="30"/>
      <c r="MS48" s="30"/>
      <c r="MT48" s="30"/>
      <c r="MU48" s="30"/>
      <c r="MV48" s="30"/>
      <c r="MW48" s="30"/>
      <c r="MX48" s="30"/>
      <c r="MY48" s="30"/>
      <c r="MZ48" s="30"/>
      <c r="NA48" s="30"/>
      <c r="NB48" s="30"/>
      <c r="NC48" s="30"/>
      <c r="ND48" s="30"/>
      <c r="NE48" s="30"/>
      <c r="NF48" s="30"/>
      <c r="NG48" s="30"/>
      <c r="NH48" s="30"/>
      <c r="NI48" s="30"/>
      <c r="NJ48" s="30"/>
      <c r="NK48" s="30"/>
      <c r="NL48" s="30"/>
      <c r="NM48" s="30"/>
      <c r="NN48" s="30"/>
      <c r="NO48" s="30"/>
      <c r="NP48" s="30"/>
      <c r="NQ48" s="30"/>
      <c r="NR48" s="30"/>
    </row>
    <row r="49" spans="1:382" s="3" customFormat="1" ht="20.100000000000001" customHeight="1" x14ac:dyDescent="0.4">
      <c r="A49" s="29">
        <v>2</v>
      </c>
      <c r="B49" s="5">
        <v>1916</v>
      </c>
      <c r="C49" s="5" t="s">
        <v>93</v>
      </c>
      <c r="D49" s="5" t="s">
        <v>62</v>
      </c>
      <c r="E49" s="5" t="s">
        <v>8</v>
      </c>
      <c r="F49" s="5" t="s">
        <v>32</v>
      </c>
      <c r="G49" s="5" t="s">
        <v>32</v>
      </c>
      <c r="H49" s="5" t="s">
        <v>32</v>
      </c>
      <c r="I49" s="8">
        <v>45988.625</v>
      </c>
      <c r="J49" s="8"/>
      <c r="K49" s="8" t="str">
        <f>IF(OR(J49="",E49=""),"",J49+IFERROR(VLOOKUP(E49,リードタイム!$A$2:$C$9,3,FALSE),0))</f>
        <v/>
      </c>
      <c r="L49" s="5" t="s">
        <v>531</v>
      </c>
      <c r="M49" s="8"/>
      <c r="N49" s="8" t="str">
        <f>IF(OR(M49="",E49=""),"",M49+IFERROR(VLOOKUP(E49,リードタイム!$A$2:$D$9,4,FALSE),0))</f>
        <v/>
      </c>
      <c r="O49" s="5" t="s">
        <v>531</v>
      </c>
      <c r="P49" s="5" t="s">
        <v>532</v>
      </c>
      <c r="Q49" s="5" t="s">
        <v>32</v>
      </c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0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0"/>
      <c r="KL49" s="30"/>
      <c r="KM49" s="30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0"/>
      <c r="MI49" s="30"/>
      <c r="MJ49" s="30"/>
      <c r="MK49" s="30"/>
      <c r="ML49" s="30"/>
      <c r="MM49" s="30"/>
      <c r="MN49" s="30"/>
      <c r="MO49" s="30"/>
      <c r="MP49" s="30"/>
      <c r="MQ49" s="30"/>
      <c r="MR49" s="30"/>
      <c r="MS49" s="30"/>
      <c r="MT49" s="30"/>
      <c r="MU49" s="30"/>
      <c r="MV49" s="30"/>
      <c r="MW49" s="30"/>
      <c r="MX49" s="30"/>
      <c r="MY49" s="30"/>
      <c r="MZ49" s="30"/>
      <c r="NA49" s="30"/>
      <c r="NB49" s="30"/>
      <c r="NC49" s="30"/>
      <c r="ND49" s="30"/>
      <c r="NE49" s="30"/>
      <c r="NF49" s="30"/>
      <c r="NG49" s="30"/>
      <c r="NH49" s="30"/>
      <c r="NI49" s="30"/>
      <c r="NJ49" s="30"/>
      <c r="NK49" s="30"/>
      <c r="NL49" s="30"/>
      <c r="NM49" s="30"/>
      <c r="NN49" s="30"/>
      <c r="NO49" s="30"/>
      <c r="NP49" s="30"/>
      <c r="NQ49" s="30"/>
      <c r="NR49" s="30"/>
    </row>
    <row r="50" spans="1:382" s="3" customFormat="1" ht="20.100000000000001" customHeight="1" x14ac:dyDescent="0.4">
      <c r="A50" s="29">
        <v>3</v>
      </c>
      <c r="B50" s="5">
        <v>1914</v>
      </c>
      <c r="C50" s="5" t="s">
        <v>93</v>
      </c>
      <c r="D50" s="5" t="s">
        <v>41</v>
      </c>
      <c r="E50" s="5" t="s">
        <v>6</v>
      </c>
      <c r="F50" s="5" t="s">
        <v>32</v>
      </c>
      <c r="G50" s="5" t="s">
        <v>32</v>
      </c>
      <c r="H50" s="5" t="s">
        <v>32</v>
      </c>
      <c r="I50" s="8">
        <v>45988.625</v>
      </c>
      <c r="J50" s="8"/>
      <c r="K50" s="8" t="str">
        <f>IF(OR(J50="",E50=""),"",J50+IFERROR(VLOOKUP(E50,リードタイム!$A$2:$C$9,3,FALSE),0))</f>
        <v/>
      </c>
      <c r="L50" s="5" t="s">
        <v>531</v>
      </c>
      <c r="M50" s="8"/>
      <c r="N50" s="8" t="str">
        <f>IF(OR(M50="",E50=""),"",M50+IFERROR(VLOOKUP(E50,リードタイム!$A$2:$D$9,4,FALSE),0))</f>
        <v/>
      </c>
      <c r="O50" s="5" t="s">
        <v>531</v>
      </c>
      <c r="P50" s="5" t="s">
        <v>532</v>
      </c>
      <c r="Q50" s="5" t="s">
        <v>32</v>
      </c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0"/>
      <c r="IR50" s="30"/>
      <c r="IS50" s="30"/>
      <c r="IT50" s="30"/>
      <c r="IU50" s="30"/>
      <c r="IV50" s="30"/>
      <c r="IW50" s="30"/>
      <c r="IX50" s="30"/>
      <c r="IY50" s="30"/>
      <c r="IZ50" s="30"/>
      <c r="JA50" s="30"/>
      <c r="JB50" s="30"/>
      <c r="JC50" s="30"/>
      <c r="JD50" s="30"/>
      <c r="JE50" s="30"/>
      <c r="JF50" s="30"/>
      <c r="JG50" s="30"/>
      <c r="JH50" s="30"/>
      <c r="JI50" s="30"/>
      <c r="JJ50" s="30"/>
      <c r="JK50" s="30"/>
      <c r="JL50" s="30"/>
      <c r="JM50" s="30"/>
      <c r="JN50" s="30"/>
      <c r="JO50" s="30"/>
      <c r="JP50" s="30"/>
      <c r="JQ50" s="30"/>
      <c r="JR50" s="30"/>
      <c r="JS50" s="30"/>
      <c r="JT50" s="30"/>
      <c r="JU50" s="30"/>
      <c r="JV50" s="30"/>
      <c r="JW50" s="30"/>
      <c r="JX50" s="30"/>
      <c r="JY50" s="30"/>
      <c r="JZ50" s="30"/>
      <c r="KA50" s="30"/>
      <c r="KB50" s="30"/>
      <c r="KC50" s="30"/>
      <c r="KD50" s="30"/>
      <c r="KE50" s="30"/>
      <c r="KF50" s="30"/>
      <c r="KG50" s="30"/>
      <c r="KH50" s="30"/>
      <c r="KI50" s="30"/>
      <c r="KJ50" s="30"/>
      <c r="KK50" s="30"/>
      <c r="KL50" s="30"/>
      <c r="KM50" s="30"/>
      <c r="KN50" s="30"/>
      <c r="KO50" s="30"/>
      <c r="KP50" s="30"/>
      <c r="KQ50" s="30"/>
      <c r="KR50" s="30"/>
      <c r="KS50" s="30"/>
      <c r="KT50" s="30"/>
      <c r="KU50" s="30"/>
      <c r="KV50" s="30"/>
      <c r="KW50" s="30"/>
      <c r="KX50" s="30"/>
      <c r="KY50" s="30"/>
      <c r="KZ50" s="30"/>
      <c r="LA50" s="30"/>
      <c r="LB50" s="30"/>
      <c r="LC50" s="30"/>
      <c r="LD50" s="30"/>
      <c r="LE50" s="30"/>
      <c r="LF50" s="30"/>
      <c r="LG50" s="30"/>
      <c r="LH50" s="30"/>
      <c r="LI50" s="30"/>
      <c r="LJ50" s="30"/>
      <c r="LK50" s="30"/>
      <c r="LL50" s="30"/>
      <c r="LM50" s="30"/>
      <c r="LN50" s="30"/>
      <c r="LO50" s="30"/>
      <c r="LP50" s="30"/>
      <c r="LQ50" s="30"/>
      <c r="LR50" s="30"/>
      <c r="LS50" s="30"/>
      <c r="LT50" s="30"/>
      <c r="LU50" s="30"/>
      <c r="LV50" s="30"/>
      <c r="LW50" s="30"/>
      <c r="LX50" s="30"/>
      <c r="LY50" s="30"/>
      <c r="LZ50" s="30"/>
      <c r="MA50" s="30"/>
      <c r="MB50" s="30"/>
      <c r="MC50" s="30"/>
      <c r="MD50" s="30"/>
      <c r="ME50" s="30"/>
      <c r="MF50" s="30"/>
      <c r="MG50" s="30"/>
      <c r="MH50" s="30"/>
      <c r="MI50" s="30"/>
      <c r="MJ50" s="30"/>
      <c r="MK50" s="30"/>
      <c r="ML50" s="30"/>
      <c r="MM50" s="30"/>
      <c r="MN50" s="30"/>
      <c r="MO50" s="30"/>
      <c r="MP50" s="30"/>
      <c r="MQ50" s="30"/>
      <c r="MR50" s="30"/>
      <c r="MS50" s="30"/>
      <c r="MT50" s="30"/>
      <c r="MU50" s="30"/>
      <c r="MV50" s="30"/>
      <c r="MW50" s="30"/>
      <c r="MX50" s="30"/>
      <c r="MY50" s="30"/>
      <c r="MZ50" s="30"/>
      <c r="NA50" s="30"/>
      <c r="NB50" s="30"/>
      <c r="NC50" s="30"/>
      <c r="ND50" s="30"/>
      <c r="NE50" s="30"/>
      <c r="NF50" s="30"/>
      <c r="NG50" s="30"/>
      <c r="NH50" s="30"/>
      <c r="NI50" s="30"/>
      <c r="NJ50" s="30"/>
      <c r="NK50" s="30"/>
      <c r="NL50" s="30"/>
      <c r="NM50" s="30"/>
      <c r="NN50" s="30"/>
      <c r="NO50" s="30"/>
      <c r="NP50" s="30"/>
      <c r="NQ50" s="30"/>
      <c r="NR50" s="30"/>
    </row>
    <row r="51" spans="1:382" s="3" customFormat="1" ht="20.100000000000001" customHeight="1" x14ac:dyDescent="0.4">
      <c r="A51" s="29">
        <v>1</v>
      </c>
      <c r="B51" s="5">
        <v>1898</v>
      </c>
      <c r="C51" s="5" t="s">
        <v>94</v>
      </c>
      <c r="D51" s="5" t="s">
        <v>66</v>
      </c>
      <c r="E51" s="5" t="s">
        <v>4</v>
      </c>
      <c r="F51" s="5" t="s">
        <v>32</v>
      </c>
      <c r="G51" s="5" t="s">
        <v>32</v>
      </c>
      <c r="H51" s="5" t="s">
        <v>32</v>
      </c>
      <c r="I51" s="8">
        <v>45960.625</v>
      </c>
      <c r="J51" s="8"/>
      <c r="K51" s="8" t="str">
        <f>IF(OR(J51="",E51=""),"",J51+IFERROR(VLOOKUP(E51,リードタイム!$A$2:$C$9,3,FALSE),0))</f>
        <v/>
      </c>
      <c r="L51" s="5" t="s">
        <v>531</v>
      </c>
      <c r="M51" s="8"/>
      <c r="N51" s="8" t="str">
        <f>IF(OR(M51="",E51=""),"",M51+IFERROR(VLOOKUP(E51,リードタイム!$A$2:$D$9,4,FALSE),0))</f>
        <v/>
      </c>
      <c r="O51" s="5" t="s">
        <v>531</v>
      </c>
      <c r="P51" s="5" t="s">
        <v>532</v>
      </c>
      <c r="Q51" s="5" t="s">
        <v>95</v>
      </c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0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0"/>
      <c r="KL51" s="30"/>
      <c r="KM51" s="30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0"/>
      <c r="MI51" s="30"/>
      <c r="MJ51" s="30"/>
      <c r="MK51" s="30"/>
      <c r="ML51" s="30"/>
      <c r="MM51" s="30"/>
      <c r="MN51" s="30"/>
      <c r="MO51" s="30"/>
      <c r="MP51" s="30"/>
      <c r="MQ51" s="30"/>
      <c r="MR51" s="30"/>
      <c r="MS51" s="30"/>
      <c r="MT51" s="30"/>
      <c r="MU51" s="30"/>
      <c r="MV51" s="30"/>
      <c r="MW51" s="30"/>
      <c r="MX51" s="30"/>
      <c r="MY51" s="30"/>
      <c r="MZ51" s="30"/>
      <c r="NA51" s="30"/>
      <c r="NB51" s="30"/>
      <c r="NC51" s="30"/>
      <c r="ND51" s="30"/>
      <c r="NE51" s="30"/>
      <c r="NF51" s="30"/>
      <c r="NG51" s="30"/>
      <c r="NH51" s="30"/>
      <c r="NI51" s="30"/>
      <c r="NJ51" s="30"/>
      <c r="NK51" s="30"/>
      <c r="NL51" s="30"/>
      <c r="NM51" s="30"/>
      <c r="NN51" s="30"/>
      <c r="NO51" s="30"/>
      <c r="NP51" s="30"/>
      <c r="NQ51" s="30"/>
      <c r="NR51" s="30"/>
    </row>
    <row r="52" spans="1:382" s="3" customFormat="1" ht="20.100000000000001" customHeight="1" x14ac:dyDescent="0.4">
      <c r="A52" s="29">
        <v>2</v>
      </c>
      <c r="B52" s="5">
        <v>1917</v>
      </c>
      <c r="C52" s="5" t="s">
        <v>94</v>
      </c>
      <c r="D52" s="5" t="s">
        <v>96</v>
      </c>
      <c r="E52" s="5" t="s">
        <v>18</v>
      </c>
      <c r="F52" s="5" t="s">
        <v>32</v>
      </c>
      <c r="G52" s="5" t="s">
        <v>32</v>
      </c>
      <c r="H52" s="5" t="s">
        <v>32</v>
      </c>
      <c r="I52" s="8">
        <v>45960.625</v>
      </c>
      <c r="J52" s="8"/>
      <c r="K52" s="8" t="str">
        <f>IF(OR(J52="",E52=""),"",J52+IFERROR(VLOOKUP(E52,リードタイム!$A$2:$C$9,3,FALSE),0))</f>
        <v/>
      </c>
      <c r="L52" s="5" t="s">
        <v>531</v>
      </c>
      <c r="M52" s="8"/>
      <c r="N52" s="8" t="str">
        <f>IF(OR(M52="",E52=""),"",M52+IFERROR(VLOOKUP(E52,リードタイム!$A$2:$D$9,4,FALSE),0))</f>
        <v/>
      </c>
      <c r="O52" s="5" t="s">
        <v>531</v>
      </c>
      <c r="P52" s="5" t="s">
        <v>532</v>
      </c>
      <c r="Q52" s="5" t="s">
        <v>95</v>
      </c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0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0"/>
      <c r="KL52" s="30"/>
      <c r="KM52" s="30"/>
      <c r="KN52" s="30"/>
      <c r="KO52" s="30"/>
      <c r="KP52" s="30"/>
      <c r="KQ52" s="30"/>
      <c r="KR52" s="30"/>
      <c r="KS52" s="30"/>
      <c r="KT52" s="30"/>
      <c r="KU52" s="30"/>
      <c r="KV52" s="30"/>
      <c r="KW52" s="30"/>
      <c r="KX52" s="30"/>
      <c r="KY52" s="30"/>
      <c r="KZ52" s="30"/>
      <c r="LA52" s="30"/>
      <c r="LB52" s="30"/>
      <c r="LC52" s="30"/>
      <c r="LD52" s="30"/>
      <c r="LE52" s="30"/>
      <c r="LF52" s="30"/>
      <c r="LG52" s="30"/>
      <c r="LH52" s="30"/>
      <c r="LI52" s="30"/>
      <c r="LJ52" s="30"/>
      <c r="LK52" s="30"/>
      <c r="LL52" s="30"/>
      <c r="LM52" s="30"/>
      <c r="LN52" s="30"/>
      <c r="LO52" s="30"/>
      <c r="LP52" s="30"/>
      <c r="LQ52" s="30"/>
      <c r="LR52" s="30"/>
      <c r="LS52" s="30"/>
      <c r="LT52" s="30"/>
      <c r="LU52" s="30"/>
      <c r="LV52" s="30"/>
      <c r="LW52" s="30"/>
      <c r="LX52" s="30"/>
      <c r="LY52" s="30"/>
      <c r="LZ52" s="30"/>
      <c r="MA52" s="30"/>
      <c r="MB52" s="30"/>
      <c r="MC52" s="30"/>
      <c r="MD52" s="30"/>
      <c r="ME52" s="30"/>
      <c r="MF52" s="30"/>
      <c r="MG52" s="30"/>
      <c r="MH52" s="30"/>
      <c r="MI52" s="30"/>
      <c r="MJ52" s="30"/>
      <c r="MK52" s="30"/>
      <c r="ML52" s="30"/>
      <c r="MM52" s="30"/>
      <c r="MN52" s="30"/>
      <c r="MO52" s="30"/>
      <c r="MP52" s="30"/>
      <c r="MQ52" s="30"/>
      <c r="MR52" s="30"/>
      <c r="MS52" s="30"/>
      <c r="MT52" s="30"/>
      <c r="MU52" s="30"/>
      <c r="MV52" s="30"/>
      <c r="MW52" s="30"/>
      <c r="MX52" s="30"/>
      <c r="MY52" s="30"/>
      <c r="MZ52" s="30"/>
      <c r="NA52" s="30"/>
      <c r="NB52" s="30"/>
      <c r="NC52" s="30"/>
      <c r="ND52" s="30"/>
      <c r="NE52" s="30"/>
      <c r="NF52" s="30"/>
      <c r="NG52" s="30"/>
      <c r="NH52" s="30"/>
      <c r="NI52" s="30"/>
      <c r="NJ52" s="30"/>
      <c r="NK52" s="30"/>
      <c r="NL52" s="30"/>
      <c r="NM52" s="30"/>
      <c r="NN52" s="30"/>
      <c r="NO52" s="30"/>
      <c r="NP52" s="30"/>
      <c r="NQ52" s="30"/>
      <c r="NR52" s="30"/>
    </row>
    <row r="53" spans="1:382" s="3" customFormat="1" ht="20.100000000000001" customHeight="1" x14ac:dyDescent="0.4">
      <c r="A53" s="29">
        <v>1</v>
      </c>
      <c r="B53" s="5" t="s">
        <v>32</v>
      </c>
      <c r="C53" s="5" t="s">
        <v>97</v>
      </c>
      <c r="D53" s="5" t="s">
        <v>98</v>
      </c>
      <c r="E53" s="5" t="s">
        <v>4</v>
      </c>
      <c r="F53" s="5" t="s">
        <v>32</v>
      </c>
      <c r="G53" s="5" t="s">
        <v>32</v>
      </c>
      <c r="H53" s="5" t="s">
        <v>32</v>
      </c>
      <c r="I53" s="8"/>
      <c r="J53" s="8"/>
      <c r="K53" s="8" t="str">
        <f>IF(OR(J53="",E53=""),"",J53+IFERROR(VLOOKUP(E53,リードタイム!$A$2:$C$9,3,FALSE),0))</f>
        <v/>
      </c>
      <c r="L53" s="5" t="s">
        <v>530</v>
      </c>
      <c r="M53" s="8"/>
      <c r="N53" s="8" t="str">
        <f>IF(OR(M53="",E53=""),"",M53+IFERROR(VLOOKUP(E53,リードタイム!$A$2:$D$9,4,FALSE),0))</f>
        <v/>
      </c>
      <c r="O53" s="5" t="s">
        <v>530</v>
      </c>
      <c r="P53" s="5" t="s">
        <v>530</v>
      </c>
      <c r="Q53" s="5" t="s">
        <v>99</v>
      </c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30"/>
      <c r="KM53" s="30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0"/>
      <c r="MI53" s="30"/>
      <c r="MJ53" s="30"/>
      <c r="MK53" s="30"/>
      <c r="ML53" s="30"/>
      <c r="MM53" s="30"/>
      <c r="MN53" s="30"/>
      <c r="MO53" s="30"/>
      <c r="MP53" s="30"/>
      <c r="MQ53" s="30"/>
      <c r="MR53" s="30"/>
      <c r="MS53" s="30"/>
      <c r="MT53" s="30"/>
      <c r="MU53" s="30"/>
      <c r="MV53" s="30"/>
      <c r="MW53" s="30"/>
      <c r="MX53" s="30"/>
      <c r="MY53" s="30"/>
      <c r="MZ53" s="30"/>
      <c r="NA53" s="30"/>
      <c r="NB53" s="30"/>
      <c r="NC53" s="30"/>
      <c r="ND53" s="30"/>
      <c r="NE53" s="30"/>
      <c r="NF53" s="30"/>
      <c r="NG53" s="30"/>
      <c r="NH53" s="30"/>
      <c r="NI53" s="30"/>
      <c r="NJ53" s="30"/>
      <c r="NK53" s="30"/>
      <c r="NL53" s="30"/>
      <c r="NM53" s="30"/>
      <c r="NN53" s="30"/>
      <c r="NO53" s="30"/>
      <c r="NP53" s="30"/>
      <c r="NQ53" s="30"/>
      <c r="NR53" s="30"/>
    </row>
    <row r="54" spans="1:382" s="3" customFormat="1" ht="20.100000000000001" customHeight="1" x14ac:dyDescent="0.4">
      <c r="A54" s="29">
        <v>1</v>
      </c>
      <c r="B54" s="5">
        <v>1965</v>
      </c>
      <c r="C54" s="5" t="s">
        <v>100</v>
      </c>
      <c r="D54" s="5" t="s">
        <v>101</v>
      </c>
      <c r="E54" s="5" t="s">
        <v>4</v>
      </c>
      <c r="F54" s="5" t="s">
        <v>32</v>
      </c>
      <c r="G54" s="5" t="s">
        <v>32</v>
      </c>
      <c r="H54" s="5" t="s">
        <v>32</v>
      </c>
      <c r="I54" s="8">
        <v>46067.625</v>
      </c>
      <c r="J54" s="8"/>
      <c r="K54" s="8" t="str">
        <f>IF(OR(J54="",E54=""),"",J54+IFERROR(VLOOKUP(E54,リードタイム!$A$2:$C$9,3,FALSE),0))</f>
        <v/>
      </c>
      <c r="L54" s="5" t="s">
        <v>531</v>
      </c>
      <c r="M54" s="8"/>
      <c r="N54" s="8" t="str">
        <f>IF(OR(M54="",E54=""),"",M54+IFERROR(VLOOKUP(E54,リードタイム!$A$2:$D$9,4,FALSE),0))</f>
        <v/>
      </c>
      <c r="O54" s="5" t="s">
        <v>531</v>
      </c>
      <c r="P54" s="5" t="s">
        <v>533</v>
      </c>
      <c r="Q54" s="5" t="s">
        <v>32</v>
      </c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0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0"/>
      <c r="KL54" s="30"/>
      <c r="KM54" s="30"/>
      <c r="KN54" s="30"/>
      <c r="KO54" s="30"/>
      <c r="KP54" s="30"/>
      <c r="KQ54" s="30"/>
      <c r="KR54" s="30"/>
      <c r="KS54" s="30"/>
      <c r="KT54" s="30"/>
      <c r="KU54" s="30"/>
      <c r="KV54" s="30"/>
      <c r="KW54" s="30"/>
      <c r="KX54" s="30"/>
      <c r="KY54" s="30"/>
      <c r="KZ54" s="30"/>
      <c r="LA54" s="30"/>
      <c r="LB54" s="30"/>
      <c r="LC54" s="30"/>
      <c r="LD54" s="30"/>
      <c r="LE54" s="30"/>
      <c r="LF54" s="30"/>
      <c r="LG54" s="30"/>
      <c r="LH54" s="30"/>
      <c r="LI54" s="30"/>
      <c r="LJ54" s="30"/>
      <c r="LK54" s="30"/>
      <c r="LL54" s="30"/>
      <c r="LM54" s="30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30"/>
      <c r="LY54" s="30"/>
      <c r="LZ54" s="30"/>
      <c r="MA54" s="30"/>
      <c r="MB54" s="30"/>
      <c r="MC54" s="30"/>
      <c r="MD54" s="30"/>
      <c r="ME54" s="30"/>
      <c r="MF54" s="30"/>
      <c r="MG54" s="30"/>
      <c r="MH54" s="30"/>
      <c r="MI54" s="30"/>
      <c r="MJ54" s="30"/>
      <c r="MK54" s="30"/>
      <c r="ML54" s="30"/>
      <c r="MM54" s="30"/>
      <c r="MN54" s="30"/>
      <c r="MO54" s="30"/>
      <c r="MP54" s="30"/>
      <c r="MQ54" s="30"/>
      <c r="MR54" s="30"/>
      <c r="MS54" s="30"/>
      <c r="MT54" s="30"/>
      <c r="MU54" s="30"/>
      <c r="MV54" s="30"/>
      <c r="MW54" s="30"/>
      <c r="MX54" s="30"/>
      <c r="MY54" s="30"/>
      <c r="MZ54" s="30"/>
      <c r="NA54" s="30"/>
      <c r="NB54" s="30"/>
      <c r="NC54" s="30"/>
      <c r="ND54" s="30"/>
      <c r="NE54" s="30"/>
      <c r="NF54" s="30"/>
      <c r="NG54" s="30"/>
      <c r="NH54" s="30"/>
      <c r="NI54" s="30"/>
      <c r="NJ54" s="30"/>
      <c r="NK54" s="30"/>
      <c r="NL54" s="30"/>
      <c r="NM54" s="30"/>
      <c r="NN54" s="30"/>
      <c r="NO54" s="30"/>
      <c r="NP54" s="30"/>
      <c r="NQ54" s="30"/>
      <c r="NR54" s="30"/>
    </row>
    <row r="55" spans="1:382" s="3" customFormat="1" ht="20.100000000000001" customHeight="1" x14ac:dyDescent="0.4">
      <c r="A55" s="29">
        <v>2</v>
      </c>
      <c r="B55" s="5">
        <v>1967</v>
      </c>
      <c r="C55" s="5" t="s">
        <v>100</v>
      </c>
      <c r="D55" s="5" t="s">
        <v>102</v>
      </c>
      <c r="E55" s="5" t="s">
        <v>10</v>
      </c>
      <c r="F55" s="5" t="s">
        <v>32</v>
      </c>
      <c r="G55" s="5" t="s">
        <v>32</v>
      </c>
      <c r="H55" s="5" t="s">
        <v>32</v>
      </c>
      <c r="I55" s="8">
        <v>46067.625</v>
      </c>
      <c r="J55" s="8"/>
      <c r="K55" s="8" t="str">
        <f>IF(OR(J55="",E55=""),"",J55+IFERROR(VLOOKUP(E55,リードタイム!$A$2:$C$9,3,FALSE),0))</f>
        <v/>
      </c>
      <c r="L55" s="5" t="s">
        <v>531</v>
      </c>
      <c r="M55" s="8"/>
      <c r="N55" s="8" t="str">
        <f>IF(OR(M55="",E55=""),"",M55+IFERROR(VLOOKUP(E55,リードタイム!$A$2:$D$9,4,FALSE),0))</f>
        <v/>
      </c>
      <c r="O55" s="5" t="s">
        <v>531</v>
      </c>
      <c r="P55" s="5" t="s">
        <v>533</v>
      </c>
      <c r="Q55" s="5" t="s">
        <v>32</v>
      </c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0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0"/>
      <c r="KL55" s="30"/>
      <c r="KM55" s="30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0"/>
      <c r="MI55" s="30"/>
      <c r="MJ55" s="30"/>
      <c r="MK55" s="30"/>
      <c r="ML55" s="30"/>
      <c r="MM55" s="30"/>
      <c r="MN55" s="30"/>
      <c r="MO55" s="30"/>
      <c r="MP55" s="30"/>
      <c r="MQ55" s="30"/>
      <c r="MR55" s="30"/>
      <c r="MS55" s="30"/>
      <c r="MT55" s="30"/>
      <c r="MU55" s="30"/>
      <c r="MV55" s="30"/>
      <c r="MW55" s="30"/>
      <c r="MX55" s="30"/>
      <c r="MY55" s="30"/>
      <c r="MZ55" s="30"/>
      <c r="NA55" s="30"/>
      <c r="NB55" s="30"/>
      <c r="NC55" s="30"/>
      <c r="ND55" s="30"/>
      <c r="NE55" s="30"/>
      <c r="NF55" s="30"/>
      <c r="NG55" s="30"/>
      <c r="NH55" s="30"/>
      <c r="NI55" s="30"/>
      <c r="NJ55" s="30"/>
      <c r="NK55" s="30"/>
      <c r="NL55" s="30"/>
      <c r="NM55" s="30"/>
      <c r="NN55" s="30"/>
      <c r="NO55" s="30"/>
      <c r="NP55" s="30"/>
      <c r="NQ55" s="30"/>
      <c r="NR55" s="30"/>
    </row>
    <row r="56" spans="1:382" s="3" customFormat="1" ht="20.100000000000001" customHeight="1" x14ac:dyDescent="0.4">
      <c r="A56" s="29">
        <v>1</v>
      </c>
      <c r="B56" s="5">
        <v>1966</v>
      </c>
      <c r="C56" s="5" t="s">
        <v>103</v>
      </c>
      <c r="D56" s="5" t="s">
        <v>101</v>
      </c>
      <c r="E56" s="5" t="s">
        <v>4</v>
      </c>
      <c r="F56" s="5" t="s">
        <v>32</v>
      </c>
      <c r="G56" s="5" t="s">
        <v>32</v>
      </c>
      <c r="H56" s="5" t="s">
        <v>32</v>
      </c>
      <c r="I56" s="8">
        <v>46072.625</v>
      </c>
      <c r="J56" s="8"/>
      <c r="K56" s="8" t="str">
        <f>IF(OR(J56="",E56=""),"",J56+IFERROR(VLOOKUP(E56,リードタイム!$A$2:$C$9,3,FALSE),0))</f>
        <v/>
      </c>
      <c r="L56" s="5" t="s">
        <v>531</v>
      </c>
      <c r="M56" s="8"/>
      <c r="N56" s="8" t="str">
        <f>IF(OR(M56="",E56=""),"",M56+IFERROR(VLOOKUP(E56,リードタイム!$A$2:$D$9,4,FALSE),0))</f>
        <v/>
      </c>
      <c r="O56" s="5" t="s">
        <v>531</v>
      </c>
      <c r="P56" s="5" t="s">
        <v>533</v>
      </c>
      <c r="Q56" s="5" t="s">
        <v>32</v>
      </c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0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0"/>
      <c r="KL56" s="30"/>
      <c r="KM56" s="30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0"/>
      <c r="MI56" s="30"/>
      <c r="MJ56" s="30"/>
      <c r="MK56" s="30"/>
      <c r="ML56" s="30"/>
      <c r="MM56" s="30"/>
      <c r="MN56" s="30"/>
      <c r="MO56" s="30"/>
      <c r="MP56" s="30"/>
      <c r="MQ56" s="30"/>
      <c r="MR56" s="30"/>
      <c r="MS56" s="30"/>
      <c r="MT56" s="30"/>
      <c r="MU56" s="30"/>
      <c r="MV56" s="30"/>
      <c r="MW56" s="30"/>
      <c r="MX56" s="30"/>
      <c r="MY56" s="30"/>
      <c r="MZ56" s="30"/>
      <c r="NA56" s="30"/>
      <c r="NB56" s="30"/>
      <c r="NC56" s="30"/>
      <c r="ND56" s="30"/>
      <c r="NE56" s="30"/>
      <c r="NF56" s="30"/>
      <c r="NG56" s="30"/>
      <c r="NH56" s="30"/>
      <c r="NI56" s="30"/>
      <c r="NJ56" s="30"/>
      <c r="NK56" s="30"/>
      <c r="NL56" s="30"/>
      <c r="NM56" s="30"/>
      <c r="NN56" s="30"/>
      <c r="NO56" s="30"/>
      <c r="NP56" s="30"/>
      <c r="NQ56" s="30"/>
      <c r="NR56" s="30"/>
    </row>
    <row r="57" spans="1:382" s="3" customFormat="1" ht="20.100000000000001" customHeight="1" x14ac:dyDescent="0.4">
      <c r="A57" s="29">
        <v>2</v>
      </c>
      <c r="B57" s="5">
        <v>1968</v>
      </c>
      <c r="C57" s="5" t="s">
        <v>103</v>
      </c>
      <c r="D57" s="5" t="s">
        <v>102</v>
      </c>
      <c r="E57" s="5" t="s">
        <v>10</v>
      </c>
      <c r="F57" s="5" t="s">
        <v>32</v>
      </c>
      <c r="G57" s="5" t="s">
        <v>32</v>
      </c>
      <c r="H57" s="5" t="s">
        <v>32</v>
      </c>
      <c r="I57" s="8">
        <v>46072.625</v>
      </c>
      <c r="J57" s="8"/>
      <c r="K57" s="8" t="str">
        <f>IF(OR(J57="",E57=""),"",J57+IFERROR(VLOOKUP(E57,リードタイム!$A$2:$C$9,3,FALSE),0))</f>
        <v/>
      </c>
      <c r="L57" s="5" t="s">
        <v>531</v>
      </c>
      <c r="M57" s="8"/>
      <c r="N57" s="8" t="str">
        <f>IF(OR(M57="",E57=""),"",M57+IFERROR(VLOOKUP(E57,リードタイム!$A$2:$D$9,4,FALSE),0))</f>
        <v/>
      </c>
      <c r="O57" s="5" t="s">
        <v>531</v>
      </c>
      <c r="P57" s="5" t="s">
        <v>533</v>
      </c>
      <c r="Q57" s="5" t="s">
        <v>32</v>
      </c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0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0"/>
      <c r="KL57" s="30"/>
      <c r="KM57" s="30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0"/>
      <c r="MI57" s="30"/>
      <c r="MJ57" s="30"/>
      <c r="MK57" s="30"/>
      <c r="ML57" s="30"/>
      <c r="MM57" s="30"/>
      <c r="MN57" s="30"/>
      <c r="MO57" s="30"/>
      <c r="MP57" s="30"/>
      <c r="MQ57" s="30"/>
      <c r="MR57" s="30"/>
      <c r="MS57" s="30"/>
      <c r="MT57" s="30"/>
      <c r="MU57" s="30"/>
      <c r="MV57" s="30"/>
      <c r="MW57" s="30"/>
      <c r="MX57" s="30"/>
      <c r="MY57" s="30"/>
      <c r="MZ57" s="30"/>
      <c r="NA57" s="30"/>
      <c r="NB57" s="30"/>
      <c r="NC57" s="30"/>
      <c r="ND57" s="30"/>
      <c r="NE57" s="30"/>
      <c r="NF57" s="30"/>
      <c r="NG57" s="30"/>
      <c r="NH57" s="30"/>
      <c r="NI57" s="30"/>
      <c r="NJ57" s="30"/>
      <c r="NK57" s="30"/>
      <c r="NL57" s="30"/>
      <c r="NM57" s="30"/>
      <c r="NN57" s="30"/>
      <c r="NO57" s="30"/>
      <c r="NP57" s="30"/>
      <c r="NQ57" s="30"/>
      <c r="NR57" s="30"/>
    </row>
    <row r="58" spans="1:382" s="3" customFormat="1" ht="20.100000000000001" customHeight="1" x14ac:dyDescent="0.4">
      <c r="A58" s="29">
        <v>1</v>
      </c>
      <c r="B58" s="5">
        <v>1930</v>
      </c>
      <c r="C58" s="5" t="s">
        <v>104</v>
      </c>
      <c r="D58" s="5" t="s">
        <v>105</v>
      </c>
      <c r="E58" s="5" t="s">
        <v>4</v>
      </c>
      <c r="F58" s="5" t="s">
        <v>32</v>
      </c>
      <c r="G58" s="5" t="s">
        <v>32</v>
      </c>
      <c r="H58" s="5" t="s">
        <v>32</v>
      </c>
      <c r="I58" s="8">
        <v>46000.625</v>
      </c>
      <c r="J58" s="8"/>
      <c r="K58" s="8" t="str">
        <f>IF(OR(J58="",E58=""),"",J58+IFERROR(VLOOKUP(E58,リードタイム!$A$2:$C$9,3,FALSE),0))</f>
        <v/>
      </c>
      <c r="L58" s="5" t="s">
        <v>531</v>
      </c>
      <c r="M58" s="8"/>
      <c r="N58" s="8" t="str">
        <f>IF(OR(M58="",E58=""),"",M58+IFERROR(VLOOKUP(E58,リードタイム!$A$2:$D$9,4,FALSE),0))</f>
        <v/>
      </c>
      <c r="O58" s="5" t="s">
        <v>531</v>
      </c>
      <c r="P58" s="5" t="s">
        <v>533</v>
      </c>
      <c r="Q58" s="5" t="s">
        <v>106</v>
      </c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0"/>
      <c r="KL58" s="30"/>
      <c r="KM58" s="30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0"/>
      <c r="MI58" s="30"/>
      <c r="MJ58" s="30"/>
      <c r="MK58" s="30"/>
      <c r="ML58" s="30"/>
      <c r="MM58" s="30"/>
      <c r="MN58" s="30"/>
      <c r="MO58" s="30"/>
      <c r="MP58" s="30"/>
      <c r="MQ58" s="30"/>
      <c r="MR58" s="30"/>
      <c r="MS58" s="30"/>
      <c r="MT58" s="30"/>
      <c r="MU58" s="30"/>
      <c r="MV58" s="30"/>
      <c r="MW58" s="30"/>
      <c r="MX58" s="30"/>
      <c r="MY58" s="30"/>
      <c r="MZ58" s="30"/>
      <c r="NA58" s="30"/>
      <c r="NB58" s="30"/>
      <c r="NC58" s="30"/>
      <c r="ND58" s="30"/>
      <c r="NE58" s="30"/>
      <c r="NF58" s="30"/>
      <c r="NG58" s="30"/>
      <c r="NH58" s="30"/>
      <c r="NI58" s="30"/>
      <c r="NJ58" s="30"/>
      <c r="NK58" s="30"/>
      <c r="NL58" s="30"/>
      <c r="NM58" s="30"/>
      <c r="NN58" s="30"/>
      <c r="NO58" s="30"/>
      <c r="NP58" s="30"/>
      <c r="NQ58" s="30"/>
      <c r="NR58" s="30"/>
    </row>
    <row r="59" spans="1:382" s="3" customFormat="1" ht="20.100000000000001" customHeight="1" x14ac:dyDescent="0.4">
      <c r="A59" s="29">
        <v>2</v>
      </c>
      <c r="B59" s="5">
        <v>1933</v>
      </c>
      <c r="C59" s="5" t="s">
        <v>104</v>
      </c>
      <c r="D59" s="5" t="s">
        <v>107</v>
      </c>
      <c r="E59" s="5" t="s">
        <v>10</v>
      </c>
      <c r="F59" s="5" t="s">
        <v>32</v>
      </c>
      <c r="G59" s="5" t="s">
        <v>32</v>
      </c>
      <c r="H59" s="5" t="s">
        <v>32</v>
      </c>
      <c r="I59" s="8">
        <v>46000.625</v>
      </c>
      <c r="J59" s="8"/>
      <c r="K59" s="8" t="str">
        <f>IF(OR(J59="",E59=""),"",J59+IFERROR(VLOOKUP(E59,リードタイム!$A$2:$C$9,3,FALSE),0))</f>
        <v/>
      </c>
      <c r="L59" s="5" t="s">
        <v>531</v>
      </c>
      <c r="M59" s="8"/>
      <c r="N59" s="8" t="str">
        <f>IF(OR(M59="",E59=""),"",M59+IFERROR(VLOOKUP(E59,リードタイム!$A$2:$D$9,4,FALSE),0))</f>
        <v/>
      </c>
      <c r="O59" s="5" t="s">
        <v>531</v>
      </c>
      <c r="P59" s="5" t="s">
        <v>533</v>
      </c>
      <c r="Q59" s="5" t="s">
        <v>32</v>
      </c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0"/>
      <c r="IR59" s="30"/>
      <c r="IS59" s="30"/>
      <c r="IT59" s="30"/>
      <c r="IU59" s="30"/>
      <c r="IV59" s="30"/>
      <c r="IW59" s="30"/>
      <c r="IX59" s="30"/>
      <c r="IY59" s="30"/>
      <c r="IZ59" s="30"/>
      <c r="JA59" s="30"/>
      <c r="JB59" s="30"/>
      <c r="JC59" s="30"/>
      <c r="JD59" s="30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0"/>
      <c r="KL59" s="30"/>
      <c r="KM59" s="30"/>
      <c r="KN59" s="30"/>
      <c r="KO59" s="30"/>
      <c r="KP59" s="30"/>
      <c r="KQ59" s="30"/>
      <c r="KR59" s="30"/>
      <c r="KS59" s="30"/>
      <c r="KT59" s="30"/>
      <c r="KU59" s="30"/>
      <c r="KV59" s="30"/>
      <c r="KW59" s="30"/>
      <c r="KX59" s="30"/>
      <c r="KY59" s="30"/>
      <c r="KZ59" s="30"/>
      <c r="LA59" s="30"/>
      <c r="LB59" s="30"/>
      <c r="LC59" s="30"/>
      <c r="LD59" s="30"/>
      <c r="LE59" s="30"/>
      <c r="LF59" s="30"/>
      <c r="LG59" s="30"/>
      <c r="LH59" s="30"/>
      <c r="LI59" s="30"/>
      <c r="LJ59" s="30"/>
      <c r="LK59" s="30"/>
      <c r="LL59" s="30"/>
      <c r="LM59" s="30"/>
      <c r="LN59" s="30"/>
      <c r="LO59" s="30"/>
      <c r="LP59" s="30"/>
      <c r="LQ59" s="30"/>
      <c r="LR59" s="30"/>
      <c r="LS59" s="30"/>
      <c r="LT59" s="30"/>
      <c r="LU59" s="30"/>
      <c r="LV59" s="30"/>
      <c r="LW59" s="30"/>
      <c r="LX59" s="30"/>
      <c r="LY59" s="30"/>
      <c r="LZ59" s="30"/>
      <c r="MA59" s="30"/>
      <c r="MB59" s="30"/>
      <c r="MC59" s="30"/>
      <c r="MD59" s="30"/>
      <c r="ME59" s="30"/>
      <c r="MF59" s="30"/>
      <c r="MG59" s="30"/>
      <c r="MH59" s="30"/>
      <c r="MI59" s="30"/>
      <c r="MJ59" s="30"/>
      <c r="MK59" s="30"/>
      <c r="ML59" s="30"/>
      <c r="MM59" s="30"/>
      <c r="MN59" s="30"/>
      <c r="MO59" s="30"/>
      <c r="MP59" s="30"/>
      <c r="MQ59" s="30"/>
      <c r="MR59" s="30"/>
      <c r="MS59" s="30"/>
      <c r="MT59" s="30"/>
      <c r="MU59" s="30"/>
      <c r="MV59" s="30"/>
      <c r="MW59" s="30"/>
      <c r="MX59" s="30"/>
      <c r="MY59" s="30"/>
      <c r="MZ59" s="30"/>
      <c r="NA59" s="30"/>
      <c r="NB59" s="30"/>
      <c r="NC59" s="30"/>
      <c r="ND59" s="30"/>
      <c r="NE59" s="30"/>
      <c r="NF59" s="30"/>
      <c r="NG59" s="30"/>
      <c r="NH59" s="30"/>
      <c r="NI59" s="30"/>
      <c r="NJ59" s="30"/>
      <c r="NK59" s="30"/>
      <c r="NL59" s="30"/>
      <c r="NM59" s="30"/>
      <c r="NN59" s="30"/>
      <c r="NO59" s="30"/>
      <c r="NP59" s="30"/>
      <c r="NQ59" s="30"/>
      <c r="NR59" s="30"/>
    </row>
    <row r="60" spans="1:382" s="3" customFormat="1" ht="20.100000000000001" customHeight="1" x14ac:dyDescent="0.4">
      <c r="A60" s="29">
        <v>1</v>
      </c>
      <c r="B60" s="5">
        <v>1949</v>
      </c>
      <c r="C60" s="5" t="s">
        <v>108</v>
      </c>
      <c r="D60" s="5" t="s">
        <v>41</v>
      </c>
      <c r="E60" s="5" t="s">
        <v>6</v>
      </c>
      <c r="F60" s="5" t="s">
        <v>32</v>
      </c>
      <c r="G60" s="5" t="s">
        <v>32</v>
      </c>
      <c r="H60" s="5" t="s">
        <v>32</v>
      </c>
      <c r="I60" s="8"/>
      <c r="J60" s="8"/>
      <c r="K60" s="8" t="str">
        <f>IF(OR(J60="",E60=""),"",J60+IFERROR(VLOOKUP(E60,リードタイム!$A$2:$C$9,3,FALSE),0))</f>
        <v/>
      </c>
      <c r="L60" s="5" t="s">
        <v>530</v>
      </c>
      <c r="M60" s="8"/>
      <c r="N60" s="8" t="str">
        <f>IF(OR(M60="",E60=""),"",M60+IFERROR(VLOOKUP(E60,リードタイム!$A$2:$D$9,4,FALSE),0))</f>
        <v/>
      </c>
      <c r="O60" s="5" t="s">
        <v>530</v>
      </c>
      <c r="P60" s="5" t="s">
        <v>530</v>
      </c>
      <c r="Q60" s="5" t="s">
        <v>44</v>
      </c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0"/>
      <c r="KL60" s="30"/>
      <c r="KM60" s="30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0"/>
      <c r="MI60" s="30"/>
      <c r="MJ60" s="30"/>
      <c r="MK60" s="30"/>
      <c r="ML60" s="30"/>
      <c r="MM60" s="30"/>
      <c r="MN60" s="30"/>
      <c r="MO60" s="30"/>
      <c r="MP60" s="30"/>
      <c r="MQ60" s="30"/>
      <c r="MR60" s="30"/>
      <c r="MS60" s="30"/>
      <c r="MT60" s="30"/>
      <c r="MU60" s="30"/>
      <c r="MV60" s="30"/>
      <c r="MW60" s="30"/>
      <c r="MX60" s="30"/>
      <c r="MY60" s="30"/>
      <c r="MZ60" s="30"/>
      <c r="NA60" s="30"/>
      <c r="NB60" s="30"/>
      <c r="NC60" s="30"/>
      <c r="ND60" s="30"/>
      <c r="NE60" s="30"/>
      <c r="NF60" s="30"/>
      <c r="NG60" s="30"/>
      <c r="NH60" s="30"/>
      <c r="NI60" s="30"/>
      <c r="NJ60" s="30"/>
      <c r="NK60" s="30"/>
      <c r="NL60" s="30"/>
      <c r="NM60" s="30"/>
      <c r="NN60" s="30"/>
      <c r="NO60" s="30"/>
      <c r="NP60" s="30"/>
      <c r="NQ60" s="30"/>
      <c r="NR60" s="30"/>
    </row>
    <row r="61" spans="1:382" s="3" customFormat="1" ht="20.100000000000001" customHeight="1" x14ac:dyDescent="0.4">
      <c r="A61" s="29">
        <v>1</v>
      </c>
      <c r="B61" s="5">
        <v>1023</v>
      </c>
      <c r="C61" s="5" t="s">
        <v>109</v>
      </c>
      <c r="D61" s="5" t="s">
        <v>110</v>
      </c>
      <c r="E61" s="5" t="s">
        <v>8</v>
      </c>
      <c r="F61" s="5" t="s">
        <v>32</v>
      </c>
      <c r="G61" s="5" t="s">
        <v>32</v>
      </c>
      <c r="H61" s="5" t="s">
        <v>32</v>
      </c>
      <c r="I61" s="8"/>
      <c r="J61" s="8"/>
      <c r="K61" s="8" t="str">
        <f>IF(OR(J61="",E61=""),"",J61+IFERROR(VLOOKUP(E61,リードタイム!$A$2:$C$9,3,FALSE),0))</f>
        <v/>
      </c>
      <c r="L61" s="5" t="s">
        <v>530</v>
      </c>
      <c r="M61" s="8"/>
      <c r="N61" s="8" t="str">
        <f>IF(OR(M61="",E61=""),"",M61+IFERROR(VLOOKUP(E61,リードタイム!$A$2:$D$9,4,FALSE),0))</f>
        <v/>
      </c>
      <c r="O61" s="5" t="s">
        <v>530</v>
      </c>
      <c r="P61" s="5" t="s">
        <v>530</v>
      </c>
      <c r="Q61" s="5" t="s">
        <v>111</v>
      </c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0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0"/>
      <c r="KL61" s="30"/>
      <c r="KM61" s="30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0"/>
      <c r="MI61" s="30"/>
      <c r="MJ61" s="30"/>
      <c r="MK61" s="30"/>
      <c r="ML61" s="30"/>
      <c r="MM61" s="30"/>
      <c r="MN61" s="30"/>
      <c r="MO61" s="30"/>
      <c r="MP61" s="30"/>
      <c r="MQ61" s="30"/>
      <c r="MR61" s="30"/>
      <c r="MS61" s="30"/>
      <c r="MT61" s="30"/>
      <c r="MU61" s="30"/>
      <c r="MV61" s="30"/>
      <c r="MW61" s="30"/>
      <c r="MX61" s="30"/>
      <c r="MY61" s="30"/>
      <c r="MZ61" s="30"/>
      <c r="NA61" s="30"/>
      <c r="NB61" s="30"/>
      <c r="NC61" s="30"/>
      <c r="ND61" s="30"/>
      <c r="NE61" s="30"/>
      <c r="NF61" s="30"/>
      <c r="NG61" s="30"/>
      <c r="NH61" s="30"/>
      <c r="NI61" s="30"/>
      <c r="NJ61" s="30"/>
      <c r="NK61" s="30"/>
      <c r="NL61" s="30"/>
      <c r="NM61" s="30"/>
      <c r="NN61" s="30"/>
      <c r="NO61" s="30"/>
      <c r="NP61" s="30"/>
      <c r="NQ61" s="30"/>
      <c r="NR61" s="30"/>
    </row>
    <row r="62" spans="1:382" s="3" customFormat="1" ht="20.100000000000001" customHeight="1" x14ac:dyDescent="0.4">
      <c r="A62" s="29">
        <v>1</v>
      </c>
      <c r="B62" s="5">
        <v>1875</v>
      </c>
      <c r="C62" s="5" t="s">
        <v>112</v>
      </c>
      <c r="D62" s="5" t="s">
        <v>113</v>
      </c>
      <c r="E62" s="5" t="s">
        <v>4</v>
      </c>
      <c r="F62" s="5" t="s">
        <v>32</v>
      </c>
      <c r="G62" s="5" t="s">
        <v>32</v>
      </c>
      <c r="H62" s="5" t="s">
        <v>32</v>
      </c>
      <c r="I62" s="8">
        <v>45929.625</v>
      </c>
      <c r="J62" s="8"/>
      <c r="K62" s="8" t="str">
        <f>IF(OR(J62="",E62=""),"",J62+IFERROR(VLOOKUP(E62,リードタイム!$A$2:$C$9,3,FALSE),0))</f>
        <v/>
      </c>
      <c r="L62" s="5" t="s">
        <v>531</v>
      </c>
      <c r="M62" s="8"/>
      <c r="N62" s="8" t="str">
        <f>IF(OR(M62="",E62=""),"",M62+IFERROR(VLOOKUP(E62,リードタイム!$A$2:$D$9,4,FALSE),0))</f>
        <v/>
      </c>
      <c r="O62" s="5" t="s">
        <v>531</v>
      </c>
      <c r="P62" s="5" t="s">
        <v>533</v>
      </c>
      <c r="Q62" s="5" t="s">
        <v>32</v>
      </c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0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0"/>
      <c r="KL62" s="30"/>
      <c r="KM62" s="30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0"/>
      <c r="MI62" s="30"/>
      <c r="MJ62" s="30"/>
      <c r="MK62" s="30"/>
      <c r="ML62" s="30"/>
      <c r="MM62" s="30"/>
      <c r="MN62" s="30"/>
      <c r="MO62" s="30"/>
      <c r="MP62" s="30"/>
      <c r="MQ62" s="30"/>
      <c r="MR62" s="30"/>
      <c r="MS62" s="30"/>
      <c r="MT62" s="30"/>
      <c r="MU62" s="30"/>
      <c r="MV62" s="30"/>
      <c r="MW62" s="30"/>
      <c r="MX62" s="30"/>
      <c r="MY62" s="30"/>
      <c r="MZ62" s="30"/>
      <c r="NA62" s="30"/>
      <c r="NB62" s="30"/>
      <c r="NC62" s="30"/>
      <c r="ND62" s="30"/>
      <c r="NE62" s="30"/>
      <c r="NF62" s="30"/>
      <c r="NG62" s="30"/>
      <c r="NH62" s="30"/>
      <c r="NI62" s="30"/>
      <c r="NJ62" s="30"/>
      <c r="NK62" s="30"/>
      <c r="NL62" s="30"/>
      <c r="NM62" s="30"/>
      <c r="NN62" s="30"/>
      <c r="NO62" s="30"/>
      <c r="NP62" s="30"/>
      <c r="NQ62" s="30"/>
      <c r="NR62" s="30"/>
    </row>
    <row r="63" spans="1:382" s="3" customFormat="1" ht="20.100000000000001" customHeight="1" x14ac:dyDescent="0.4">
      <c r="A63" s="29">
        <v>2</v>
      </c>
      <c r="B63" s="5">
        <v>1891</v>
      </c>
      <c r="C63" s="5" t="s">
        <v>112</v>
      </c>
      <c r="D63" s="5" t="s">
        <v>41</v>
      </c>
      <c r="E63" s="5" t="s">
        <v>6</v>
      </c>
      <c r="F63" s="5" t="s">
        <v>32</v>
      </c>
      <c r="G63" s="5" t="s">
        <v>32</v>
      </c>
      <c r="H63" s="5" t="s">
        <v>32</v>
      </c>
      <c r="I63" s="8">
        <v>45960.625</v>
      </c>
      <c r="J63" s="8"/>
      <c r="K63" s="8" t="str">
        <f>IF(OR(J63="",E63=""),"",J63+IFERROR(VLOOKUP(E63,リードタイム!$A$2:$C$9,3,FALSE),0))</f>
        <v/>
      </c>
      <c r="L63" s="5" t="s">
        <v>531</v>
      </c>
      <c r="M63" s="8"/>
      <c r="N63" s="8" t="str">
        <f>IF(OR(M63="",E63=""),"",M63+IFERROR(VLOOKUP(E63,リードタイム!$A$2:$D$9,4,FALSE),0))</f>
        <v/>
      </c>
      <c r="O63" s="5" t="s">
        <v>531</v>
      </c>
      <c r="P63" s="5" t="s">
        <v>533</v>
      </c>
      <c r="Q63" s="5" t="s">
        <v>32</v>
      </c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0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0"/>
      <c r="KL63" s="30"/>
      <c r="KM63" s="30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0"/>
      <c r="MI63" s="30"/>
      <c r="MJ63" s="30"/>
      <c r="MK63" s="30"/>
      <c r="ML63" s="30"/>
      <c r="MM63" s="30"/>
      <c r="MN63" s="30"/>
      <c r="MO63" s="30"/>
      <c r="MP63" s="30"/>
      <c r="MQ63" s="30"/>
      <c r="MR63" s="30"/>
      <c r="MS63" s="30"/>
      <c r="MT63" s="30"/>
      <c r="MU63" s="30"/>
      <c r="MV63" s="30"/>
      <c r="MW63" s="30"/>
      <c r="MX63" s="30"/>
      <c r="MY63" s="30"/>
      <c r="MZ63" s="30"/>
      <c r="NA63" s="30"/>
      <c r="NB63" s="30"/>
      <c r="NC63" s="30"/>
      <c r="ND63" s="30"/>
      <c r="NE63" s="30"/>
      <c r="NF63" s="30"/>
      <c r="NG63" s="30"/>
      <c r="NH63" s="30"/>
      <c r="NI63" s="30"/>
      <c r="NJ63" s="30"/>
      <c r="NK63" s="30"/>
      <c r="NL63" s="30"/>
      <c r="NM63" s="30"/>
      <c r="NN63" s="30"/>
      <c r="NO63" s="30"/>
      <c r="NP63" s="30"/>
      <c r="NQ63" s="30"/>
      <c r="NR63" s="30"/>
    </row>
    <row r="64" spans="1:382" s="3" customFormat="1" ht="20.100000000000001" customHeight="1" x14ac:dyDescent="0.4">
      <c r="A64" s="29">
        <v>3</v>
      </c>
      <c r="B64" s="5">
        <v>1892</v>
      </c>
      <c r="C64" s="5" t="s">
        <v>112</v>
      </c>
      <c r="D64" s="5" t="s">
        <v>62</v>
      </c>
      <c r="E64" s="5" t="s">
        <v>8</v>
      </c>
      <c r="F64" s="5" t="s">
        <v>32</v>
      </c>
      <c r="G64" s="5" t="s">
        <v>32</v>
      </c>
      <c r="H64" s="5" t="s">
        <v>32</v>
      </c>
      <c r="I64" s="8">
        <v>45960.625</v>
      </c>
      <c r="J64" s="8"/>
      <c r="K64" s="8" t="str">
        <f>IF(OR(J64="",E64=""),"",J64+IFERROR(VLOOKUP(E64,リードタイム!$A$2:$C$9,3,FALSE),0))</f>
        <v/>
      </c>
      <c r="L64" s="5" t="s">
        <v>531</v>
      </c>
      <c r="M64" s="8"/>
      <c r="N64" s="8" t="str">
        <f>IF(OR(M64="",E64=""),"",M64+IFERROR(VLOOKUP(E64,リードタイム!$A$2:$D$9,4,FALSE),0))</f>
        <v/>
      </c>
      <c r="O64" s="5" t="s">
        <v>531</v>
      </c>
      <c r="P64" s="5" t="s">
        <v>533</v>
      </c>
      <c r="Q64" s="5" t="s">
        <v>32</v>
      </c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0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0"/>
      <c r="KL64" s="30"/>
      <c r="KM64" s="30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0"/>
      <c r="MI64" s="30"/>
      <c r="MJ64" s="30"/>
      <c r="MK64" s="30"/>
      <c r="ML64" s="30"/>
      <c r="MM64" s="30"/>
      <c r="MN64" s="30"/>
      <c r="MO64" s="30"/>
      <c r="MP64" s="30"/>
      <c r="MQ64" s="30"/>
      <c r="MR64" s="30"/>
      <c r="MS64" s="30"/>
      <c r="MT64" s="30"/>
      <c r="MU64" s="30"/>
      <c r="MV64" s="30"/>
      <c r="MW64" s="30"/>
      <c r="MX64" s="30"/>
      <c r="MY64" s="30"/>
      <c r="MZ64" s="30"/>
      <c r="NA64" s="30"/>
      <c r="NB64" s="30"/>
      <c r="NC64" s="30"/>
      <c r="ND64" s="30"/>
      <c r="NE64" s="30"/>
      <c r="NF64" s="30"/>
      <c r="NG64" s="30"/>
      <c r="NH64" s="30"/>
      <c r="NI64" s="30"/>
      <c r="NJ64" s="30"/>
      <c r="NK64" s="30"/>
      <c r="NL64" s="30"/>
      <c r="NM64" s="30"/>
      <c r="NN64" s="30"/>
      <c r="NO64" s="30"/>
      <c r="NP64" s="30"/>
      <c r="NQ64" s="30"/>
      <c r="NR64" s="30"/>
    </row>
    <row r="65" spans="1:382" s="3" customFormat="1" ht="20.100000000000001" customHeight="1" x14ac:dyDescent="0.4">
      <c r="A65" s="29">
        <v>4</v>
      </c>
      <c r="B65" s="5">
        <v>1891</v>
      </c>
      <c r="C65" s="5" t="s">
        <v>112</v>
      </c>
      <c r="D65" s="5" t="s">
        <v>114</v>
      </c>
      <c r="E65" s="5" t="s">
        <v>6</v>
      </c>
      <c r="F65" s="5" t="s">
        <v>32</v>
      </c>
      <c r="G65" s="5" t="s">
        <v>32</v>
      </c>
      <c r="H65" s="5" t="s">
        <v>32</v>
      </c>
      <c r="I65" s="8"/>
      <c r="J65" s="8"/>
      <c r="K65" s="8" t="str">
        <f>IF(OR(J65="",E65=""),"",J65+IFERROR(VLOOKUP(E65,リードタイム!$A$2:$C$9,3,FALSE),0))</f>
        <v/>
      </c>
      <c r="L65" s="5" t="s">
        <v>530</v>
      </c>
      <c r="M65" s="8"/>
      <c r="N65" s="8" t="str">
        <f>IF(OR(M65="",E65=""),"",M65+IFERROR(VLOOKUP(E65,リードタイム!$A$2:$D$9,4,FALSE),0))</f>
        <v/>
      </c>
      <c r="O65" s="5" t="s">
        <v>530</v>
      </c>
      <c r="P65" s="5" t="s">
        <v>530</v>
      </c>
      <c r="Q65" s="5" t="s">
        <v>115</v>
      </c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0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0"/>
      <c r="KL65" s="30"/>
      <c r="KM65" s="30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0"/>
      <c r="MI65" s="30"/>
      <c r="MJ65" s="30"/>
      <c r="MK65" s="30"/>
      <c r="ML65" s="30"/>
      <c r="MM65" s="30"/>
      <c r="MN65" s="30"/>
      <c r="MO65" s="30"/>
      <c r="MP65" s="30"/>
      <c r="MQ65" s="30"/>
      <c r="MR65" s="30"/>
      <c r="MS65" s="30"/>
      <c r="MT65" s="30"/>
      <c r="MU65" s="30"/>
      <c r="MV65" s="30"/>
      <c r="MW65" s="30"/>
      <c r="MX65" s="30"/>
      <c r="MY65" s="30"/>
      <c r="MZ65" s="30"/>
      <c r="NA65" s="30"/>
      <c r="NB65" s="30"/>
      <c r="NC65" s="30"/>
      <c r="ND65" s="30"/>
      <c r="NE65" s="30"/>
      <c r="NF65" s="30"/>
      <c r="NG65" s="30"/>
      <c r="NH65" s="30"/>
      <c r="NI65" s="30"/>
      <c r="NJ65" s="30"/>
      <c r="NK65" s="30"/>
      <c r="NL65" s="30"/>
      <c r="NM65" s="30"/>
      <c r="NN65" s="30"/>
      <c r="NO65" s="30"/>
      <c r="NP65" s="30"/>
      <c r="NQ65" s="30"/>
      <c r="NR65" s="30"/>
    </row>
    <row r="66" spans="1:382" s="3" customFormat="1" ht="20.100000000000001" customHeight="1" x14ac:dyDescent="0.4">
      <c r="A66" s="29">
        <v>1</v>
      </c>
      <c r="B66" s="5" t="s">
        <v>32</v>
      </c>
      <c r="C66" s="5" t="s">
        <v>116</v>
      </c>
      <c r="D66" s="5" t="s">
        <v>41</v>
      </c>
      <c r="E66" s="5" t="s">
        <v>6</v>
      </c>
      <c r="F66" s="5" t="s">
        <v>32</v>
      </c>
      <c r="G66" s="5" t="s">
        <v>32</v>
      </c>
      <c r="H66" s="5" t="s">
        <v>32</v>
      </c>
      <c r="I66" s="8"/>
      <c r="J66" s="8"/>
      <c r="K66" s="8" t="str">
        <f>IF(OR(J66="",E66=""),"",J66+IFERROR(VLOOKUP(E66,リードタイム!$A$2:$C$9,3,FALSE),0))</f>
        <v/>
      </c>
      <c r="L66" s="5" t="s">
        <v>531</v>
      </c>
      <c r="M66" s="8"/>
      <c r="N66" s="8" t="str">
        <f>IF(OR(M66="",E66=""),"",M66+IFERROR(VLOOKUP(E66,リードタイム!$A$2:$D$9,4,FALSE),0))</f>
        <v/>
      </c>
      <c r="O66" s="5" t="s">
        <v>531</v>
      </c>
      <c r="P66" s="5" t="s">
        <v>532</v>
      </c>
      <c r="Q66" s="5" t="s">
        <v>117</v>
      </c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0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0"/>
      <c r="KL66" s="30"/>
      <c r="KM66" s="30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0"/>
      <c r="MI66" s="30"/>
      <c r="MJ66" s="30"/>
      <c r="MK66" s="30"/>
      <c r="ML66" s="30"/>
      <c r="MM66" s="30"/>
      <c r="MN66" s="30"/>
      <c r="MO66" s="30"/>
      <c r="MP66" s="30"/>
      <c r="MQ66" s="30"/>
      <c r="MR66" s="30"/>
      <c r="MS66" s="30"/>
      <c r="MT66" s="30"/>
      <c r="MU66" s="30"/>
      <c r="MV66" s="30"/>
      <c r="MW66" s="30"/>
      <c r="MX66" s="30"/>
      <c r="MY66" s="30"/>
      <c r="MZ66" s="30"/>
      <c r="NA66" s="30"/>
      <c r="NB66" s="30"/>
      <c r="NC66" s="30"/>
      <c r="ND66" s="30"/>
      <c r="NE66" s="30"/>
      <c r="NF66" s="30"/>
      <c r="NG66" s="30"/>
      <c r="NH66" s="30"/>
      <c r="NI66" s="30"/>
      <c r="NJ66" s="30"/>
      <c r="NK66" s="30"/>
      <c r="NL66" s="30"/>
      <c r="NM66" s="30"/>
      <c r="NN66" s="30"/>
      <c r="NO66" s="30"/>
      <c r="NP66" s="30"/>
      <c r="NQ66" s="30"/>
      <c r="NR66" s="30"/>
    </row>
    <row r="67" spans="1:382" s="3" customFormat="1" ht="20.100000000000001" customHeight="1" x14ac:dyDescent="0.4">
      <c r="A67" s="29">
        <v>2</v>
      </c>
      <c r="B67" s="5" t="s">
        <v>32</v>
      </c>
      <c r="C67" s="5" t="s">
        <v>116</v>
      </c>
      <c r="D67" s="5" t="s">
        <v>41</v>
      </c>
      <c r="E67" s="5" t="s">
        <v>6</v>
      </c>
      <c r="F67" s="5" t="s">
        <v>32</v>
      </c>
      <c r="G67" s="5" t="s">
        <v>32</v>
      </c>
      <c r="H67" s="5" t="s">
        <v>32</v>
      </c>
      <c r="I67" s="8"/>
      <c r="J67" s="8"/>
      <c r="K67" s="8" t="str">
        <f>IF(OR(J67="",E67=""),"",J67+IFERROR(VLOOKUP(E67,リードタイム!$A$2:$C$9,3,FALSE),0))</f>
        <v/>
      </c>
      <c r="L67" s="5" t="s">
        <v>530</v>
      </c>
      <c r="M67" s="8"/>
      <c r="N67" s="8" t="str">
        <f>IF(OR(M67="",E67=""),"",M67+IFERROR(VLOOKUP(E67,リードタイム!$A$2:$D$9,4,FALSE),0))</f>
        <v/>
      </c>
      <c r="O67" s="5" t="s">
        <v>530</v>
      </c>
      <c r="P67" s="5" t="s">
        <v>530</v>
      </c>
      <c r="Q67" s="5" t="s">
        <v>118</v>
      </c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0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0"/>
      <c r="KL67" s="30"/>
      <c r="KM67" s="30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0"/>
      <c r="MI67" s="30"/>
      <c r="MJ67" s="30"/>
      <c r="MK67" s="30"/>
      <c r="ML67" s="30"/>
      <c r="MM67" s="30"/>
      <c r="MN67" s="30"/>
      <c r="MO67" s="30"/>
      <c r="MP67" s="30"/>
      <c r="MQ67" s="30"/>
      <c r="MR67" s="30"/>
      <c r="MS67" s="30"/>
      <c r="MT67" s="30"/>
      <c r="MU67" s="30"/>
      <c r="MV67" s="30"/>
      <c r="MW67" s="30"/>
      <c r="MX67" s="30"/>
      <c r="MY67" s="30"/>
      <c r="MZ67" s="30"/>
      <c r="NA67" s="30"/>
      <c r="NB67" s="30"/>
      <c r="NC67" s="30"/>
      <c r="ND67" s="30"/>
      <c r="NE67" s="30"/>
      <c r="NF67" s="30"/>
      <c r="NG67" s="30"/>
      <c r="NH67" s="30"/>
      <c r="NI67" s="30"/>
      <c r="NJ67" s="30"/>
      <c r="NK67" s="30"/>
      <c r="NL67" s="30"/>
      <c r="NM67" s="30"/>
      <c r="NN67" s="30"/>
      <c r="NO67" s="30"/>
      <c r="NP67" s="30"/>
      <c r="NQ67" s="30"/>
      <c r="NR67" s="30"/>
    </row>
    <row r="68" spans="1:382" s="3" customFormat="1" ht="20.100000000000001" customHeight="1" x14ac:dyDescent="0.4">
      <c r="A68" s="29">
        <v>1</v>
      </c>
      <c r="B68" s="5" t="s">
        <v>32</v>
      </c>
      <c r="C68" s="5" t="s">
        <v>119</v>
      </c>
      <c r="D68" s="5" t="s">
        <v>41</v>
      </c>
      <c r="E68" s="5" t="s">
        <v>6</v>
      </c>
      <c r="F68" s="5" t="s">
        <v>32</v>
      </c>
      <c r="G68" s="5" t="s">
        <v>32</v>
      </c>
      <c r="H68" s="5" t="s">
        <v>32</v>
      </c>
      <c r="I68" s="8"/>
      <c r="J68" s="8"/>
      <c r="K68" s="8" t="str">
        <f>IF(OR(J68="",E68=""),"",J68+IFERROR(VLOOKUP(E68,リードタイム!$A$2:$C$9,3,FALSE),0))</f>
        <v/>
      </c>
      <c r="L68" s="5" t="s">
        <v>531</v>
      </c>
      <c r="M68" s="8"/>
      <c r="N68" s="8" t="str">
        <f>IF(OR(M68="",E68=""),"",M68+IFERROR(VLOOKUP(E68,リードタイム!$A$2:$D$9,4,FALSE),0))</f>
        <v/>
      </c>
      <c r="O68" s="5" t="s">
        <v>531</v>
      </c>
      <c r="P68" s="5" t="s">
        <v>532</v>
      </c>
      <c r="Q68" s="5" t="s">
        <v>117</v>
      </c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0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0"/>
      <c r="KL68" s="30"/>
      <c r="KM68" s="30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0"/>
      <c r="MI68" s="30"/>
      <c r="MJ68" s="30"/>
      <c r="MK68" s="30"/>
      <c r="ML68" s="30"/>
      <c r="MM68" s="30"/>
      <c r="MN68" s="30"/>
      <c r="MO68" s="30"/>
      <c r="MP68" s="30"/>
      <c r="MQ68" s="30"/>
      <c r="MR68" s="30"/>
      <c r="MS68" s="30"/>
      <c r="MT68" s="30"/>
      <c r="MU68" s="30"/>
      <c r="MV68" s="30"/>
      <c r="MW68" s="30"/>
      <c r="MX68" s="30"/>
      <c r="MY68" s="30"/>
      <c r="MZ68" s="30"/>
      <c r="NA68" s="30"/>
      <c r="NB68" s="30"/>
      <c r="NC68" s="30"/>
      <c r="ND68" s="30"/>
      <c r="NE68" s="30"/>
      <c r="NF68" s="30"/>
      <c r="NG68" s="30"/>
      <c r="NH68" s="30"/>
      <c r="NI68" s="30"/>
      <c r="NJ68" s="30"/>
      <c r="NK68" s="30"/>
      <c r="NL68" s="30"/>
      <c r="NM68" s="30"/>
      <c r="NN68" s="30"/>
      <c r="NO68" s="30"/>
      <c r="NP68" s="30"/>
      <c r="NQ68" s="30"/>
      <c r="NR68" s="30"/>
    </row>
    <row r="69" spans="1:382" s="3" customFormat="1" ht="20.100000000000001" customHeight="1" x14ac:dyDescent="0.4">
      <c r="A69" s="29">
        <v>2</v>
      </c>
      <c r="B69" s="5" t="s">
        <v>32</v>
      </c>
      <c r="C69" s="5" t="s">
        <v>119</v>
      </c>
      <c r="D69" s="5" t="s">
        <v>41</v>
      </c>
      <c r="E69" s="5" t="s">
        <v>6</v>
      </c>
      <c r="F69" s="5" t="s">
        <v>32</v>
      </c>
      <c r="G69" s="5" t="s">
        <v>32</v>
      </c>
      <c r="H69" s="5" t="s">
        <v>32</v>
      </c>
      <c r="I69" s="8"/>
      <c r="J69" s="8"/>
      <c r="K69" s="8" t="str">
        <f>IF(OR(J69="",E69=""),"",J69+IFERROR(VLOOKUP(E69,リードタイム!$A$2:$C$9,3,FALSE),0))</f>
        <v/>
      </c>
      <c r="L69" s="5" t="s">
        <v>530</v>
      </c>
      <c r="M69" s="8"/>
      <c r="N69" s="8" t="str">
        <f>IF(OR(M69="",E69=""),"",M69+IFERROR(VLOOKUP(E69,リードタイム!$A$2:$D$9,4,FALSE),0))</f>
        <v/>
      </c>
      <c r="O69" s="5" t="s">
        <v>530</v>
      </c>
      <c r="P69" s="5" t="s">
        <v>530</v>
      </c>
      <c r="Q69" s="5" t="s">
        <v>118</v>
      </c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0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0"/>
      <c r="KL69" s="30"/>
      <c r="KM69" s="30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  <c r="LL69" s="30"/>
      <c r="LM69" s="30"/>
      <c r="LN69" s="30"/>
      <c r="LO69" s="30"/>
      <c r="LP69" s="30"/>
      <c r="LQ69" s="30"/>
      <c r="LR69" s="30"/>
      <c r="LS69" s="30"/>
      <c r="LT69" s="30"/>
      <c r="LU69" s="30"/>
      <c r="LV69" s="30"/>
      <c r="LW69" s="30"/>
      <c r="LX69" s="30"/>
      <c r="LY69" s="30"/>
      <c r="LZ69" s="30"/>
      <c r="MA69" s="30"/>
      <c r="MB69" s="30"/>
      <c r="MC69" s="30"/>
      <c r="MD69" s="30"/>
      <c r="ME69" s="30"/>
      <c r="MF69" s="30"/>
      <c r="MG69" s="30"/>
      <c r="MH69" s="30"/>
      <c r="MI69" s="30"/>
      <c r="MJ69" s="30"/>
      <c r="MK69" s="30"/>
      <c r="ML69" s="30"/>
      <c r="MM69" s="30"/>
      <c r="MN69" s="30"/>
      <c r="MO69" s="30"/>
      <c r="MP69" s="30"/>
      <c r="MQ69" s="30"/>
      <c r="MR69" s="30"/>
      <c r="MS69" s="30"/>
      <c r="MT69" s="30"/>
      <c r="MU69" s="30"/>
      <c r="MV69" s="30"/>
      <c r="MW69" s="30"/>
      <c r="MX69" s="30"/>
      <c r="MY69" s="30"/>
      <c r="MZ69" s="30"/>
      <c r="NA69" s="30"/>
      <c r="NB69" s="30"/>
      <c r="NC69" s="30"/>
      <c r="ND69" s="30"/>
      <c r="NE69" s="30"/>
      <c r="NF69" s="30"/>
      <c r="NG69" s="30"/>
      <c r="NH69" s="30"/>
      <c r="NI69" s="30"/>
      <c r="NJ69" s="30"/>
      <c r="NK69" s="30"/>
      <c r="NL69" s="30"/>
      <c r="NM69" s="30"/>
      <c r="NN69" s="30"/>
      <c r="NO69" s="30"/>
      <c r="NP69" s="30"/>
      <c r="NQ69" s="30"/>
      <c r="NR69" s="30"/>
    </row>
    <row r="70" spans="1:382" s="3" customFormat="1" ht="20.100000000000001" customHeight="1" x14ac:dyDescent="0.4">
      <c r="A70" s="29">
        <v>1</v>
      </c>
      <c r="B70" s="5">
        <v>848</v>
      </c>
      <c r="C70" s="5" t="s">
        <v>120</v>
      </c>
      <c r="D70" s="5" t="s">
        <v>76</v>
      </c>
      <c r="E70" s="5" t="s">
        <v>6</v>
      </c>
      <c r="F70" s="5" t="s">
        <v>32</v>
      </c>
      <c r="G70" s="5" t="s">
        <v>32</v>
      </c>
      <c r="H70" s="5" t="s">
        <v>32</v>
      </c>
      <c r="I70" s="8"/>
      <c r="J70" s="8"/>
      <c r="K70" s="8" t="str">
        <f>IF(OR(J70="",E70=""),"",J70+IFERROR(VLOOKUP(E70,リードタイム!$A$2:$C$9,3,FALSE),0))</f>
        <v/>
      </c>
      <c r="L70" s="5" t="s">
        <v>531</v>
      </c>
      <c r="M70" s="8"/>
      <c r="N70" s="8" t="str">
        <f>IF(OR(M70="",E70=""),"",M70+IFERROR(VLOOKUP(E70,リードタイム!$A$2:$D$9,4,FALSE),0))</f>
        <v/>
      </c>
      <c r="O70" s="5" t="s">
        <v>531</v>
      </c>
      <c r="P70" s="5" t="s">
        <v>533</v>
      </c>
      <c r="Q70" s="5" t="s">
        <v>32</v>
      </c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0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0"/>
      <c r="KL70" s="30"/>
      <c r="KM70" s="30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0"/>
      <c r="MI70" s="30"/>
      <c r="MJ70" s="30"/>
      <c r="MK70" s="30"/>
      <c r="ML70" s="30"/>
      <c r="MM70" s="30"/>
      <c r="MN70" s="30"/>
      <c r="MO70" s="30"/>
      <c r="MP70" s="30"/>
      <c r="MQ70" s="30"/>
      <c r="MR70" s="30"/>
      <c r="MS70" s="30"/>
      <c r="MT70" s="30"/>
      <c r="MU70" s="30"/>
      <c r="MV70" s="30"/>
      <c r="MW70" s="30"/>
      <c r="MX70" s="30"/>
      <c r="MY70" s="30"/>
      <c r="MZ70" s="30"/>
      <c r="NA70" s="30"/>
      <c r="NB70" s="30"/>
      <c r="NC70" s="30"/>
      <c r="ND70" s="30"/>
      <c r="NE70" s="30"/>
      <c r="NF70" s="30"/>
      <c r="NG70" s="30"/>
      <c r="NH70" s="30"/>
      <c r="NI70" s="30"/>
      <c r="NJ70" s="30"/>
      <c r="NK70" s="30"/>
      <c r="NL70" s="30"/>
      <c r="NM70" s="30"/>
      <c r="NN70" s="30"/>
      <c r="NO70" s="30"/>
      <c r="NP70" s="30"/>
      <c r="NQ70" s="30"/>
      <c r="NR70" s="30"/>
    </row>
    <row r="71" spans="1:382" s="3" customFormat="1" ht="20.100000000000001" customHeight="1" x14ac:dyDescent="0.4">
      <c r="A71" s="29">
        <v>1</v>
      </c>
      <c r="B71" s="5">
        <v>1397</v>
      </c>
      <c r="C71" s="5" t="s">
        <v>121</v>
      </c>
      <c r="D71" s="5" t="s">
        <v>122</v>
      </c>
      <c r="E71" s="5" t="s">
        <v>10</v>
      </c>
      <c r="F71" s="5" t="s">
        <v>32</v>
      </c>
      <c r="G71" s="5" t="s">
        <v>32</v>
      </c>
      <c r="H71" s="5" t="s">
        <v>32</v>
      </c>
      <c r="I71" s="8"/>
      <c r="J71" s="8"/>
      <c r="K71" s="8" t="str">
        <f>IF(OR(J71="",E71=""),"",J71+IFERROR(VLOOKUP(E71,リードタイム!$A$2:$C$9,3,FALSE),0))</f>
        <v/>
      </c>
      <c r="L71" s="5" t="s">
        <v>531</v>
      </c>
      <c r="M71" s="8"/>
      <c r="N71" s="8" t="str">
        <f>IF(OR(M71="",E71=""),"",M71+IFERROR(VLOOKUP(E71,リードタイム!$A$2:$D$9,4,FALSE),0))</f>
        <v/>
      </c>
      <c r="O71" s="5" t="s">
        <v>531</v>
      </c>
      <c r="P71" s="5" t="s">
        <v>533</v>
      </c>
      <c r="Q71" s="5" t="s">
        <v>32</v>
      </c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/>
      <c r="IN71" s="30"/>
      <c r="IO71" s="30"/>
      <c r="IP71" s="30"/>
      <c r="IQ71" s="30"/>
      <c r="IR71" s="30"/>
      <c r="IS71" s="30"/>
      <c r="IT71" s="30"/>
      <c r="IU71" s="30"/>
      <c r="IV71" s="30"/>
      <c r="IW71" s="30"/>
      <c r="IX71" s="30"/>
      <c r="IY71" s="30"/>
      <c r="IZ71" s="30"/>
      <c r="JA71" s="30"/>
      <c r="JB71" s="30"/>
      <c r="JC71" s="30"/>
      <c r="JD71" s="30"/>
      <c r="JE71" s="30"/>
      <c r="JF71" s="30"/>
      <c r="JG71" s="30"/>
      <c r="JH71" s="30"/>
      <c r="JI71" s="30"/>
      <c r="JJ71" s="30"/>
      <c r="JK71" s="30"/>
      <c r="JL71" s="30"/>
      <c r="JM71" s="30"/>
      <c r="JN71" s="30"/>
      <c r="JO71" s="30"/>
      <c r="JP71" s="30"/>
      <c r="JQ71" s="30"/>
      <c r="JR71" s="30"/>
      <c r="JS71" s="30"/>
      <c r="JT71" s="30"/>
      <c r="JU71" s="30"/>
      <c r="JV71" s="30"/>
      <c r="JW71" s="30"/>
      <c r="JX71" s="30"/>
      <c r="JY71" s="30"/>
      <c r="JZ71" s="30"/>
      <c r="KA71" s="30"/>
      <c r="KB71" s="30"/>
      <c r="KC71" s="30"/>
      <c r="KD71" s="30"/>
      <c r="KE71" s="30"/>
      <c r="KF71" s="30"/>
      <c r="KG71" s="30"/>
      <c r="KH71" s="30"/>
      <c r="KI71" s="30"/>
      <c r="KJ71" s="30"/>
      <c r="KK71" s="30"/>
      <c r="KL71" s="30"/>
      <c r="KM71" s="30"/>
      <c r="KN71" s="30"/>
      <c r="KO71" s="30"/>
      <c r="KP71" s="30"/>
      <c r="KQ71" s="30"/>
      <c r="KR71" s="30"/>
      <c r="KS71" s="30"/>
      <c r="KT71" s="30"/>
      <c r="KU71" s="30"/>
      <c r="KV71" s="30"/>
      <c r="KW71" s="30"/>
      <c r="KX71" s="30"/>
      <c r="KY71" s="30"/>
      <c r="KZ71" s="30"/>
      <c r="LA71" s="30"/>
      <c r="LB71" s="30"/>
      <c r="LC71" s="30"/>
      <c r="LD71" s="30"/>
      <c r="LE71" s="30"/>
      <c r="LF71" s="30"/>
      <c r="LG71" s="30"/>
      <c r="LH71" s="30"/>
      <c r="LI71" s="30"/>
      <c r="LJ71" s="30"/>
      <c r="LK71" s="30"/>
      <c r="LL71" s="30"/>
      <c r="LM71" s="30"/>
      <c r="LN71" s="30"/>
      <c r="LO71" s="30"/>
      <c r="LP71" s="30"/>
      <c r="LQ71" s="30"/>
      <c r="LR71" s="30"/>
      <c r="LS71" s="30"/>
      <c r="LT71" s="30"/>
      <c r="LU71" s="30"/>
      <c r="LV71" s="30"/>
      <c r="LW71" s="30"/>
      <c r="LX71" s="30"/>
      <c r="LY71" s="30"/>
      <c r="LZ71" s="30"/>
      <c r="MA71" s="30"/>
      <c r="MB71" s="30"/>
      <c r="MC71" s="30"/>
      <c r="MD71" s="30"/>
      <c r="ME71" s="30"/>
      <c r="MF71" s="30"/>
      <c r="MG71" s="30"/>
      <c r="MH71" s="30"/>
      <c r="MI71" s="30"/>
      <c r="MJ71" s="30"/>
      <c r="MK71" s="30"/>
      <c r="ML71" s="30"/>
      <c r="MM71" s="30"/>
      <c r="MN71" s="30"/>
      <c r="MO71" s="30"/>
      <c r="MP71" s="30"/>
      <c r="MQ71" s="30"/>
      <c r="MR71" s="30"/>
      <c r="MS71" s="30"/>
      <c r="MT71" s="30"/>
      <c r="MU71" s="30"/>
      <c r="MV71" s="30"/>
      <c r="MW71" s="30"/>
      <c r="MX71" s="30"/>
      <c r="MY71" s="30"/>
      <c r="MZ71" s="30"/>
      <c r="NA71" s="30"/>
      <c r="NB71" s="30"/>
      <c r="NC71" s="30"/>
      <c r="ND71" s="30"/>
      <c r="NE71" s="30"/>
      <c r="NF71" s="30"/>
      <c r="NG71" s="30"/>
      <c r="NH71" s="30"/>
      <c r="NI71" s="30"/>
      <c r="NJ71" s="30"/>
      <c r="NK71" s="30"/>
      <c r="NL71" s="30"/>
      <c r="NM71" s="30"/>
      <c r="NN71" s="30"/>
      <c r="NO71" s="30"/>
      <c r="NP71" s="30"/>
      <c r="NQ71" s="30"/>
      <c r="NR71" s="30"/>
    </row>
    <row r="72" spans="1:382" s="3" customFormat="1" ht="20.100000000000001" customHeight="1" x14ac:dyDescent="0.4">
      <c r="A72" s="29">
        <v>1</v>
      </c>
      <c r="B72" s="5">
        <v>702</v>
      </c>
      <c r="C72" s="5" t="s">
        <v>123</v>
      </c>
      <c r="D72" s="5" t="s">
        <v>124</v>
      </c>
      <c r="E72" s="5" t="s">
        <v>4</v>
      </c>
      <c r="F72" s="5" t="s">
        <v>32</v>
      </c>
      <c r="G72" s="5" t="s">
        <v>32</v>
      </c>
      <c r="H72" s="5" t="s">
        <v>32</v>
      </c>
      <c r="I72" s="8"/>
      <c r="J72" s="8"/>
      <c r="K72" s="8" t="str">
        <f>IF(OR(J72="",E72=""),"",J72+IFERROR(VLOOKUP(E72,リードタイム!$A$2:$C$9,3,FALSE),0))</f>
        <v/>
      </c>
      <c r="L72" s="5" t="s">
        <v>531</v>
      </c>
      <c r="M72" s="8"/>
      <c r="N72" s="8" t="str">
        <f>IF(OR(M72="",E72=""),"",M72+IFERROR(VLOOKUP(E72,リードタイム!$A$2:$D$9,4,FALSE),0))</f>
        <v/>
      </c>
      <c r="O72" s="5" t="s">
        <v>531</v>
      </c>
      <c r="P72" s="5" t="s">
        <v>533</v>
      </c>
      <c r="Q72" s="5" t="s">
        <v>32</v>
      </c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0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0"/>
      <c r="KL72" s="30"/>
      <c r="KM72" s="30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0"/>
      <c r="MI72" s="30"/>
      <c r="MJ72" s="30"/>
      <c r="MK72" s="30"/>
      <c r="ML72" s="30"/>
      <c r="MM72" s="30"/>
      <c r="MN72" s="30"/>
      <c r="MO72" s="30"/>
      <c r="MP72" s="30"/>
      <c r="MQ72" s="30"/>
      <c r="MR72" s="30"/>
      <c r="MS72" s="30"/>
      <c r="MT72" s="30"/>
      <c r="MU72" s="30"/>
      <c r="MV72" s="30"/>
      <c r="MW72" s="30"/>
      <c r="MX72" s="30"/>
      <c r="MY72" s="30"/>
      <c r="MZ72" s="30"/>
      <c r="NA72" s="30"/>
      <c r="NB72" s="30"/>
      <c r="NC72" s="30"/>
      <c r="ND72" s="30"/>
      <c r="NE72" s="30"/>
      <c r="NF72" s="30"/>
      <c r="NG72" s="30"/>
      <c r="NH72" s="30"/>
      <c r="NI72" s="30"/>
      <c r="NJ72" s="30"/>
      <c r="NK72" s="30"/>
      <c r="NL72" s="30"/>
      <c r="NM72" s="30"/>
      <c r="NN72" s="30"/>
      <c r="NO72" s="30"/>
      <c r="NP72" s="30"/>
      <c r="NQ72" s="30"/>
      <c r="NR72" s="30"/>
    </row>
    <row r="73" spans="1:382" s="3" customFormat="1" ht="20.100000000000001" customHeight="1" x14ac:dyDescent="0.4">
      <c r="A73" s="29">
        <v>2</v>
      </c>
      <c r="B73" s="5">
        <v>703</v>
      </c>
      <c r="C73" s="5" t="s">
        <v>123</v>
      </c>
      <c r="D73" s="5" t="s">
        <v>125</v>
      </c>
      <c r="E73" s="5" t="s">
        <v>4</v>
      </c>
      <c r="F73" s="5" t="s">
        <v>32</v>
      </c>
      <c r="G73" s="5" t="s">
        <v>32</v>
      </c>
      <c r="H73" s="5" t="s">
        <v>32</v>
      </c>
      <c r="I73" s="8"/>
      <c r="J73" s="8"/>
      <c r="K73" s="8" t="str">
        <f>IF(OR(J73="",E73=""),"",J73+IFERROR(VLOOKUP(E73,リードタイム!$A$2:$C$9,3,FALSE),0))</f>
        <v/>
      </c>
      <c r="L73" s="5" t="s">
        <v>531</v>
      </c>
      <c r="M73" s="8"/>
      <c r="N73" s="8" t="str">
        <f>IF(OR(M73="",E73=""),"",M73+IFERROR(VLOOKUP(E73,リードタイム!$A$2:$D$9,4,FALSE),0))</f>
        <v/>
      </c>
      <c r="O73" s="5" t="s">
        <v>531</v>
      </c>
      <c r="P73" s="5" t="s">
        <v>533</v>
      </c>
      <c r="Q73" s="5" t="s">
        <v>32</v>
      </c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/>
      <c r="IN73" s="30"/>
      <c r="IO73" s="30"/>
      <c r="IP73" s="30"/>
      <c r="IQ73" s="30"/>
      <c r="IR73" s="30"/>
      <c r="IS73" s="30"/>
      <c r="IT73" s="30"/>
      <c r="IU73" s="30"/>
      <c r="IV73" s="30"/>
      <c r="IW73" s="30"/>
      <c r="IX73" s="30"/>
      <c r="IY73" s="30"/>
      <c r="IZ73" s="30"/>
      <c r="JA73" s="30"/>
      <c r="JB73" s="30"/>
      <c r="JC73" s="30"/>
      <c r="JD73" s="30"/>
      <c r="JE73" s="30"/>
      <c r="JF73" s="30"/>
      <c r="JG73" s="30"/>
      <c r="JH73" s="30"/>
      <c r="JI73" s="30"/>
      <c r="JJ73" s="30"/>
      <c r="JK73" s="30"/>
      <c r="JL73" s="30"/>
      <c r="JM73" s="30"/>
      <c r="JN73" s="30"/>
      <c r="JO73" s="30"/>
      <c r="JP73" s="30"/>
      <c r="JQ73" s="30"/>
      <c r="JR73" s="30"/>
      <c r="JS73" s="30"/>
      <c r="JT73" s="30"/>
      <c r="JU73" s="30"/>
      <c r="JV73" s="30"/>
      <c r="JW73" s="30"/>
      <c r="JX73" s="30"/>
      <c r="JY73" s="30"/>
      <c r="JZ73" s="30"/>
      <c r="KA73" s="30"/>
      <c r="KB73" s="30"/>
      <c r="KC73" s="30"/>
      <c r="KD73" s="30"/>
      <c r="KE73" s="30"/>
      <c r="KF73" s="30"/>
      <c r="KG73" s="30"/>
      <c r="KH73" s="30"/>
      <c r="KI73" s="30"/>
      <c r="KJ73" s="30"/>
      <c r="KK73" s="30"/>
      <c r="KL73" s="30"/>
      <c r="KM73" s="30"/>
      <c r="KN73" s="30"/>
      <c r="KO73" s="30"/>
      <c r="KP73" s="30"/>
      <c r="KQ73" s="30"/>
      <c r="KR73" s="30"/>
      <c r="KS73" s="30"/>
      <c r="KT73" s="30"/>
      <c r="KU73" s="30"/>
      <c r="KV73" s="30"/>
      <c r="KW73" s="30"/>
      <c r="KX73" s="30"/>
      <c r="KY73" s="30"/>
      <c r="KZ73" s="30"/>
      <c r="LA73" s="30"/>
      <c r="LB73" s="30"/>
      <c r="LC73" s="30"/>
      <c r="LD73" s="30"/>
      <c r="LE73" s="30"/>
      <c r="LF73" s="30"/>
      <c r="LG73" s="30"/>
      <c r="LH73" s="30"/>
      <c r="LI73" s="30"/>
      <c r="LJ73" s="30"/>
      <c r="LK73" s="30"/>
      <c r="LL73" s="30"/>
      <c r="LM73" s="30"/>
      <c r="LN73" s="30"/>
      <c r="LO73" s="30"/>
      <c r="LP73" s="30"/>
      <c r="LQ73" s="30"/>
      <c r="LR73" s="30"/>
      <c r="LS73" s="30"/>
      <c r="LT73" s="30"/>
      <c r="LU73" s="30"/>
      <c r="LV73" s="30"/>
      <c r="LW73" s="30"/>
      <c r="LX73" s="30"/>
      <c r="LY73" s="30"/>
      <c r="LZ73" s="30"/>
      <c r="MA73" s="30"/>
      <c r="MB73" s="30"/>
      <c r="MC73" s="30"/>
      <c r="MD73" s="30"/>
      <c r="ME73" s="30"/>
      <c r="MF73" s="30"/>
      <c r="MG73" s="30"/>
      <c r="MH73" s="30"/>
      <c r="MI73" s="30"/>
      <c r="MJ73" s="30"/>
      <c r="MK73" s="30"/>
      <c r="ML73" s="30"/>
      <c r="MM73" s="30"/>
      <c r="MN73" s="30"/>
      <c r="MO73" s="30"/>
      <c r="MP73" s="30"/>
      <c r="MQ73" s="30"/>
      <c r="MR73" s="30"/>
      <c r="MS73" s="30"/>
      <c r="MT73" s="30"/>
      <c r="MU73" s="30"/>
      <c r="MV73" s="30"/>
      <c r="MW73" s="30"/>
      <c r="MX73" s="30"/>
      <c r="MY73" s="30"/>
      <c r="MZ73" s="30"/>
      <c r="NA73" s="30"/>
      <c r="NB73" s="30"/>
      <c r="NC73" s="30"/>
      <c r="ND73" s="30"/>
      <c r="NE73" s="30"/>
      <c r="NF73" s="30"/>
      <c r="NG73" s="30"/>
      <c r="NH73" s="30"/>
      <c r="NI73" s="30"/>
      <c r="NJ73" s="30"/>
      <c r="NK73" s="30"/>
      <c r="NL73" s="30"/>
      <c r="NM73" s="30"/>
      <c r="NN73" s="30"/>
      <c r="NO73" s="30"/>
      <c r="NP73" s="30"/>
      <c r="NQ73" s="30"/>
      <c r="NR73" s="30"/>
    </row>
    <row r="74" spans="1:382" s="3" customFormat="1" ht="20.100000000000001" customHeight="1" x14ac:dyDescent="0.4">
      <c r="A74" s="29">
        <v>3</v>
      </c>
      <c r="B74" s="5">
        <v>1959</v>
      </c>
      <c r="C74" s="5" t="s">
        <v>123</v>
      </c>
      <c r="D74" s="5" t="s">
        <v>126</v>
      </c>
      <c r="E74" s="5" t="s">
        <v>4</v>
      </c>
      <c r="F74" s="5" t="s">
        <v>32</v>
      </c>
      <c r="G74" s="5" t="s">
        <v>32</v>
      </c>
      <c r="H74" s="5" t="s">
        <v>32</v>
      </c>
      <c r="I74" s="8">
        <v>46114.625</v>
      </c>
      <c r="J74" s="8"/>
      <c r="K74" s="8" t="str">
        <f>IF(OR(J74="",E74=""),"",J74+IFERROR(VLOOKUP(E74,リードタイム!$A$2:$C$9,3,FALSE),0))</f>
        <v/>
      </c>
      <c r="L74" s="5" t="s">
        <v>531</v>
      </c>
      <c r="M74" s="8"/>
      <c r="N74" s="8" t="str">
        <f>IF(OR(M74="",E74=""),"",M74+IFERROR(VLOOKUP(E74,リードタイム!$A$2:$D$9,4,FALSE),0))</f>
        <v/>
      </c>
      <c r="O74" s="5" t="s">
        <v>531</v>
      </c>
      <c r="P74" s="5" t="s">
        <v>532</v>
      </c>
      <c r="Q74" s="5" t="s">
        <v>32</v>
      </c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0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0"/>
      <c r="KL74" s="30"/>
      <c r="KM74" s="30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0"/>
      <c r="MI74" s="30"/>
      <c r="MJ74" s="30"/>
      <c r="MK74" s="30"/>
      <c r="ML74" s="30"/>
      <c r="MM74" s="30"/>
      <c r="MN74" s="30"/>
      <c r="MO74" s="30"/>
      <c r="MP74" s="30"/>
      <c r="MQ74" s="30"/>
      <c r="MR74" s="30"/>
      <c r="MS74" s="30"/>
      <c r="MT74" s="30"/>
      <c r="MU74" s="30"/>
      <c r="MV74" s="30"/>
      <c r="MW74" s="30"/>
      <c r="MX74" s="30"/>
      <c r="MY74" s="30"/>
      <c r="MZ74" s="30"/>
      <c r="NA74" s="30"/>
      <c r="NB74" s="30"/>
      <c r="NC74" s="30"/>
      <c r="ND74" s="30"/>
      <c r="NE74" s="30"/>
      <c r="NF74" s="30"/>
      <c r="NG74" s="30"/>
      <c r="NH74" s="30"/>
      <c r="NI74" s="30"/>
      <c r="NJ74" s="30"/>
      <c r="NK74" s="30"/>
      <c r="NL74" s="30"/>
      <c r="NM74" s="30"/>
      <c r="NN74" s="30"/>
      <c r="NO74" s="30"/>
      <c r="NP74" s="30"/>
      <c r="NQ74" s="30"/>
      <c r="NR74" s="30"/>
    </row>
    <row r="75" spans="1:382" s="3" customFormat="1" ht="20.100000000000001" customHeight="1" x14ac:dyDescent="0.4">
      <c r="A75" s="29">
        <v>4</v>
      </c>
      <c r="B75" s="5">
        <v>1960</v>
      </c>
      <c r="C75" s="5" t="s">
        <v>123</v>
      </c>
      <c r="D75" s="5" t="s">
        <v>127</v>
      </c>
      <c r="E75" s="5" t="s">
        <v>4</v>
      </c>
      <c r="F75" s="5" t="s">
        <v>32</v>
      </c>
      <c r="G75" s="5" t="s">
        <v>32</v>
      </c>
      <c r="H75" s="5" t="s">
        <v>32</v>
      </c>
      <c r="I75" s="8">
        <v>46114.625</v>
      </c>
      <c r="J75" s="8"/>
      <c r="K75" s="8" t="str">
        <f>IF(OR(J75="",E75=""),"",J75+IFERROR(VLOOKUP(E75,リードタイム!$A$2:$C$9,3,FALSE),0))</f>
        <v/>
      </c>
      <c r="L75" s="5" t="s">
        <v>531</v>
      </c>
      <c r="M75" s="8"/>
      <c r="N75" s="8" t="str">
        <f>IF(OR(M75="",E75=""),"",M75+IFERROR(VLOOKUP(E75,リードタイム!$A$2:$D$9,4,FALSE),0))</f>
        <v/>
      </c>
      <c r="O75" s="5" t="s">
        <v>531</v>
      </c>
      <c r="P75" s="5" t="s">
        <v>532</v>
      </c>
      <c r="Q75" s="5" t="s">
        <v>32</v>
      </c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/>
      <c r="IN75" s="30"/>
      <c r="IO75" s="30"/>
      <c r="IP75" s="30"/>
      <c r="IQ75" s="30"/>
      <c r="IR75" s="30"/>
      <c r="IS75" s="30"/>
      <c r="IT75" s="30"/>
      <c r="IU75" s="30"/>
      <c r="IV75" s="30"/>
      <c r="IW75" s="30"/>
      <c r="IX75" s="30"/>
      <c r="IY75" s="30"/>
      <c r="IZ75" s="30"/>
      <c r="JA75" s="30"/>
      <c r="JB75" s="30"/>
      <c r="JC75" s="30"/>
      <c r="JD75" s="30"/>
      <c r="JE75" s="30"/>
      <c r="JF75" s="30"/>
      <c r="JG75" s="30"/>
      <c r="JH75" s="30"/>
      <c r="JI75" s="30"/>
      <c r="JJ75" s="30"/>
      <c r="JK75" s="30"/>
      <c r="JL75" s="30"/>
      <c r="JM75" s="30"/>
      <c r="JN75" s="30"/>
      <c r="JO75" s="30"/>
      <c r="JP75" s="30"/>
      <c r="JQ75" s="30"/>
      <c r="JR75" s="30"/>
      <c r="JS75" s="30"/>
      <c r="JT75" s="30"/>
      <c r="JU75" s="30"/>
      <c r="JV75" s="30"/>
      <c r="JW75" s="30"/>
      <c r="JX75" s="30"/>
      <c r="JY75" s="30"/>
      <c r="JZ75" s="30"/>
      <c r="KA75" s="30"/>
      <c r="KB75" s="30"/>
      <c r="KC75" s="30"/>
      <c r="KD75" s="30"/>
      <c r="KE75" s="30"/>
      <c r="KF75" s="30"/>
      <c r="KG75" s="30"/>
      <c r="KH75" s="30"/>
      <c r="KI75" s="30"/>
      <c r="KJ75" s="30"/>
      <c r="KK75" s="30"/>
      <c r="KL75" s="30"/>
      <c r="KM75" s="30"/>
      <c r="KN75" s="30"/>
      <c r="KO75" s="30"/>
      <c r="KP75" s="30"/>
      <c r="KQ75" s="30"/>
      <c r="KR75" s="30"/>
      <c r="KS75" s="30"/>
      <c r="KT75" s="30"/>
      <c r="KU75" s="30"/>
      <c r="KV75" s="30"/>
      <c r="KW75" s="30"/>
      <c r="KX75" s="30"/>
      <c r="KY75" s="30"/>
      <c r="KZ75" s="30"/>
      <c r="LA75" s="30"/>
      <c r="LB75" s="30"/>
      <c r="LC75" s="30"/>
      <c r="LD75" s="30"/>
      <c r="LE75" s="30"/>
      <c r="LF75" s="30"/>
      <c r="LG75" s="30"/>
      <c r="LH75" s="30"/>
      <c r="LI75" s="30"/>
      <c r="LJ75" s="30"/>
      <c r="LK75" s="30"/>
      <c r="LL75" s="30"/>
      <c r="LM75" s="30"/>
      <c r="LN75" s="30"/>
      <c r="LO75" s="30"/>
      <c r="LP75" s="30"/>
      <c r="LQ75" s="30"/>
      <c r="LR75" s="30"/>
      <c r="LS75" s="30"/>
      <c r="LT75" s="30"/>
      <c r="LU75" s="30"/>
      <c r="LV75" s="30"/>
      <c r="LW75" s="30"/>
      <c r="LX75" s="30"/>
      <c r="LY75" s="30"/>
      <c r="LZ75" s="30"/>
      <c r="MA75" s="30"/>
      <c r="MB75" s="30"/>
      <c r="MC75" s="30"/>
      <c r="MD75" s="30"/>
      <c r="ME75" s="30"/>
      <c r="MF75" s="30"/>
      <c r="MG75" s="30"/>
      <c r="MH75" s="30"/>
      <c r="MI75" s="30"/>
      <c r="MJ75" s="30"/>
      <c r="MK75" s="30"/>
      <c r="ML75" s="30"/>
      <c r="MM75" s="30"/>
      <c r="MN75" s="30"/>
      <c r="MO75" s="30"/>
      <c r="MP75" s="30"/>
      <c r="MQ75" s="30"/>
      <c r="MR75" s="30"/>
      <c r="MS75" s="30"/>
      <c r="MT75" s="30"/>
      <c r="MU75" s="30"/>
      <c r="MV75" s="30"/>
      <c r="MW75" s="30"/>
      <c r="MX75" s="30"/>
      <c r="MY75" s="30"/>
      <c r="MZ75" s="30"/>
      <c r="NA75" s="30"/>
      <c r="NB75" s="30"/>
      <c r="NC75" s="30"/>
      <c r="ND75" s="30"/>
      <c r="NE75" s="30"/>
      <c r="NF75" s="30"/>
      <c r="NG75" s="30"/>
      <c r="NH75" s="30"/>
      <c r="NI75" s="30"/>
      <c r="NJ75" s="30"/>
      <c r="NK75" s="30"/>
      <c r="NL75" s="30"/>
      <c r="NM75" s="30"/>
      <c r="NN75" s="30"/>
      <c r="NO75" s="30"/>
      <c r="NP75" s="30"/>
      <c r="NQ75" s="30"/>
      <c r="NR75" s="30"/>
    </row>
    <row r="76" spans="1:382" s="3" customFormat="1" ht="20.100000000000001" customHeight="1" x14ac:dyDescent="0.4">
      <c r="A76" s="29">
        <v>1</v>
      </c>
      <c r="B76" s="5">
        <v>713</v>
      </c>
      <c r="C76" s="5" t="s">
        <v>128</v>
      </c>
      <c r="D76" s="5" t="s">
        <v>124</v>
      </c>
      <c r="E76" s="5" t="s">
        <v>4</v>
      </c>
      <c r="F76" s="5" t="s">
        <v>32</v>
      </c>
      <c r="G76" s="5" t="s">
        <v>32</v>
      </c>
      <c r="H76" s="5" t="s">
        <v>32</v>
      </c>
      <c r="I76" s="8"/>
      <c r="J76" s="8"/>
      <c r="K76" s="8" t="str">
        <f>IF(OR(J76="",E76=""),"",J76+IFERROR(VLOOKUP(E76,リードタイム!$A$2:$C$9,3,FALSE),0))</f>
        <v/>
      </c>
      <c r="L76" s="5" t="s">
        <v>531</v>
      </c>
      <c r="M76" s="8"/>
      <c r="N76" s="8" t="str">
        <f>IF(OR(M76="",E76=""),"",M76+IFERROR(VLOOKUP(E76,リードタイム!$A$2:$D$9,4,FALSE),0))</f>
        <v/>
      </c>
      <c r="O76" s="5" t="s">
        <v>531</v>
      </c>
      <c r="P76" s="5" t="s">
        <v>533</v>
      </c>
      <c r="Q76" s="5" t="s">
        <v>32</v>
      </c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0"/>
      <c r="KL76" s="30"/>
      <c r="KM76" s="30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0"/>
      <c r="MI76" s="30"/>
      <c r="MJ76" s="30"/>
      <c r="MK76" s="30"/>
      <c r="ML76" s="30"/>
      <c r="MM76" s="30"/>
      <c r="MN76" s="30"/>
      <c r="MO76" s="30"/>
      <c r="MP76" s="30"/>
      <c r="MQ76" s="30"/>
      <c r="MR76" s="30"/>
      <c r="MS76" s="30"/>
      <c r="MT76" s="30"/>
      <c r="MU76" s="30"/>
      <c r="MV76" s="30"/>
      <c r="MW76" s="30"/>
      <c r="MX76" s="30"/>
      <c r="MY76" s="30"/>
      <c r="MZ76" s="30"/>
      <c r="NA76" s="30"/>
      <c r="NB76" s="30"/>
      <c r="NC76" s="30"/>
      <c r="ND76" s="30"/>
      <c r="NE76" s="30"/>
      <c r="NF76" s="30"/>
      <c r="NG76" s="30"/>
      <c r="NH76" s="30"/>
      <c r="NI76" s="30"/>
      <c r="NJ76" s="30"/>
      <c r="NK76" s="30"/>
      <c r="NL76" s="30"/>
      <c r="NM76" s="30"/>
      <c r="NN76" s="30"/>
      <c r="NO76" s="30"/>
      <c r="NP76" s="30"/>
      <c r="NQ76" s="30"/>
      <c r="NR76" s="30"/>
    </row>
    <row r="77" spans="1:382" s="3" customFormat="1" ht="20.100000000000001" customHeight="1" x14ac:dyDescent="0.4">
      <c r="A77" s="29">
        <v>2</v>
      </c>
      <c r="B77" s="5">
        <v>714</v>
      </c>
      <c r="C77" s="5" t="s">
        <v>128</v>
      </c>
      <c r="D77" s="5" t="s">
        <v>125</v>
      </c>
      <c r="E77" s="5" t="s">
        <v>4</v>
      </c>
      <c r="F77" s="5" t="s">
        <v>32</v>
      </c>
      <c r="G77" s="5" t="s">
        <v>32</v>
      </c>
      <c r="H77" s="5" t="s">
        <v>32</v>
      </c>
      <c r="I77" s="8"/>
      <c r="J77" s="8"/>
      <c r="K77" s="8" t="str">
        <f>IF(OR(J77="",E77=""),"",J77+IFERROR(VLOOKUP(E77,リードタイム!$A$2:$C$9,3,FALSE),0))</f>
        <v/>
      </c>
      <c r="L77" s="5" t="s">
        <v>531</v>
      </c>
      <c r="M77" s="8"/>
      <c r="N77" s="8" t="str">
        <f>IF(OR(M77="",E77=""),"",M77+IFERROR(VLOOKUP(E77,リードタイム!$A$2:$D$9,4,FALSE),0))</f>
        <v/>
      </c>
      <c r="O77" s="5" t="s">
        <v>531</v>
      </c>
      <c r="P77" s="5" t="s">
        <v>533</v>
      </c>
      <c r="Q77" s="5" t="s">
        <v>32</v>
      </c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  <c r="KH77" s="30"/>
      <c r="KI77" s="30"/>
      <c r="KJ77" s="30"/>
      <c r="KK77" s="30"/>
      <c r="KL77" s="30"/>
      <c r="KM77" s="30"/>
      <c r="KN77" s="30"/>
      <c r="KO77" s="30"/>
      <c r="KP77" s="30"/>
      <c r="KQ77" s="30"/>
      <c r="KR77" s="30"/>
      <c r="KS77" s="30"/>
      <c r="KT77" s="30"/>
      <c r="KU77" s="30"/>
      <c r="KV77" s="30"/>
      <c r="KW77" s="30"/>
      <c r="KX77" s="30"/>
      <c r="KY77" s="30"/>
      <c r="KZ77" s="30"/>
      <c r="LA77" s="30"/>
      <c r="LB77" s="30"/>
      <c r="LC77" s="30"/>
      <c r="LD77" s="30"/>
      <c r="LE77" s="30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30"/>
      <c r="MC77" s="30"/>
      <c r="MD77" s="30"/>
      <c r="ME77" s="30"/>
      <c r="MF77" s="30"/>
      <c r="MG77" s="30"/>
      <c r="MH77" s="30"/>
      <c r="MI77" s="30"/>
      <c r="MJ77" s="30"/>
      <c r="MK77" s="30"/>
      <c r="ML77" s="30"/>
      <c r="MM77" s="30"/>
      <c r="MN77" s="30"/>
      <c r="MO77" s="30"/>
      <c r="MP77" s="30"/>
      <c r="MQ77" s="30"/>
      <c r="MR77" s="30"/>
      <c r="MS77" s="30"/>
      <c r="MT77" s="30"/>
      <c r="MU77" s="30"/>
      <c r="MV77" s="30"/>
      <c r="MW77" s="30"/>
      <c r="MX77" s="30"/>
      <c r="MY77" s="30"/>
      <c r="MZ77" s="30"/>
      <c r="NA77" s="30"/>
      <c r="NB77" s="30"/>
      <c r="NC77" s="30"/>
      <c r="ND77" s="30"/>
      <c r="NE77" s="30"/>
      <c r="NF77" s="30"/>
      <c r="NG77" s="30"/>
      <c r="NH77" s="30"/>
      <c r="NI77" s="30"/>
      <c r="NJ77" s="30"/>
      <c r="NK77" s="30"/>
      <c r="NL77" s="30"/>
      <c r="NM77" s="30"/>
      <c r="NN77" s="30"/>
      <c r="NO77" s="30"/>
      <c r="NP77" s="30"/>
      <c r="NQ77" s="30"/>
      <c r="NR77" s="30"/>
    </row>
    <row r="78" spans="1:382" s="3" customFormat="1" ht="20.100000000000001" customHeight="1" x14ac:dyDescent="0.4">
      <c r="A78" s="29">
        <v>3</v>
      </c>
      <c r="B78" s="5">
        <v>184</v>
      </c>
      <c r="C78" s="5" t="s">
        <v>128</v>
      </c>
      <c r="D78" s="5" t="s">
        <v>129</v>
      </c>
      <c r="E78" s="5" t="s">
        <v>18</v>
      </c>
      <c r="F78" s="5" t="s">
        <v>32</v>
      </c>
      <c r="G78" s="5" t="s">
        <v>32</v>
      </c>
      <c r="H78" s="5" t="s">
        <v>32</v>
      </c>
      <c r="I78" s="8"/>
      <c r="J78" s="8"/>
      <c r="K78" s="8" t="str">
        <f>IF(OR(J78="",E78=""),"",J78+IFERROR(VLOOKUP(E78,リードタイム!$A$2:$C$9,3,FALSE),0))</f>
        <v/>
      </c>
      <c r="L78" s="5" t="s">
        <v>531</v>
      </c>
      <c r="M78" s="8"/>
      <c r="N78" s="8" t="str">
        <f>IF(OR(M78="",E78=""),"",M78+IFERROR(VLOOKUP(E78,リードタイム!$A$2:$D$9,4,FALSE),0))</f>
        <v/>
      </c>
      <c r="O78" s="5" t="s">
        <v>531</v>
      </c>
      <c r="P78" s="5" t="s">
        <v>533</v>
      </c>
      <c r="Q78" s="5" t="s">
        <v>32</v>
      </c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0"/>
      <c r="KL78" s="30"/>
      <c r="KM78" s="30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0"/>
      <c r="MI78" s="30"/>
      <c r="MJ78" s="30"/>
      <c r="MK78" s="30"/>
      <c r="ML78" s="30"/>
      <c r="MM78" s="30"/>
      <c r="MN78" s="30"/>
      <c r="MO78" s="30"/>
      <c r="MP78" s="30"/>
      <c r="MQ78" s="30"/>
      <c r="MR78" s="30"/>
      <c r="MS78" s="30"/>
      <c r="MT78" s="30"/>
      <c r="MU78" s="30"/>
      <c r="MV78" s="30"/>
      <c r="MW78" s="30"/>
      <c r="MX78" s="30"/>
      <c r="MY78" s="30"/>
      <c r="MZ78" s="30"/>
      <c r="NA78" s="30"/>
      <c r="NB78" s="30"/>
      <c r="NC78" s="30"/>
      <c r="ND78" s="30"/>
      <c r="NE78" s="30"/>
      <c r="NF78" s="30"/>
      <c r="NG78" s="30"/>
      <c r="NH78" s="30"/>
      <c r="NI78" s="30"/>
      <c r="NJ78" s="30"/>
      <c r="NK78" s="30"/>
      <c r="NL78" s="30"/>
      <c r="NM78" s="30"/>
      <c r="NN78" s="30"/>
      <c r="NO78" s="30"/>
      <c r="NP78" s="30"/>
      <c r="NQ78" s="30"/>
      <c r="NR78" s="30"/>
    </row>
    <row r="79" spans="1:382" s="3" customFormat="1" ht="20.100000000000001" customHeight="1" x14ac:dyDescent="0.4">
      <c r="A79" s="29">
        <v>4</v>
      </c>
      <c r="B79" s="5">
        <v>714</v>
      </c>
      <c r="C79" s="5" t="s">
        <v>128</v>
      </c>
      <c r="D79" s="5" t="s">
        <v>130</v>
      </c>
      <c r="E79" s="5" t="s">
        <v>4</v>
      </c>
      <c r="F79" s="5" t="s">
        <v>32</v>
      </c>
      <c r="G79" s="5" t="s">
        <v>32</v>
      </c>
      <c r="H79" s="5" t="s">
        <v>32</v>
      </c>
      <c r="I79" s="8"/>
      <c r="J79" s="8"/>
      <c r="K79" s="8" t="str">
        <f>IF(OR(J79="",E79=""),"",J79+IFERROR(VLOOKUP(E79,リードタイム!$A$2:$C$9,3,FALSE),0))</f>
        <v/>
      </c>
      <c r="L79" s="5" t="s">
        <v>531</v>
      </c>
      <c r="M79" s="8"/>
      <c r="N79" s="8" t="str">
        <f>IF(OR(M79="",E79=""),"",M79+IFERROR(VLOOKUP(E79,リードタイム!$A$2:$D$9,4,FALSE),0))</f>
        <v/>
      </c>
      <c r="O79" s="5" t="s">
        <v>531</v>
      </c>
      <c r="P79" s="5" t="s">
        <v>533</v>
      </c>
      <c r="Q79" s="5" t="s">
        <v>131</v>
      </c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0"/>
      <c r="KL79" s="30"/>
      <c r="KM79" s="30"/>
      <c r="KN79" s="30"/>
      <c r="KO79" s="30"/>
      <c r="KP79" s="30"/>
      <c r="KQ79" s="30"/>
      <c r="KR79" s="30"/>
      <c r="KS79" s="30"/>
      <c r="KT79" s="30"/>
      <c r="KU79" s="30"/>
      <c r="KV79" s="30"/>
      <c r="KW79" s="30"/>
      <c r="KX79" s="30"/>
      <c r="KY79" s="30"/>
      <c r="KZ79" s="30"/>
      <c r="LA79" s="30"/>
      <c r="LB79" s="30"/>
      <c r="LC79" s="30"/>
      <c r="LD79" s="30"/>
      <c r="LE79" s="30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30"/>
      <c r="MC79" s="30"/>
      <c r="MD79" s="30"/>
      <c r="ME79" s="30"/>
      <c r="MF79" s="30"/>
      <c r="MG79" s="30"/>
      <c r="MH79" s="30"/>
      <c r="MI79" s="30"/>
      <c r="MJ79" s="30"/>
      <c r="MK79" s="30"/>
      <c r="ML79" s="30"/>
      <c r="MM79" s="30"/>
      <c r="MN79" s="30"/>
      <c r="MO79" s="30"/>
      <c r="MP79" s="30"/>
      <c r="MQ79" s="30"/>
      <c r="MR79" s="30"/>
      <c r="MS79" s="30"/>
      <c r="MT79" s="30"/>
      <c r="MU79" s="30"/>
      <c r="MV79" s="30"/>
      <c r="MW79" s="30"/>
      <c r="MX79" s="30"/>
      <c r="MY79" s="30"/>
      <c r="MZ79" s="30"/>
      <c r="NA79" s="30"/>
      <c r="NB79" s="30"/>
      <c r="NC79" s="30"/>
      <c r="ND79" s="30"/>
      <c r="NE79" s="30"/>
      <c r="NF79" s="30"/>
      <c r="NG79" s="30"/>
      <c r="NH79" s="30"/>
      <c r="NI79" s="30"/>
      <c r="NJ79" s="30"/>
      <c r="NK79" s="30"/>
      <c r="NL79" s="30"/>
      <c r="NM79" s="30"/>
      <c r="NN79" s="30"/>
      <c r="NO79" s="30"/>
      <c r="NP79" s="30"/>
      <c r="NQ79" s="30"/>
      <c r="NR79" s="30"/>
    </row>
    <row r="80" spans="1:382" s="3" customFormat="1" ht="20.100000000000001" customHeight="1" x14ac:dyDescent="0.4">
      <c r="A80" s="29">
        <v>5</v>
      </c>
      <c r="B80" s="5">
        <v>1962</v>
      </c>
      <c r="C80" s="5" t="s">
        <v>128</v>
      </c>
      <c r="D80" s="5" t="s">
        <v>132</v>
      </c>
      <c r="E80" s="5" t="s">
        <v>4</v>
      </c>
      <c r="F80" s="5" t="s">
        <v>32</v>
      </c>
      <c r="G80" s="5" t="s">
        <v>32</v>
      </c>
      <c r="H80" s="5" t="s">
        <v>32</v>
      </c>
      <c r="I80" s="8">
        <v>46114.625</v>
      </c>
      <c r="J80" s="8"/>
      <c r="K80" s="8" t="str">
        <f>IF(OR(J80="",E80=""),"",J80+IFERROR(VLOOKUP(E80,リードタイム!$A$2:$C$9,3,FALSE),0))</f>
        <v/>
      </c>
      <c r="L80" s="5" t="s">
        <v>531</v>
      </c>
      <c r="M80" s="8"/>
      <c r="N80" s="8" t="str">
        <f>IF(OR(M80="",E80=""),"",M80+IFERROR(VLOOKUP(E80,リードタイム!$A$2:$D$9,4,FALSE),0))</f>
        <v/>
      </c>
      <c r="O80" s="5" t="s">
        <v>531</v>
      </c>
      <c r="P80" s="5" t="s">
        <v>532</v>
      </c>
      <c r="Q80" s="5" t="s">
        <v>32</v>
      </c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0"/>
      <c r="KL80" s="30"/>
      <c r="KM80" s="30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0"/>
      <c r="MI80" s="30"/>
      <c r="MJ80" s="30"/>
      <c r="MK80" s="30"/>
      <c r="ML80" s="30"/>
      <c r="MM80" s="30"/>
      <c r="MN80" s="30"/>
      <c r="MO80" s="30"/>
      <c r="MP80" s="30"/>
      <c r="MQ80" s="30"/>
      <c r="MR80" s="30"/>
      <c r="MS80" s="30"/>
      <c r="MT80" s="30"/>
      <c r="MU80" s="30"/>
      <c r="MV80" s="30"/>
      <c r="MW80" s="30"/>
      <c r="MX80" s="30"/>
      <c r="MY80" s="30"/>
      <c r="MZ80" s="30"/>
      <c r="NA80" s="30"/>
      <c r="NB80" s="30"/>
      <c r="NC80" s="30"/>
      <c r="ND80" s="30"/>
      <c r="NE80" s="30"/>
      <c r="NF80" s="30"/>
      <c r="NG80" s="30"/>
      <c r="NH80" s="30"/>
      <c r="NI80" s="30"/>
      <c r="NJ80" s="30"/>
      <c r="NK80" s="30"/>
      <c r="NL80" s="30"/>
      <c r="NM80" s="30"/>
      <c r="NN80" s="30"/>
      <c r="NO80" s="30"/>
      <c r="NP80" s="30"/>
      <c r="NQ80" s="30"/>
      <c r="NR80" s="30"/>
    </row>
    <row r="81" spans="1:382" s="3" customFormat="1" ht="20.100000000000001" customHeight="1" x14ac:dyDescent="0.4">
      <c r="A81" s="29">
        <v>6</v>
      </c>
      <c r="B81" s="5">
        <v>1961</v>
      </c>
      <c r="C81" s="5" t="s">
        <v>128</v>
      </c>
      <c r="D81" s="5" t="s">
        <v>133</v>
      </c>
      <c r="E81" s="5" t="s">
        <v>4</v>
      </c>
      <c r="F81" s="5" t="s">
        <v>32</v>
      </c>
      <c r="G81" s="5" t="s">
        <v>32</v>
      </c>
      <c r="H81" s="5" t="s">
        <v>32</v>
      </c>
      <c r="I81" s="8">
        <v>46114.625</v>
      </c>
      <c r="J81" s="8"/>
      <c r="K81" s="8" t="str">
        <f>IF(OR(J81="",E81=""),"",J81+IFERROR(VLOOKUP(E81,リードタイム!$A$2:$C$9,3,FALSE),0))</f>
        <v/>
      </c>
      <c r="L81" s="5" t="s">
        <v>531</v>
      </c>
      <c r="M81" s="8"/>
      <c r="N81" s="8" t="str">
        <f>IF(OR(M81="",E81=""),"",M81+IFERROR(VLOOKUP(E81,リードタイム!$A$2:$D$9,4,FALSE),0))</f>
        <v/>
      </c>
      <c r="O81" s="5" t="s">
        <v>531</v>
      </c>
      <c r="P81" s="5" t="s">
        <v>532</v>
      </c>
      <c r="Q81" s="5" t="s">
        <v>32</v>
      </c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/>
      <c r="JM81" s="30"/>
      <c r="JN81" s="30"/>
      <c r="JO81" s="30"/>
      <c r="JP81" s="30"/>
      <c r="JQ81" s="30"/>
      <c r="JR81" s="30"/>
      <c r="JS81" s="30"/>
      <c r="JT81" s="30"/>
      <c r="JU81" s="30"/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0"/>
      <c r="KL81" s="30"/>
      <c r="KM81" s="30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0"/>
      <c r="MI81" s="30"/>
      <c r="MJ81" s="30"/>
      <c r="MK81" s="30"/>
      <c r="ML81" s="30"/>
      <c r="MM81" s="30"/>
      <c r="MN81" s="30"/>
      <c r="MO81" s="30"/>
      <c r="MP81" s="30"/>
      <c r="MQ81" s="30"/>
      <c r="MR81" s="30"/>
      <c r="MS81" s="30"/>
      <c r="MT81" s="30"/>
      <c r="MU81" s="30"/>
      <c r="MV81" s="30"/>
      <c r="MW81" s="30"/>
      <c r="MX81" s="30"/>
      <c r="MY81" s="30"/>
      <c r="MZ81" s="30"/>
      <c r="NA81" s="30"/>
      <c r="NB81" s="30"/>
      <c r="NC81" s="30"/>
      <c r="ND81" s="30"/>
      <c r="NE81" s="30"/>
      <c r="NF81" s="30"/>
      <c r="NG81" s="30"/>
      <c r="NH81" s="30"/>
      <c r="NI81" s="30"/>
      <c r="NJ81" s="30"/>
      <c r="NK81" s="30"/>
      <c r="NL81" s="30"/>
      <c r="NM81" s="30"/>
      <c r="NN81" s="30"/>
      <c r="NO81" s="30"/>
      <c r="NP81" s="30"/>
      <c r="NQ81" s="30"/>
      <c r="NR81" s="30"/>
    </row>
    <row r="82" spans="1:382" s="3" customFormat="1" ht="20.100000000000001" customHeight="1" x14ac:dyDescent="0.4">
      <c r="A82" s="29">
        <v>1</v>
      </c>
      <c r="B82" s="5">
        <v>1626</v>
      </c>
      <c r="C82" s="5" t="s">
        <v>134</v>
      </c>
      <c r="D82" s="5" t="s">
        <v>41</v>
      </c>
      <c r="E82" s="5" t="s">
        <v>6</v>
      </c>
      <c r="F82" s="5" t="s">
        <v>32</v>
      </c>
      <c r="G82" s="5" t="s">
        <v>32</v>
      </c>
      <c r="H82" s="5" t="s">
        <v>32</v>
      </c>
      <c r="I82" s="8">
        <v>45990.625</v>
      </c>
      <c r="J82" s="8"/>
      <c r="K82" s="8" t="str">
        <f>IF(OR(J82="",E82=""),"",J82+IFERROR(VLOOKUP(E82,リードタイム!$A$2:$C$9,3,FALSE),0))</f>
        <v/>
      </c>
      <c r="L82" s="5" t="s">
        <v>531</v>
      </c>
      <c r="M82" s="8"/>
      <c r="N82" s="8" t="str">
        <f>IF(OR(M82="",E82=""),"",M82+IFERROR(VLOOKUP(E82,リードタイム!$A$2:$D$9,4,FALSE),0))</f>
        <v/>
      </c>
      <c r="O82" s="5" t="s">
        <v>531</v>
      </c>
      <c r="P82" s="5" t="s">
        <v>532</v>
      </c>
      <c r="Q82" s="5" t="s">
        <v>135</v>
      </c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/>
      <c r="IN82" s="30"/>
      <c r="IO82" s="30"/>
      <c r="IP82" s="30"/>
      <c r="IQ82" s="30"/>
      <c r="IR82" s="30"/>
      <c r="IS82" s="30"/>
      <c r="IT82" s="30"/>
      <c r="IU82" s="30"/>
      <c r="IV82" s="30"/>
      <c r="IW82" s="30"/>
      <c r="IX82" s="30"/>
      <c r="IY82" s="30"/>
      <c r="IZ82" s="30"/>
      <c r="JA82" s="30"/>
      <c r="JB82" s="30"/>
      <c r="JC82" s="30"/>
      <c r="JD82" s="30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0"/>
      <c r="KL82" s="30"/>
      <c r="KM82" s="30"/>
      <c r="KN82" s="30"/>
      <c r="KO82" s="30"/>
      <c r="KP82" s="30"/>
      <c r="KQ82" s="30"/>
      <c r="KR82" s="30"/>
      <c r="KS82" s="30"/>
      <c r="KT82" s="30"/>
      <c r="KU82" s="30"/>
      <c r="KV82" s="30"/>
      <c r="KW82" s="30"/>
      <c r="KX82" s="30"/>
      <c r="KY82" s="30"/>
      <c r="KZ82" s="30"/>
      <c r="LA82" s="30"/>
      <c r="LB82" s="30"/>
      <c r="LC82" s="30"/>
      <c r="LD82" s="30"/>
      <c r="LE82" s="30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30"/>
      <c r="MC82" s="30"/>
      <c r="MD82" s="30"/>
      <c r="ME82" s="30"/>
      <c r="MF82" s="30"/>
      <c r="MG82" s="30"/>
      <c r="MH82" s="30"/>
      <c r="MI82" s="30"/>
      <c r="MJ82" s="30"/>
      <c r="MK82" s="30"/>
      <c r="ML82" s="30"/>
      <c r="MM82" s="30"/>
      <c r="MN82" s="30"/>
      <c r="MO82" s="30"/>
      <c r="MP82" s="30"/>
      <c r="MQ82" s="30"/>
      <c r="MR82" s="30"/>
      <c r="MS82" s="30"/>
      <c r="MT82" s="30"/>
      <c r="MU82" s="30"/>
      <c r="MV82" s="30"/>
      <c r="MW82" s="30"/>
      <c r="MX82" s="30"/>
      <c r="MY82" s="30"/>
      <c r="MZ82" s="30"/>
      <c r="NA82" s="30"/>
      <c r="NB82" s="30"/>
      <c r="NC82" s="30"/>
      <c r="ND82" s="30"/>
      <c r="NE82" s="30"/>
      <c r="NF82" s="30"/>
      <c r="NG82" s="30"/>
      <c r="NH82" s="30"/>
      <c r="NI82" s="30"/>
      <c r="NJ82" s="30"/>
      <c r="NK82" s="30"/>
      <c r="NL82" s="30"/>
      <c r="NM82" s="30"/>
      <c r="NN82" s="30"/>
      <c r="NO82" s="30"/>
      <c r="NP82" s="30"/>
      <c r="NQ82" s="30"/>
      <c r="NR82" s="30"/>
    </row>
    <row r="83" spans="1:382" s="3" customFormat="1" ht="20.100000000000001" customHeight="1" x14ac:dyDescent="0.4">
      <c r="A83" s="29">
        <v>1</v>
      </c>
      <c r="B83" s="5">
        <v>1805</v>
      </c>
      <c r="C83" s="5" t="s">
        <v>136</v>
      </c>
      <c r="D83" s="5" t="s">
        <v>54</v>
      </c>
      <c r="E83" s="5" t="s">
        <v>4</v>
      </c>
      <c r="F83" s="5" t="s">
        <v>32</v>
      </c>
      <c r="G83" s="5" t="s">
        <v>32</v>
      </c>
      <c r="H83" s="5" t="s">
        <v>32</v>
      </c>
      <c r="I83" s="8"/>
      <c r="J83" s="8"/>
      <c r="K83" s="8" t="str">
        <f>IF(OR(J83="",E83=""),"",J83+IFERROR(VLOOKUP(E83,リードタイム!$A$2:$C$9,3,FALSE),0))</f>
        <v/>
      </c>
      <c r="L83" s="5" t="s">
        <v>531</v>
      </c>
      <c r="M83" s="8"/>
      <c r="N83" s="8" t="str">
        <f>IF(OR(M83="",E83=""),"",M83+IFERROR(VLOOKUP(E83,リードタイム!$A$2:$D$9,4,FALSE),0))</f>
        <v/>
      </c>
      <c r="O83" s="5" t="s">
        <v>531</v>
      </c>
      <c r="P83" s="5" t="s">
        <v>533</v>
      </c>
      <c r="Q83" s="5" t="s">
        <v>137</v>
      </c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0"/>
      <c r="IC83" s="30"/>
      <c r="ID83" s="30"/>
      <c r="IE83" s="30"/>
      <c r="IF83" s="30"/>
      <c r="IG83" s="30"/>
      <c r="IH83" s="30"/>
      <c r="II83" s="30"/>
      <c r="IJ83" s="30"/>
      <c r="IK83" s="30"/>
      <c r="IL83" s="30"/>
      <c r="IM83" s="30"/>
      <c r="IN83" s="30"/>
      <c r="IO83" s="30"/>
      <c r="IP83" s="30"/>
      <c r="IQ83" s="30"/>
      <c r="IR83" s="30"/>
      <c r="IS83" s="30"/>
      <c r="IT83" s="30"/>
      <c r="IU83" s="30"/>
      <c r="IV83" s="30"/>
      <c r="IW83" s="30"/>
      <c r="IX83" s="30"/>
      <c r="IY83" s="30"/>
      <c r="IZ83" s="30"/>
      <c r="JA83" s="30"/>
      <c r="JB83" s="30"/>
      <c r="JC83" s="30"/>
      <c r="JD83" s="30"/>
      <c r="JE83" s="30"/>
      <c r="JF83" s="30"/>
      <c r="JG83" s="30"/>
      <c r="JH83" s="30"/>
      <c r="JI83" s="30"/>
      <c r="JJ83" s="30"/>
      <c r="JK83" s="30"/>
      <c r="JL83" s="30"/>
      <c r="JM83" s="30"/>
      <c r="JN83" s="30"/>
      <c r="JO83" s="30"/>
      <c r="JP83" s="30"/>
      <c r="JQ83" s="30"/>
      <c r="JR83" s="30"/>
      <c r="JS83" s="30"/>
      <c r="JT83" s="30"/>
      <c r="JU83" s="30"/>
      <c r="JV83" s="30"/>
      <c r="JW83" s="30"/>
      <c r="JX83" s="30"/>
      <c r="JY83" s="30"/>
      <c r="JZ83" s="30"/>
      <c r="KA83" s="30"/>
      <c r="KB83" s="30"/>
      <c r="KC83" s="30"/>
      <c r="KD83" s="30"/>
      <c r="KE83" s="30"/>
      <c r="KF83" s="30"/>
      <c r="KG83" s="30"/>
      <c r="KH83" s="30"/>
      <c r="KI83" s="30"/>
      <c r="KJ83" s="30"/>
      <c r="KK83" s="30"/>
      <c r="KL83" s="30"/>
      <c r="KM83" s="30"/>
      <c r="KN83" s="30"/>
      <c r="KO83" s="30"/>
      <c r="KP83" s="30"/>
      <c r="KQ83" s="30"/>
      <c r="KR83" s="30"/>
      <c r="KS83" s="30"/>
      <c r="KT83" s="30"/>
      <c r="KU83" s="30"/>
      <c r="KV83" s="30"/>
      <c r="KW83" s="30"/>
      <c r="KX83" s="30"/>
      <c r="KY83" s="30"/>
      <c r="KZ83" s="30"/>
      <c r="LA83" s="30"/>
      <c r="LB83" s="30"/>
      <c r="LC83" s="30"/>
      <c r="LD83" s="30"/>
      <c r="LE83" s="30"/>
      <c r="LF83" s="30"/>
      <c r="LG83" s="30"/>
      <c r="LH83" s="30"/>
      <c r="LI83" s="30"/>
      <c r="LJ83" s="30"/>
      <c r="LK83" s="30"/>
      <c r="LL83" s="30"/>
      <c r="LM83" s="30"/>
      <c r="LN83" s="30"/>
      <c r="LO83" s="30"/>
      <c r="LP83" s="30"/>
      <c r="LQ83" s="30"/>
      <c r="LR83" s="30"/>
      <c r="LS83" s="30"/>
      <c r="LT83" s="30"/>
      <c r="LU83" s="30"/>
      <c r="LV83" s="30"/>
      <c r="LW83" s="30"/>
      <c r="LX83" s="30"/>
      <c r="LY83" s="30"/>
      <c r="LZ83" s="30"/>
      <c r="MA83" s="30"/>
      <c r="MB83" s="30"/>
      <c r="MC83" s="30"/>
      <c r="MD83" s="30"/>
      <c r="ME83" s="30"/>
      <c r="MF83" s="30"/>
      <c r="MG83" s="30"/>
      <c r="MH83" s="30"/>
      <c r="MI83" s="30"/>
      <c r="MJ83" s="30"/>
      <c r="MK83" s="30"/>
      <c r="ML83" s="30"/>
      <c r="MM83" s="30"/>
      <c r="MN83" s="30"/>
      <c r="MO83" s="30"/>
      <c r="MP83" s="30"/>
      <c r="MQ83" s="30"/>
      <c r="MR83" s="30"/>
      <c r="MS83" s="30"/>
      <c r="MT83" s="30"/>
      <c r="MU83" s="30"/>
      <c r="MV83" s="30"/>
      <c r="MW83" s="30"/>
      <c r="MX83" s="30"/>
      <c r="MY83" s="30"/>
      <c r="MZ83" s="30"/>
      <c r="NA83" s="30"/>
      <c r="NB83" s="30"/>
      <c r="NC83" s="30"/>
      <c r="ND83" s="30"/>
      <c r="NE83" s="30"/>
      <c r="NF83" s="30"/>
      <c r="NG83" s="30"/>
      <c r="NH83" s="30"/>
      <c r="NI83" s="30"/>
      <c r="NJ83" s="30"/>
      <c r="NK83" s="30"/>
      <c r="NL83" s="30"/>
      <c r="NM83" s="30"/>
      <c r="NN83" s="30"/>
      <c r="NO83" s="30"/>
      <c r="NP83" s="30"/>
      <c r="NQ83" s="30"/>
      <c r="NR83" s="30"/>
    </row>
    <row r="84" spans="1:382" s="3" customFormat="1" ht="20.100000000000001" customHeight="1" x14ac:dyDescent="0.4">
      <c r="A84" s="29">
        <v>1</v>
      </c>
      <c r="B84" s="5">
        <v>1927</v>
      </c>
      <c r="C84" s="5" t="s">
        <v>138</v>
      </c>
      <c r="D84" s="5" t="s">
        <v>139</v>
      </c>
      <c r="E84" s="5" t="s">
        <v>4</v>
      </c>
      <c r="F84" s="5" t="s">
        <v>32</v>
      </c>
      <c r="G84" s="5" t="s">
        <v>32</v>
      </c>
      <c r="H84" s="5" t="s">
        <v>32</v>
      </c>
      <c r="I84" s="8">
        <v>46047.625</v>
      </c>
      <c r="J84" s="8"/>
      <c r="K84" s="8" t="str">
        <f>IF(OR(J84="",E84=""),"",J84+IFERROR(VLOOKUP(E84,リードタイム!$A$2:$C$9,3,FALSE),0))</f>
        <v/>
      </c>
      <c r="L84" s="5" t="s">
        <v>531</v>
      </c>
      <c r="M84" s="8"/>
      <c r="N84" s="8" t="str">
        <f>IF(OR(M84="",E84=""),"",M84+IFERROR(VLOOKUP(E84,リードタイム!$A$2:$D$9,4,FALSE),0))</f>
        <v/>
      </c>
      <c r="O84" s="5" t="s">
        <v>531</v>
      </c>
      <c r="P84" s="5" t="s">
        <v>533</v>
      </c>
      <c r="Q84" s="5" t="s">
        <v>140</v>
      </c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0"/>
      <c r="KL84" s="30"/>
      <c r="KM84" s="30"/>
      <c r="KN84" s="30"/>
      <c r="KO84" s="30"/>
      <c r="KP84" s="30"/>
      <c r="KQ84" s="30"/>
      <c r="KR84" s="30"/>
      <c r="KS84" s="30"/>
      <c r="KT84" s="30"/>
      <c r="KU84" s="30"/>
      <c r="KV84" s="30"/>
      <c r="KW84" s="30"/>
      <c r="KX84" s="30"/>
      <c r="KY84" s="30"/>
      <c r="KZ84" s="30"/>
      <c r="LA84" s="30"/>
      <c r="LB84" s="30"/>
      <c r="LC84" s="30"/>
      <c r="LD84" s="30"/>
      <c r="LE84" s="30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30"/>
      <c r="MC84" s="30"/>
      <c r="MD84" s="30"/>
      <c r="ME84" s="30"/>
      <c r="MF84" s="30"/>
      <c r="MG84" s="30"/>
      <c r="MH84" s="30"/>
      <c r="MI84" s="30"/>
      <c r="MJ84" s="30"/>
      <c r="MK84" s="30"/>
      <c r="ML84" s="30"/>
      <c r="MM84" s="30"/>
      <c r="MN84" s="30"/>
      <c r="MO84" s="30"/>
      <c r="MP84" s="30"/>
      <c r="MQ84" s="30"/>
      <c r="MR84" s="30"/>
      <c r="MS84" s="30"/>
      <c r="MT84" s="30"/>
      <c r="MU84" s="30"/>
      <c r="MV84" s="30"/>
      <c r="MW84" s="30"/>
      <c r="MX84" s="30"/>
      <c r="MY84" s="30"/>
      <c r="MZ84" s="30"/>
      <c r="NA84" s="30"/>
      <c r="NB84" s="30"/>
      <c r="NC84" s="30"/>
      <c r="ND84" s="30"/>
      <c r="NE84" s="30"/>
      <c r="NF84" s="30"/>
      <c r="NG84" s="30"/>
      <c r="NH84" s="30"/>
      <c r="NI84" s="30"/>
      <c r="NJ84" s="30"/>
      <c r="NK84" s="30"/>
      <c r="NL84" s="30"/>
      <c r="NM84" s="30"/>
      <c r="NN84" s="30"/>
      <c r="NO84" s="30"/>
      <c r="NP84" s="30"/>
      <c r="NQ84" s="30"/>
      <c r="NR84" s="30"/>
    </row>
    <row r="85" spans="1:382" s="3" customFormat="1" ht="20.100000000000001" customHeight="1" x14ac:dyDescent="0.4">
      <c r="A85" s="29">
        <v>1</v>
      </c>
      <c r="B85" s="5">
        <v>1927</v>
      </c>
      <c r="C85" s="5" t="s">
        <v>141</v>
      </c>
      <c r="D85" s="5" t="s">
        <v>142</v>
      </c>
      <c r="E85" s="5" t="s">
        <v>4</v>
      </c>
      <c r="F85" s="5" t="s">
        <v>32</v>
      </c>
      <c r="G85" s="5" t="s">
        <v>32</v>
      </c>
      <c r="H85" s="5" t="s">
        <v>32</v>
      </c>
      <c r="I85" s="8"/>
      <c r="J85" s="8"/>
      <c r="K85" s="8" t="str">
        <f>IF(OR(J85="",E85=""),"",J85+IFERROR(VLOOKUP(E85,リードタイム!$A$2:$C$9,3,FALSE),0))</f>
        <v/>
      </c>
      <c r="L85" s="5" t="s">
        <v>531</v>
      </c>
      <c r="M85" s="8"/>
      <c r="N85" s="8" t="str">
        <f>IF(OR(M85="",E85=""),"",M85+IFERROR(VLOOKUP(E85,リードタイム!$A$2:$D$9,4,FALSE),0))</f>
        <v/>
      </c>
      <c r="O85" s="5" t="s">
        <v>531</v>
      </c>
      <c r="P85" s="5" t="s">
        <v>533</v>
      </c>
      <c r="Q85" s="5" t="s">
        <v>143</v>
      </c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/>
      <c r="IN85" s="30"/>
      <c r="IO85" s="30"/>
      <c r="IP85" s="30"/>
      <c r="IQ85" s="30"/>
      <c r="IR85" s="30"/>
      <c r="IS85" s="30"/>
      <c r="IT85" s="30"/>
      <c r="IU85" s="30"/>
      <c r="IV85" s="30"/>
      <c r="IW85" s="30"/>
      <c r="IX85" s="30"/>
      <c r="IY85" s="30"/>
      <c r="IZ85" s="30"/>
      <c r="JA85" s="30"/>
      <c r="JB85" s="30"/>
      <c r="JC85" s="30"/>
      <c r="JD85" s="30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0"/>
      <c r="KL85" s="30"/>
      <c r="KM85" s="30"/>
      <c r="KN85" s="30"/>
      <c r="KO85" s="30"/>
      <c r="KP85" s="30"/>
      <c r="KQ85" s="30"/>
      <c r="KR85" s="30"/>
      <c r="KS85" s="30"/>
      <c r="KT85" s="30"/>
      <c r="KU85" s="30"/>
      <c r="KV85" s="30"/>
      <c r="KW85" s="30"/>
      <c r="KX85" s="30"/>
      <c r="KY85" s="30"/>
      <c r="KZ85" s="30"/>
      <c r="LA85" s="30"/>
      <c r="LB85" s="30"/>
      <c r="LC85" s="30"/>
      <c r="LD85" s="30"/>
      <c r="LE85" s="30"/>
      <c r="LF85" s="30"/>
      <c r="LG85" s="30"/>
      <c r="LH85" s="30"/>
      <c r="LI85" s="30"/>
      <c r="LJ85" s="30"/>
      <c r="LK85" s="30"/>
      <c r="LL85" s="30"/>
      <c r="LM85" s="30"/>
      <c r="LN85" s="30"/>
      <c r="LO85" s="30"/>
      <c r="LP85" s="30"/>
      <c r="LQ85" s="30"/>
      <c r="LR85" s="30"/>
      <c r="LS85" s="30"/>
      <c r="LT85" s="30"/>
      <c r="LU85" s="30"/>
      <c r="LV85" s="30"/>
      <c r="LW85" s="30"/>
      <c r="LX85" s="30"/>
      <c r="LY85" s="30"/>
      <c r="LZ85" s="30"/>
      <c r="MA85" s="30"/>
      <c r="MB85" s="30"/>
      <c r="MC85" s="30"/>
      <c r="MD85" s="30"/>
      <c r="ME85" s="30"/>
      <c r="MF85" s="30"/>
      <c r="MG85" s="30"/>
      <c r="MH85" s="30"/>
      <c r="MI85" s="30"/>
      <c r="MJ85" s="30"/>
      <c r="MK85" s="30"/>
      <c r="ML85" s="30"/>
      <c r="MM85" s="30"/>
      <c r="MN85" s="30"/>
      <c r="MO85" s="30"/>
      <c r="MP85" s="30"/>
      <c r="MQ85" s="30"/>
      <c r="MR85" s="30"/>
      <c r="MS85" s="30"/>
      <c r="MT85" s="30"/>
      <c r="MU85" s="30"/>
      <c r="MV85" s="30"/>
      <c r="MW85" s="30"/>
      <c r="MX85" s="30"/>
      <c r="MY85" s="30"/>
      <c r="MZ85" s="30"/>
      <c r="NA85" s="30"/>
      <c r="NB85" s="30"/>
      <c r="NC85" s="30"/>
      <c r="ND85" s="30"/>
      <c r="NE85" s="30"/>
      <c r="NF85" s="30"/>
      <c r="NG85" s="30"/>
      <c r="NH85" s="30"/>
      <c r="NI85" s="30"/>
      <c r="NJ85" s="30"/>
      <c r="NK85" s="30"/>
      <c r="NL85" s="30"/>
      <c r="NM85" s="30"/>
      <c r="NN85" s="30"/>
      <c r="NO85" s="30"/>
      <c r="NP85" s="30"/>
      <c r="NQ85" s="30"/>
      <c r="NR85" s="30"/>
    </row>
    <row r="86" spans="1:382" s="3" customFormat="1" ht="20.100000000000001" customHeight="1" x14ac:dyDescent="0.4">
      <c r="A86" s="29">
        <v>1</v>
      </c>
      <c r="B86" s="5">
        <v>1363</v>
      </c>
      <c r="C86" s="5" t="s">
        <v>144</v>
      </c>
      <c r="D86" s="5" t="s">
        <v>41</v>
      </c>
      <c r="E86" s="5" t="s">
        <v>6</v>
      </c>
      <c r="F86" s="5" t="s">
        <v>32</v>
      </c>
      <c r="G86" s="5" t="s">
        <v>32</v>
      </c>
      <c r="H86" s="5" t="s">
        <v>32</v>
      </c>
      <c r="I86" s="8">
        <v>45946.625</v>
      </c>
      <c r="J86" s="8"/>
      <c r="K86" s="8" t="str">
        <f>IF(OR(J86="",E86=""),"",J86+IFERROR(VLOOKUP(E86,リードタイム!$A$2:$C$9,3,FALSE),0))</f>
        <v/>
      </c>
      <c r="L86" s="5" t="s">
        <v>531</v>
      </c>
      <c r="M86" s="8"/>
      <c r="N86" s="8" t="str">
        <f>IF(OR(M86="",E86=""),"",M86+IFERROR(VLOOKUP(E86,リードタイム!$A$2:$D$9,4,FALSE),0))</f>
        <v/>
      </c>
      <c r="O86" s="5" t="s">
        <v>531</v>
      </c>
      <c r="P86" s="5" t="s">
        <v>533</v>
      </c>
      <c r="Q86" s="5" t="s">
        <v>32</v>
      </c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0"/>
      <c r="KL86" s="30"/>
      <c r="KM86" s="30"/>
      <c r="KN86" s="30"/>
      <c r="KO86" s="30"/>
      <c r="KP86" s="30"/>
      <c r="KQ86" s="30"/>
      <c r="KR86" s="30"/>
      <c r="KS86" s="30"/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0"/>
      <c r="MI86" s="30"/>
      <c r="MJ86" s="30"/>
      <c r="MK86" s="30"/>
      <c r="ML86" s="30"/>
      <c r="MM86" s="30"/>
      <c r="MN86" s="30"/>
      <c r="MO86" s="30"/>
      <c r="MP86" s="30"/>
      <c r="MQ86" s="30"/>
      <c r="MR86" s="30"/>
      <c r="MS86" s="30"/>
      <c r="MT86" s="30"/>
      <c r="MU86" s="30"/>
      <c r="MV86" s="30"/>
      <c r="MW86" s="30"/>
      <c r="MX86" s="30"/>
      <c r="MY86" s="30"/>
      <c r="MZ86" s="30"/>
      <c r="NA86" s="30"/>
      <c r="NB86" s="30"/>
      <c r="NC86" s="30"/>
      <c r="ND86" s="30"/>
      <c r="NE86" s="30"/>
      <c r="NF86" s="30"/>
      <c r="NG86" s="30"/>
      <c r="NH86" s="30"/>
      <c r="NI86" s="30"/>
      <c r="NJ86" s="30"/>
      <c r="NK86" s="30"/>
      <c r="NL86" s="30"/>
      <c r="NM86" s="30"/>
      <c r="NN86" s="30"/>
      <c r="NO86" s="30"/>
      <c r="NP86" s="30"/>
      <c r="NQ86" s="30"/>
      <c r="NR86" s="30"/>
    </row>
    <row r="87" spans="1:382" s="3" customFormat="1" ht="20.100000000000001" customHeight="1" x14ac:dyDescent="0.4">
      <c r="A87" s="29">
        <v>2</v>
      </c>
      <c r="B87" s="5">
        <v>1364</v>
      </c>
      <c r="C87" s="5" t="s">
        <v>144</v>
      </c>
      <c r="D87" s="5" t="s">
        <v>62</v>
      </c>
      <c r="E87" s="5" t="s">
        <v>8</v>
      </c>
      <c r="F87" s="5" t="s">
        <v>32</v>
      </c>
      <c r="G87" s="5" t="s">
        <v>32</v>
      </c>
      <c r="H87" s="5" t="s">
        <v>32</v>
      </c>
      <c r="I87" s="8">
        <v>45946.625</v>
      </c>
      <c r="J87" s="8"/>
      <c r="K87" s="8" t="str">
        <f>IF(OR(J87="",E87=""),"",J87+IFERROR(VLOOKUP(E87,リードタイム!$A$2:$C$9,3,FALSE),0))</f>
        <v/>
      </c>
      <c r="L87" s="5" t="s">
        <v>531</v>
      </c>
      <c r="M87" s="8"/>
      <c r="N87" s="8" t="str">
        <f>IF(OR(M87="",E87=""),"",M87+IFERROR(VLOOKUP(E87,リードタイム!$A$2:$D$9,4,FALSE),0))</f>
        <v/>
      </c>
      <c r="O87" s="5" t="s">
        <v>531</v>
      </c>
      <c r="P87" s="5" t="s">
        <v>533</v>
      </c>
      <c r="Q87" s="5" t="s">
        <v>32</v>
      </c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  <c r="IR87" s="30"/>
      <c r="IS87" s="30"/>
      <c r="IT87" s="30"/>
      <c r="IU87" s="30"/>
      <c r="IV87" s="30"/>
      <c r="IW87" s="30"/>
      <c r="IX87" s="30"/>
      <c r="IY87" s="30"/>
      <c r="IZ87" s="30"/>
      <c r="JA87" s="30"/>
      <c r="JB87" s="30"/>
      <c r="JC87" s="30"/>
      <c r="JD87" s="30"/>
      <c r="JE87" s="30"/>
      <c r="JF87" s="30"/>
      <c r="JG87" s="30"/>
      <c r="JH87" s="30"/>
      <c r="JI87" s="30"/>
      <c r="JJ87" s="30"/>
      <c r="JK87" s="30"/>
      <c r="JL87" s="30"/>
      <c r="JM87" s="30"/>
      <c r="JN87" s="30"/>
      <c r="JO87" s="30"/>
      <c r="JP87" s="30"/>
      <c r="JQ87" s="30"/>
      <c r="JR87" s="30"/>
      <c r="JS87" s="30"/>
      <c r="JT87" s="30"/>
      <c r="JU87" s="30"/>
      <c r="JV87" s="30"/>
      <c r="JW87" s="30"/>
      <c r="JX87" s="30"/>
      <c r="JY87" s="30"/>
      <c r="JZ87" s="30"/>
      <c r="KA87" s="30"/>
      <c r="KB87" s="30"/>
      <c r="KC87" s="30"/>
      <c r="KD87" s="30"/>
      <c r="KE87" s="30"/>
      <c r="KF87" s="30"/>
      <c r="KG87" s="30"/>
      <c r="KH87" s="30"/>
      <c r="KI87" s="30"/>
      <c r="KJ87" s="30"/>
      <c r="KK87" s="30"/>
      <c r="KL87" s="30"/>
      <c r="KM87" s="30"/>
      <c r="KN87" s="30"/>
      <c r="KO87" s="30"/>
      <c r="KP87" s="30"/>
      <c r="KQ87" s="30"/>
      <c r="KR87" s="30"/>
      <c r="KS87" s="30"/>
      <c r="KT87" s="30"/>
      <c r="KU87" s="30"/>
      <c r="KV87" s="30"/>
      <c r="KW87" s="30"/>
      <c r="KX87" s="30"/>
      <c r="KY87" s="30"/>
      <c r="KZ87" s="30"/>
      <c r="LA87" s="30"/>
      <c r="LB87" s="30"/>
      <c r="LC87" s="30"/>
      <c r="LD87" s="30"/>
      <c r="LE87" s="30"/>
      <c r="LF87" s="30"/>
      <c r="LG87" s="30"/>
      <c r="LH87" s="30"/>
      <c r="LI87" s="30"/>
      <c r="LJ87" s="30"/>
      <c r="LK87" s="30"/>
      <c r="LL87" s="30"/>
      <c r="LM87" s="30"/>
      <c r="LN87" s="30"/>
      <c r="LO87" s="30"/>
      <c r="LP87" s="30"/>
      <c r="LQ87" s="30"/>
      <c r="LR87" s="30"/>
      <c r="LS87" s="30"/>
      <c r="LT87" s="30"/>
      <c r="LU87" s="30"/>
      <c r="LV87" s="30"/>
      <c r="LW87" s="30"/>
      <c r="LX87" s="30"/>
      <c r="LY87" s="30"/>
      <c r="LZ87" s="30"/>
      <c r="MA87" s="30"/>
      <c r="MB87" s="30"/>
      <c r="MC87" s="30"/>
      <c r="MD87" s="30"/>
      <c r="ME87" s="30"/>
      <c r="MF87" s="30"/>
      <c r="MG87" s="30"/>
      <c r="MH87" s="30"/>
      <c r="MI87" s="30"/>
      <c r="MJ87" s="30"/>
      <c r="MK87" s="30"/>
      <c r="ML87" s="30"/>
      <c r="MM87" s="30"/>
      <c r="MN87" s="30"/>
      <c r="MO87" s="30"/>
      <c r="MP87" s="30"/>
      <c r="MQ87" s="30"/>
      <c r="MR87" s="30"/>
      <c r="MS87" s="30"/>
      <c r="MT87" s="30"/>
      <c r="MU87" s="30"/>
      <c r="MV87" s="30"/>
      <c r="MW87" s="30"/>
      <c r="MX87" s="30"/>
      <c r="MY87" s="30"/>
      <c r="MZ87" s="30"/>
      <c r="NA87" s="30"/>
      <c r="NB87" s="30"/>
      <c r="NC87" s="30"/>
      <c r="ND87" s="30"/>
      <c r="NE87" s="30"/>
      <c r="NF87" s="30"/>
      <c r="NG87" s="30"/>
      <c r="NH87" s="30"/>
      <c r="NI87" s="30"/>
      <c r="NJ87" s="30"/>
      <c r="NK87" s="30"/>
      <c r="NL87" s="30"/>
      <c r="NM87" s="30"/>
      <c r="NN87" s="30"/>
      <c r="NO87" s="30"/>
      <c r="NP87" s="30"/>
      <c r="NQ87" s="30"/>
      <c r="NR87" s="30"/>
    </row>
    <row r="88" spans="1:382" s="3" customFormat="1" ht="20.100000000000001" customHeight="1" x14ac:dyDescent="0.4">
      <c r="A88" s="29">
        <v>3</v>
      </c>
      <c r="B88" s="5">
        <v>1331</v>
      </c>
      <c r="C88" s="5" t="s">
        <v>144</v>
      </c>
      <c r="D88" s="5" t="s">
        <v>145</v>
      </c>
      <c r="E88" s="5" t="s">
        <v>14</v>
      </c>
      <c r="F88" s="5" t="s">
        <v>32</v>
      </c>
      <c r="G88" s="5" t="s">
        <v>32</v>
      </c>
      <c r="H88" s="5" t="s">
        <v>32</v>
      </c>
      <c r="I88" s="8"/>
      <c r="J88" s="8"/>
      <c r="K88" s="8" t="str">
        <f>IF(OR(J88="",E88=""),"",J88+IFERROR(VLOOKUP(E88,リードタイム!$A$2:$C$9,3,FALSE),0))</f>
        <v/>
      </c>
      <c r="L88" s="5" t="s">
        <v>530</v>
      </c>
      <c r="M88" s="8"/>
      <c r="N88" s="8" t="str">
        <f>IF(OR(M88="",E88=""),"",M88+IFERROR(VLOOKUP(E88,リードタイム!$A$2:$D$9,4,FALSE),0))</f>
        <v/>
      </c>
      <c r="O88" s="5" t="s">
        <v>530</v>
      </c>
      <c r="P88" s="5" t="s">
        <v>530</v>
      </c>
      <c r="Q88" s="5" t="s">
        <v>32</v>
      </c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0"/>
      <c r="IC88" s="30"/>
      <c r="ID88" s="30"/>
      <c r="IE88" s="30"/>
      <c r="IF88" s="30"/>
      <c r="IG88" s="30"/>
      <c r="IH88" s="30"/>
      <c r="II88" s="30"/>
      <c r="IJ88" s="30"/>
      <c r="IK88" s="30"/>
      <c r="IL88" s="30"/>
      <c r="IM88" s="30"/>
      <c r="IN88" s="30"/>
      <c r="IO88" s="30"/>
      <c r="IP88" s="30"/>
      <c r="IQ88" s="30"/>
      <c r="IR88" s="30"/>
      <c r="IS88" s="30"/>
      <c r="IT88" s="30"/>
      <c r="IU88" s="30"/>
      <c r="IV88" s="30"/>
      <c r="IW88" s="30"/>
      <c r="IX88" s="30"/>
      <c r="IY88" s="30"/>
      <c r="IZ88" s="30"/>
      <c r="JA88" s="30"/>
      <c r="JB88" s="30"/>
      <c r="JC88" s="30"/>
      <c r="JD88" s="30"/>
      <c r="JE88" s="30"/>
      <c r="JF88" s="30"/>
      <c r="JG88" s="30"/>
      <c r="JH88" s="30"/>
      <c r="JI88" s="30"/>
      <c r="JJ88" s="30"/>
      <c r="JK88" s="30"/>
      <c r="JL88" s="30"/>
      <c r="JM88" s="30"/>
      <c r="JN88" s="30"/>
      <c r="JO88" s="30"/>
      <c r="JP88" s="30"/>
      <c r="JQ88" s="30"/>
      <c r="JR88" s="30"/>
      <c r="JS88" s="30"/>
      <c r="JT88" s="30"/>
      <c r="JU88" s="30"/>
      <c r="JV88" s="30"/>
      <c r="JW88" s="30"/>
      <c r="JX88" s="30"/>
      <c r="JY88" s="30"/>
      <c r="JZ88" s="30"/>
      <c r="KA88" s="30"/>
      <c r="KB88" s="30"/>
      <c r="KC88" s="30"/>
      <c r="KD88" s="30"/>
      <c r="KE88" s="30"/>
      <c r="KF88" s="30"/>
      <c r="KG88" s="30"/>
      <c r="KH88" s="30"/>
      <c r="KI88" s="30"/>
      <c r="KJ88" s="30"/>
      <c r="KK88" s="30"/>
      <c r="KL88" s="30"/>
      <c r="KM88" s="30"/>
      <c r="KN88" s="30"/>
      <c r="KO88" s="30"/>
      <c r="KP88" s="30"/>
      <c r="KQ88" s="30"/>
      <c r="KR88" s="30"/>
      <c r="KS88" s="30"/>
      <c r="KT88" s="30"/>
      <c r="KU88" s="30"/>
      <c r="KV88" s="30"/>
      <c r="KW88" s="30"/>
      <c r="KX88" s="30"/>
      <c r="KY88" s="30"/>
      <c r="KZ88" s="30"/>
      <c r="LA88" s="30"/>
      <c r="LB88" s="30"/>
      <c r="LC88" s="30"/>
      <c r="LD88" s="30"/>
      <c r="LE88" s="30"/>
      <c r="LF88" s="30"/>
      <c r="LG88" s="30"/>
      <c r="LH88" s="30"/>
      <c r="LI88" s="30"/>
      <c r="LJ88" s="30"/>
      <c r="LK88" s="30"/>
      <c r="LL88" s="30"/>
      <c r="LM88" s="30"/>
      <c r="LN88" s="30"/>
      <c r="LO88" s="30"/>
      <c r="LP88" s="30"/>
      <c r="LQ88" s="30"/>
      <c r="LR88" s="30"/>
      <c r="LS88" s="30"/>
      <c r="LT88" s="30"/>
      <c r="LU88" s="30"/>
      <c r="LV88" s="30"/>
      <c r="LW88" s="30"/>
      <c r="LX88" s="30"/>
      <c r="LY88" s="30"/>
      <c r="LZ88" s="30"/>
      <c r="MA88" s="30"/>
      <c r="MB88" s="30"/>
      <c r="MC88" s="30"/>
      <c r="MD88" s="30"/>
      <c r="ME88" s="30"/>
      <c r="MF88" s="30"/>
      <c r="MG88" s="30"/>
      <c r="MH88" s="30"/>
      <c r="MI88" s="30"/>
      <c r="MJ88" s="30"/>
      <c r="MK88" s="30"/>
      <c r="ML88" s="30"/>
      <c r="MM88" s="30"/>
      <c r="MN88" s="30"/>
      <c r="MO88" s="30"/>
      <c r="MP88" s="30"/>
      <c r="MQ88" s="30"/>
      <c r="MR88" s="30"/>
      <c r="MS88" s="30"/>
      <c r="MT88" s="30"/>
      <c r="MU88" s="30"/>
      <c r="MV88" s="30"/>
      <c r="MW88" s="30"/>
      <c r="MX88" s="30"/>
      <c r="MY88" s="30"/>
      <c r="MZ88" s="30"/>
      <c r="NA88" s="30"/>
      <c r="NB88" s="30"/>
      <c r="NC88" s="30"/>
      <c r="ND88" s="30"/>
      <c r="NE88" s="30"/>
      <c r="NF88" s="30"/>
      <c r="NG88" s="30"/>
      <c r="NH88" s="30"/>
      <c r="NI88" s="30"/>
      <c r="NJ88" s="30"/>
      <c r="NK88" s="30"/>
      <c r="NL88" s="30"/>
      <c r="NM88" s="30"/>
      <c r="NN88" s="30"/>
      <c r="NO88" s="30"/>
      <c r="NP88" s="30"/>
      <c r="NQ88" s="30"/>
      <c r="NR88" s="30"/>
    </row>
    <row r="89" spans="1:382" s="3" customFormat="1" ht="20.100000000000001" customHeight="1" x14ac:dyDescent="0.4">
      <c r="A89" s="29">
        <v>4</v>
      </c>
      <c r="B89" s="5">
        <v>1495</v>
      </c>
      <c r="C89" s="5" t="s">
        <v>144</v>
      </c>
      <c r="D89" s="5" t="s">
        <v>146</v>
      </c>
      <c r="E89" s="5" t="s">
        <v>14</v>
      </c>
      <c r="F89" s="5" t="s">
        <v>32</v>
      </c>
      <c r="G89" s="5" t="s">
        <v>32</v>
      </c>
      <c r="H89" s="5" t="s">
        <v>32</v>
      </c>
      <c r="I89" s="8"/>
      <c r="J89" s="8"/>
      <c r="K89" s="8" t="str">
        <f>IF(OR(J89="",E89=""),"",J89+IFERROR(VLOOKUP(E89,リードタイム!$A$2:$C$9,3,FALSE),0))</f>
        <v/>
      </c>
      <c r="L89" s="5" t="s">
        <v>530</v>
      </c>
      <c r="M89" s="8"/>
      <c r="N89" s="8" t="str">
        <f>IF(OR(M89="",E89=""),"",M89+IFERROR(VLOOKUP(E89,リードタイム!$A$2:$D$9,4,FALSE),0))</f>
        <v/>
      </c>
      <c r="O89" s="5" t="s">
        <v>530</v>
      </c>
      <c r="P89" s="5" t="s">
        <v>530</v>
      </c>
      <c r="Q89" s="5" t="s">
        <v>32</v>
      </c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30"/>
      <c r="GT89" s="30"/>
      <c r="GU89" s="30"/>
      <c r="GV89" s="30"/>
      <c r="GW89" s="30"/>
      <c r="GX89" s="30"/>
      <c r="GY89" s="30"/>
      <c r="GZ89" s="30"/>
      <c r="HA89" s="30"/>
      <c r="HB89" s="30"/>
      <c r="HC89" s="30"/>
      <c r="HD89" s="30"/>
      <c r="HE89" s="30"/>
      <c r="HF89" s="30"/>
      <c r="HG89" s="30"/>
      <c r="HH89" s="30"/>
      <c r="HI89" s="30"/>
      <c r="HJ89" s="30"/>
      <c r="HK89" s="30"/>
      <c r="HL89" s="30"/>
      <c r="HM89" s="30"/>
      <c r="HN89" s="30"/>
      <c r="HO89" s="30"/>
      <c r="HP89" s="30"/>
      <c r="HQ89" s="30"/>
      <c r="HR89" s="30"/>
      <c r="HS89" s="30"/>
      <c r="HT89" s="30"/>
      <c r="HU89" s="30"/>
      <c r="HV89" s="30"/>
      <c r="HW89" s="30"/>
      <c r="HX89" s="30"/>
      <c r="HY89" s="30"/>
      <c r="HZ89" s="30"/>
      <c r="IA89" s="30"/>
      <c r="IB89" s="30"/>
      <c r="IC89" s="30"/>
      <c r="ID89" s="30"/>
      <c r="IE89" s="30"/>
      <c r="IF89" s="30"/>
      <c r="IG89" s="30"/>
      <c r="IH89" s="30"/>
      <c r="II89" s="30"/>
      <c r="IJ89" s="30"/>
      <c r="IK89" s="30"/>
      <c r="IL89" s="30"/>
      <c r="IM89" s="30"/>
      <c r="IN89" s="30"/>
      <c r="IO89" s="30"/>
      <c r="IP89" s="30"/>
      <c r="IQ89" s="30"/>
      <c r="IR89" s="30"/>
      <c r="IS89" s="30"/>
      <c r="IT89" s="30"/>
      <c r="IU89" s="30"/>
      <c r="IV89" s="30"/>
      <c r="IW89" s="30"/>
      <c r="IX89" s="30"/>
      <c r="IY89" s="30"/>
      <c r="IZ89" s="30"/>
      <c r="JA89" s="30"/>
      <c r="JB89" s="30"/>
      <c r="JC89" s="30"/>
      <c r="JD89" s="30"/>
      <c r="JE89" s="30"/>
      <c r="JF89" s="30"/>
      <c r="JG89" s="30"/>
      <c r="JH89" s="30"/>
      <c r="JI89" s="30"/>
      <c r="JJ89" s="30"/>
      <c r="JK89" s="30"/>
      <c r="JL89" s="30"/>
      <c r="JM89" s="30"/>
      <c r="JN89" s="30"/>
      <c r="JO89" s="30"/>
      <c r="JP89" s="30"/>
      <c r="JQ89" s="30"/>
      <c r="JR89" s="30"/>
      <c r="JS89" s="30"/>
      <c r="JT89" s="30"/>
      <c r="JU89" s="30"/>
      <c r="JV89" s="30"/>
      <c r="JW89" s="30"/>
      <c r="JX89" s="30"/>
      <c r="JY89" s="30"/>
      <c r="JZ89" s="30"/>
      <c r="KA89" s="30"/>
      <c r="KB89" s="30"/>
      <c r="KC89" s="30"/>
      <c r="KD89" s="30"/>
      <c r="KE89" s="30"/>
      <c r="KF89" s="30"/>
      <c r="KG89" s="30"/>
      <c r="KH89" s="30"/>
      <c r="KI89" s="30"/>
      <c r="KJ89" s="30"/>
      <c r="KK89" s="30"/>
      <c r="KL89" s="30"/>
      <c r="KM89" s="30"/>
      <c r="KN89" s="30"/>
      <c r="KO89" s="30"/>
      <c r="KP89" s="30"/>
      <c r="KQ89" s="30"/>
      <c r="KR89" s="30"/>
      <c r="KS89" s="30"/>
      <c r="KT89" s="30"/>
      <c r="KU89" s="30"/>
      <c r="KV89" s="30"/>
      <c r="KW89" s="30"/>
      <c r="KX89" s="30"/>
      <c r="KY89" s="30"/>
      <c r="KZ89" s="30"/>
      <c r="LA89" s="30"/>
      <c r="LB89" s="30"/>
      <c r="LC89" s="30"/>
      <c r="LD89" s="30"/>
      <c r="LE89" s="30"/>
      <c r="LF89" s="30"/>
      <c r="LG89" s="30"/>
      <c r="LH89" s="30"/>
      <c r="LI89" s="30"/>
      <c r="LJ89" s="30"/>
      <c r="LK89" s="30"/>
      <c r="LL89" s="30"/>
      <c r="LM89" s="30"/>
      <c r="LN89" s="30"/>
      <c r="LO89" s="30"/>
      <c r="LP89" s="30"/>
      <c r="LQ89" s="30"/>
      <c r="LR89" s="30"/>
      <c r="LS89" s="30"/>
      <c r="LT89" s="30"/>
      <c r="LU89" s="30"/>
      <c r="LV89" s="30"/>
      <c r="LW89" s="30"/>
      <c r="LX89" s="30"/>
      <c r="LY89" s="30"/>
      <c r="LZ89" s="30"/>
      <c r="MA89" s="30"/>
      <c r="MB89" s="30"/>
      <c r="MC89" s="30"/>
      <c r="MD89" s="30"/>
      <c r="ME89" s="30"/>
      <c r="MF89" s="30"/>
      <c r="MG89" s="30"/>
      <c r="MH89" s="30"/>
      <c r="MI89" s="30"/>
      <c r="MJ89" s="30"/>
      <c r="MK89" s="30"/>
      <c r="ML89" s="30"/>
      <c r="MM89" s="30"/>
      <c r="MN89" s="30"/>
      <c r="MO89" s="30"/>
      <c r="MP89" s="30"/>
      <c r="MQ89" s="30"/>
      <c r="MR89" s="30"/>
      <c r="MS89" s="30"/>
      <c r="MT89" s="30"/>
      <c r="MU89" s="30"/>
      <c r="MV89" s="30"/>
      <c r="MW89" s="30"/>
      <c r="MX89" s="30"/>
      <c r="MY89" s="30"/>
      <c r="MZ89" s="30"/>
      <c r="NA89" s="30"/>
      <c r="NB89" s="30"/>
      <c r="NC89" s="30"/>
      <c r="ND89" s="30"/>
      <c r="NE89" s="30"/>
      <c r="NF89" s="30"/>
      <c r="NG89" s="30"/>
      <c r="NH89" s="30"/>
      <c r="NI89" s="30"/>
      <c r="NJ89" s="30"/>
      <c r="NK89" s="30"/>
      <c r="NL89" s="30"/>
      <c r="NM89" s="30"/>
      <c r="NN89" s="30"/>
      <c r="NO89" s="30"/>
      <c r="NP89" s="30"/>
      <c r="NQ89" s="30"/>
      <c r="NR89" s="30"/>
    </row>
    <row r="90" spans="1:382" s="3" customFormat="1" ht="20.100000000000001" customHeight="1" x14ac:dyDescent="0.4">
      <c r="A90" s="29">
        <v>1</v>
      </c>
      <c r="B90" s="5">
        <v>1886</v>
      </c>
      <c r="C90" s="5" t="s">
        <v>147</v>
      </c>
      <c r="D90" s="5" t="s">
        <v>41</v>
      </c>
      <c r="E90" s="5" t="s">
        <v>6</v>
      </c>
      <c r="F90" s="5" t="s">
        <v>32</v>
      </c>
      <c r="G90" s="5" t="s">
        <v>32</v>
      </c>
      <c r="H90" s="5" t="s">
        <v>32</v>
      </c>
      <c r="I90" s="8">
        <v>45929.625</v>
      </c>
      <c r="J90" s="8"/>
      <c r="K90" s="8" t="str">
        <f>IF(OR(J90="",E90=""),"",J90+IFERROR(VLOOKUP(E90,リードタイム!$A$2:$C$9,3,FALSE),0))</f>
        <v/>
      </c>
      <c r="L90" s="5" t="s">
        <v>531</v>
      </c>
      <c r="M90" s="8"/>
      <c r="N90" s="8" t="str">
        <f>IF(OR(M90="",E90=""),"",M90+IFERROR(VLOOKUP(E90,リードタイム!$A$2:$D$9,4,FALSE),0))</f>
        <v/>
      </c>
      <c r="O90" s="5" t="s">
        <v>531</v>
      </c>
      <c r="P90" s="5" t="s">
        <v>533</v>
      </c>
      <c r="Q90" s="5" t="s">
        <v>32</v>
      </c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  <c r="FS90" s="30"/>
      <c r="FT90" s="30"/>
      <c r="FU90" s="30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  <c r="GK90" s="30"/>
      <c r="GL90" s="30"/>
      <c r="GM90" s="30"/>
      <c r="GN90" s="30"/>
      <c r="GO90" s="30"/>
      <c r="GP90" s="30"/>
      <c r="GQ90" s="30"/>
      <c r="GR90" s="30"/>
      <c r="GS90" s="30"/>
      <c r="GT90" s="30"/>
      <c r="GU90" s="30"/>
      <c r="GV90" s="30"/>
      <c r="GW90" s="30"/>
      <c r="GX90" s="30"/>
      <c r="GY90" s="30"/>
      <c r="GZ90" s="30"/>
      <c r="HA90" s="30"/>
      <c r="HB90" s="30"/>
      <c r="HC90" s="30"/>
      <c r="HD90" s="30"/>
      <c r="HE90" s="30"/>
      <c r="HF90" s="30"/>
      <c r="HG90" s="30"/>
      <c r="HH90" s="30"/>
      <c r="HI90" s="30"/>
      <c r="HJ90" s="30"/>
      <c r="HK90" s="30"/>
      <c r="HL90" s="30"/>
      <c r="HM90" s="30"/>
      <c r="HN90" s="30"/>
      <c r="HO90" s="30"/>
      <c r="HP90" s="30"/>
      <c r="HQ90" s="30"/>
      <c r="HR90" s="30"/>
      <c r="HS90" s="30"/>
      <c r="HT90" s="30"/>
      <c r="HU90" s="30"/>
      <c r="HV90" s="30"/>
      <c r="HW90" s="30"/>
      <c r="HX90" s="30"/>
      <c r="HY90" s="30"/>
      <c r="HZ90" s="30"/>
      <c r="IA90" s="30"/>
      <c r="IB90" s="30"/>
      <c r="IC90" s="30"/>
      <c r="ID90" s="30"/>
      <c r="IE90" s="30"/>
      <c r="IF90" s="30"/>
      <c r="IG90" s="30"/>
      <c r="IH90" s="30"/>
      <c r="II90" s="30"/>
      <c r="IJ90" s="30"/>
      <c r="IK90" s="30"/>
      <c r="IL90" s="30"/>
      <c r="IM90" s="30"/>
      <c r="IN90" s="30"/>
      <c r="IO90" s="30"/>
      <c r="IP90" s="30"/>
      <c r="IQ90" s="30"/>
      <c r="IR90" s="30"/>
      <c r="IS90" s="30"/>
      <c r="IT90" s="30"/>
      <c r="IU90" s="30"/>
      <c r="IV90" s="30"/>
      <c r="IW90" s="30"/>
      <c r="IX90" s="30"/>
      <c r="IY90" s="30"/>
      <c r="IZ90" s="30"/>
      <c r="JA90" s="30"/>
      <c r="JB90" s="30"/>
      <c r="JC90" s="30"/>
      <c r="JD90" s="30"/>
      <c r="JE90" s="30"/>
      <c r="JF90" s="30"/>
      <c r="JG90" s="30"/>
      <c r="JH90" s="30"/>
      <c r="JI90" s="30"/>
      <c r="JJ90" s="30"/>
      <c r="JK90" s="30"/>
      <c r="JL90" s="30"/>
      <c r="JM90" s="30"/>
      <c r="JN90" s="30"/>
      <c r="JO90" s="30"/>
      <c r="JP90" s="30"/>
      <c r="JQ90" s="30"/>
      <c r="JR90" s="30"/>
      <c r="JS90" s="30"/>
      <c r="JT90" s="30"/>
      <c r="JU90" s="30"/>
      <c r="JV90" s="30"/>
      <c r="JW90" s="30"/>
      <c r="JX90" s="30"/>
      <c r="JY90" s="30"/>
      <c r="JZ90" s="30"/>
      <c r="KA90" s="30"/>
      <c r="KB90" s="30"/>
      <c r="KC90" s="30"/>
      <c r="KD90" s="30"/>
      <c r="KE90" s="30"/>
      <c r="KF90" s="30"/>
      <c r="KG90" s="30"/>
      <c r="KH90" s="30"/>
      <c r="KI90" s="30"/>
      <c r="KJ90" s="30"/>
      <c r="KK90" s="30"/>
      <c r="KL90" s="30"/>
      <c r="KM90" s="30"/>
      <c r="KN90" s="30"/>
      <c r="KO90" s="30"/>
      <c r="KP90" s="30"/>
      <c r="KQ90" s="30"/>
      <c r="KR90" s="30"/>
      <c r="KS90" s="30"/>
      <c r="KT90" s="30"/>
      <c r="KU90" s="30"/>
      <c r="KV90" s="30"/>
      <c r="KW90" s="30"/>
      <c r="KX90" s="30"/>
      <c r="KY90" s="30"/>
      <c r="KZ90" s="30"/>
      <c r="LA90" s="30"/>
      <c r="LB90" s="30"/>
      <c r="LC90" s="30"/>
      <c r="LD90" s="30"/>
      <c r="LE90" s="30"/>
      <c r="LF90" s="30"/>
      <c r="LG90" s="30"/>
      <c r="LH90" s="30"/>
      <c r="LI90" s="30"/>
      <c r="LJ90" s="30"/>
      <c r="LK90" s="30"/>
      <c r="LL90" s="30"/>
      <c r="LM90" s="30"/>
      <c r="LN90" s="30"/>
      <c r="LO90" s="30"/>
      <c r="LP90" s="30"/>
      <c r="LQ90" s="30"/>
      <c r="LR90" s="30"/>
      <c r="LS90" s="30"/>
      <c r="LT90" s="30"/>
      <c r="LU90" s="30"/>
      <c r="LV90" s="30"/>
      <c r="LW90" s="30"/>
      <c r="LX90" s="30"/>
      <c r="LY90" s="30"/>
      <c r="LZ90" s="30"/>
      <c r="MA90" s="30"/>
      <c r="MB90" s="30"/>
      <c r="MC90" s="30"/>
      <c r="MD90" s="30"/>
      <c r="ME90" s="30"/>
      <c r="MF90" s="30"/>
      <c r="MG90" s="30"/>
      <c r="MH90" s="30"/>
      <c r="MI90" s="30"/>
      <c r="MJ90" s="30"/>
      <c r="MK90" s="30"/>
      <c r="ML90" s="30"/>
      <c r="MM90" s="30"/>
      <c r="MN90" s="30"/>
      <c r="MO90" s="30"/>
      <c r="MP90" s="30"/>
      <c r="MQ90" s="30"/>
      <c r="MR90" s="30"/>
      <c r="MS90" s="30"/>
      <c r="MT90" s="30"/>
      <c r="MU90" s="30"/>
      <c r="MV90" s="30"/>
      <c r="MW90" s="30"/>
      <c r="MX90" s="30"/>
      <c r="MY90" s="30"/>
      <c r="MZ90" s="30"/>
      <c r="NA90" s="30"/>
      <c r="NB90" s="30"/>
      <c r="NC90" s="30"/>
      <c r="ND90" s="30"/>
      <c r="NE90" s="30"/>
      <c r="NF90" s="30"/>
      <c r="NG90" s="30"/>
      <c r="NH90" s="30"/>
      <c r="NI90" s="30"/>
      <c r="NJ90" s="30"/>
      <c r="NK90" s="30"/>
      <c r="NL90" s="30"/>
      <c r="NM90" s="30"/>
      <c r="NN90" s="30"/>
      <c r="NO90" s="30"/>
      <c r="NP90" s="30"/>
      <c r="NQ90" s="30"/>
      <c r="NR90" s="30"/>
    </row>
    <row r="91" spans="1:382" s="3" customFormat="1" ht="20.100000000000001" customHeight="1" x14ac:dyDescent="0.4">
      <c r="A91" s="29">
        <v>2</v>
      </c>
      <c r="B91" s="5">
        <v>1887</v>
      </c>
      <c r="C91" s="5" t="s">
        <v>147</v>
      </c>
      <c r="D91" s="5" t="s">
        <v>62</v>
      </c>
      <c r="E91" s="5" t="s">
        <v>8</v>
      </c>
      <c r="F91" s="5" t="s">
        <v>32</v>
      </c>
      <c r="G91" s="5" t="s">
        <v>32</v>
      </c>
      <c r="H91" s="5" t="s">
        <v>32</v>
      </c>
      <c r="I91" s="8">
        <v>45929.625</v>
      </c>
      <c r="J91" s="8"/>
      <c r="K91" s="8" t="str">
        <f>IF(OR(J91="",E91=""),"",J91+IFERROR(VLOOKUP(E91,リードタイム!$A$2:$C$9,3,FALSE),0))</f>
        <v/>
      </c>
      <c r="L91" s="5" t="s">
        <v>531</v>
      </c>
      <c r="M91" s="8"/>
      <c r="N91" s="8" t="str">
        <f>IF(OR(M91="",E91=""),"",M91+IFERROR(VLOOKUP(E91,リードタイム!$A$2:$D$9,4,FALSE),0))</f>
        <v/>
      </c>
      <c r="O91" s="5" t="s">
        <v>531</v>
      </c>
      <c r="P91" s="5" t="s">
        <v>533</v>
      </c>
      <c r="Q91" s="5" t="s">
        <v>32</v>
      </c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  <c r="FT91" s="30"/>
      <c r="FU91" s="30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  <c r="GK91" s="30"/>
      <c r="GL91" s="30"/>
      <c r="GM91" s="30"/>
      <c r="GN91" s="30"/>
      <c r="GO91" s="30"/>
      <c r="GP91" s="30"/>
      <c r="GQ91" s="30"/>
      <c r="GR91" s="30"/>
      <c r="GS91" s="30"/>
      <c r="GT91" s="30"/>
      <c r="GU91" s="30"/>
      <c r="GV91" s="30"/>
      <c r="GW91" s="30"/>
      <c r="GX91" s="30"/>
      <c r="GY91" s="30"/>
      <c r="GZ91" s="30"/>
      <c r="HA91" s="30"/>
      <c r="HB91" s="30"/>
      <c r="HC91" s="30"/>
      <c r="HD91" s="30"/>
      <c r="HE91" s="30"/>
      <c r="HF91" s="30"/>
      <c r="HG91" s="30"/>
      <c r="HH91" s="30"/>
      <c r="HI91" s="30"/>
      <c r="HJ91" s="30"/>
      <c r="HK91" s="30"/>
      <c r="HL91" s="30"/>
      <c r="HM91" s="30"/>
      <c r="HN91" s="30"/>
      <c r="HO91" s="30"/>
      <c r="HP91" s="30"/>
      <c r="HQ91" s="30"/>
      <c r="HR91" s="30"/>
      <c r="HS91" s="30"/>
      <c r="HT91" s="30"/>
      <c r="HU91" s="30"/>
      <c r="HV91" s="30"/>
      <c r="HW91" s="30"/>
      <c r="HX91" s="30"/>
      <c r="HY91" s="30"/>
      <c r="HZ91" s="30"/>
      <c r="IA91" s="30"/>
      <c r="IB91" s="30"/>
      <c r="IC91" s="30"/>
      <c r="ID91" s="30"/>
      <c r="IE91" s="30"/>
      <c r="IF91" s="30"/>
      <c r="IG91" s="30"/>
      <c r="IH91" s="30"/>
      <c r="II91" s="30"/>
      <c r="IJ91" s="30"/>
      <c r="IK91" s="30"/>
      <c r="IL91" s="30"/>
      <c r="IM91" s="30"/>
      <c r="IN91" s="30"/>
      <c r="IO91" s="30"/>
      <c r="IP91" s="30"/>
      <c r="IQ91" s="30"/>
      <c r="IR91" s="30"/>
      <c r="IS91" s="30"/>
      <c r="IT91" s="30"/>
      <c r="IU91" s="30"/>
      <c r="IV91" s="30"/>
      <c r="IW91" s="30"/>
      <c r="IX91" s="30"/>
      <c r="IY91" s="30"/>
      <c r="IZ91" s="30"/>
      <c r="JA91" s="30"/>
      <c r="JB91" s="30"/>
      <c r="JC91" s="30"/>
      <c r="JD91" s="30"/>
      <c r="JE91" s="30"/>
      <c r="JF91" s="30"/>
      <c r="JG91" s="30"/>
      <c r="JH91" s="30"/>
      <c r="JI91" s="30"/>
      <c r="JJ91" s="30"/>
      <c r="JK91" s="30"/>
      <c r="JL91" s="30"/>
      <c r="JM91" s="30"/>
      <c r="JN91" s="30"/>
      <c r="JO91" s="30"/>
      <c r="JP91" s="30"/>
      <c r="JQ91" s="30"/>
      <c r="JR91" s="30"/>
      <c r="JS91" s="30"/>
      <c r="JT91" s="30"/>
      <c r="JU91" s="30"/>
      <c r="JV91" s="30"/>
      <c r="JW91" s="30"/>
      <c r="JX91" s="30"/>
      <c r="JY91" s="30"/>
      <c r="JZ91" s="30"/>
      <c r="KA91" s="30"/>
      <c r="KB91" s="30"/>
      <c r="KC91" s="30"/>
      <c r="KD91" s="30"/>
      <c r="KE91" s="30"/>
      <c r="KF91" s="30"/>
      <c r="KG91" s="30"/>
      <c r="KH91" s="30"/>
      <c r="KI91" s="30"/>
      <c r="KJ91" s="30"/>
      <c r="KK91" s="30"/>
      <c r="KL91" s="30"/>
      <c r="KM91" s="30"/>
      <c r="KN91" s="30"/>
      <c r="KO91" s="30"/>
      <c r="KP91" s="30"/>
      <c r="KQ91" s="30"/>
      <c r="KR91" s="30"/>
      <c r="KS91" s="30"/>
      <c r="KT91" s="30"/>
      <c r="KU91" s="30"/>
      <c r="KV91" s="30"/>
      <c r="KW91" s="30"/>
      <c r="KX91" s="30"/>
      <c r="KY91" s="30"/>
      <c r="KZ91" s="30"/>
      <c r="LA91" s="30"/>
      <c r="LB91" s="30"/>
      <c r="LC91" s="30"/>
      <c r="LD91" s="30"/>
      <c r="LE91" s="30"/>
      <c r="LF91" s="30"/>
      <c r="LG91" s="30"/>
      <c r="LH91" s="30"/>
      <c r="LI91" s="30"/>
      <c r="LJ91" s="30"/>
      <c r="LK91" s="30"/>
      <c r="LL91" s="30"/>
      <c r="LM91" s="30"/>
      <c r="LN91" s="30"/>
      <c r="LO91" s="30"/>
      <c r="LP91" s="30"/>
      <c r="LQ91" s="30"/>
      <c r="LR91" s="30"/>
      <c r="LS91" s="30"/>
      <c r="LT91" s="30"/>
      <c r="LU91" s="30"/>
      <c r="LV91" s="30"/>
      <c r="LW91" s="30"/>
      <c r="LX91" s="30"/>
      <c r="LY91" s="30"/>
      <c r="LZ91" s="30"/>
      <c r="MA91" s="30"/>
      <c r="MB91" s="30"/>
      <c r="MC91" s="30"/>
      <c r="MD91" s="30"/>
      <c r="ME91" s="30"/>
      <c r="MF91" s="30"/>
      <c r="MG91" s="30"/>
      <c r="MH91" s="30"/>
      <c r="MI91" s="30"/>
      <c r="MJ91" s="30"/>
      <c r="MK91" s="30"/>
      <c r="ML91" s="30"/>
      <c r="MM91" s="30"/>
      <c r="MN91" s="30"/>
      <c r="MO91" s="30"/>
      <c r="MP91" s="30"/>
      <c r="MQ91" s="30"/>
      <c r="MR91" s="30"/>
      <c r="MS91" s="30"/>
      <c r="MT91" s="30"/>
      <c r="MU91" s="30"/>
      <c r="MV91" s="30"/>
      <c r="MW91" s="30"/>
      <c r="MX91" s="30"/>
      <c r="MY91" s="30"/>
      <c r="MZ91" s="30"/>
      <c r="NA91" s="30"/>
      <c r="NB91" s="30"/>
      <c r="NC91" s="30"/>
      <c r="ND91" s="30"/>
      <c r="NE91" s="30"/>
      <c r="NF91" s="30"/>
      <c r="NG91" s="30"/>
      <c r="NH91" s="30"/>
      <c r="NI91" s="30"/>
      <c r="NJ91" s="30"/>
      <c r="NK91" s="30"/>
      <c r="NL91" s="30"/>
      <c r="NM91" s="30"/>
      <c r="NN91" s="30"/>
      <c r="NO91" s="30"/>
      <c r="NP91" s="30"/>
      <c r="NQ91" s="30"/>
      <c r="NR91" s="30"/>
    </row>
    <row r="92" spans="1:382" s="3" customFormat="1" ht="20.100000000000001" customHeight="1" x14ac:dyDescent="0.4">
      <c r="A92" s="29">
        <v>1</v>
      </c>
      <c r="B92" s="5">
        <v>1889</v>
      </c>
      <c r="C92" s="5" t="s">
        <v>148</v>
      </c>
      <c r="D92" s="5" t="s">
        <v>62</v>
      </c>
      <c r="E92" s="5" t="s">
        <v>8</v>
      </c>
      <c r="F92" s="5" t="s">
        <v>32</v>
      </c>
      <c r="G92" s="5" t="s">
        <v>32</v>
      </c>
      <c r="H92" s="5" t="s">
        <v>32</v>
      </c>
      <c r="I92" s="8">
        <v>45929.625</v>
      </c>
      <c r="J92" s="8"/>
      <c r="K92" s="8" t="str">
        <f>IF(OR(J92="",E92=""),"",J92+IFERROR(VLOOKUP(E92,リードタイム!$A$2:$C$9,3,FALSE),0))</f>
        <v/>
      </c>
      <c r="L92" s="5" t="s">
        <v>531</v>
      </c>
      <c r="M92" s="8"/>
      <c r="N92" s="8" t="str">
        <f>IF(OR(M92="",E92=""),"",M92+IFERROR(VLOOKUP(E92,リードタイム!$A$2:$D$9,4,FALSE),0))</f>
        <v/>
      </c>
      <c r="O92" s="5" t="s">
        <v>531</v>
      </c>
      <c r="P92" s="5" t="s">
        <v>533</v>
      </c>
      <c r="Q92" s="5" t="s">
        <v>32</v>
      </c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30"/>
      <c r="GT92" s="30"/>
      <c r="GU92" s="30"/>
      <c r="GV92" s="30"/>
      <c r="GW92" s="30"/>
      <c r="GX92" s="30"/>
      <c r="GY92" s="30"/>
      <c r="GZ92" s="30"/>
      <c r="HA92" s="30"/>
      <c r="HB92" s="30"/>
      <c r="HC92" s="30"/>
      <c r="HD92" s="30"/>
      <c r="HE92" s="30"/>
      <c r="HF92" s="30"/>
      <c r="HG92" s="30"/>
      <c r="HH92" s="30"/>
      <c r="HI92" s="30"/>
      <c r="HJ92" s="30"/>
      <c r="HK92" s="30"/>
      <c r="HL92" s="30"/>
      <c r="HM92" s="30"/>
      <c r="HN92" s="30"/>
      <c r="HO92" s="30"/>
      <c r="HP92" s="30"/>
      <c r="HQ92" s="30"/>
      <c r="HR92" s="30"/>
      <c r="HS92" s="30"/>
      <c r="HT92" s="30"/>
      <c r="HU92" s="30"/>
      <c r="HV92" s="30"/>
      <c r="HW92" s="30"/>
      <c r="HX92" s="30"/>
      <c r="HY92" s="30"/>
      <c r="HZ92" s="30"/>
      <c r="IA92" s="30"/>
      <c r="IB92" s="30"/>
      <c r="IC92" s="30"/>
      <c r="ID92" s="30"/>
      <c r="IE92" s="30"/>
      <c r="IF92" s="30"/>
      <c r="IG92" s="30"/>
      <c r="IH92" s="30"/>
      <c r="II92" s="30"/>
      <c r="IJ92" s="30"/>
      <c r="IK92" s="30"/>
      <c r="IL92" s="30"/>
      <c r="IM92" s="30"/>
      <c r="IN92" s="30"/>
      <c r="IO92" s="30"/>
      <c r="IP92" s="30"/>
      <c r="IQ92" s="30"/>
      <c r="IR92" s="30"/>
      <c r="IS92" s="30"/>
      <c r="IT92" s="30"/>
      <c r="IU92" s="30"/>
      <c r="IV92" s="30"/>
      <c r="IW92" s="30"/>
      <c r="IX92" s="30"/>
      <c r="IY92" s="30"/>
      <c r="IZ92" s="30"/>
      <c r="JA92" s="30"/>
      <c r="JB92" s="30"/>
      <c r="JC92" s="30"/>
      <c r="JD92" s="30"/>
      <c r="JE92" s="30"/>
      <c r="JF92" s="30"/>
      <c r="JG92" s="30"/>
      <c r="JH92" s="30"/>
      <c r="JI92" s="30"/>
      <c r="JJ92" s="30"/>
      <c r="JK92" s="30"/>
      <c r="JL92" s="30"/>
      <c r="JM92" s="30"/>
      <c r="JN92" s="30"/>
      <c r="JO92" s="30"/>
      <c r="JP92" s="30"/>
      <c r="JQ92" s="30"/>
      <c r="JR92" s="30"/>
      <c r="JS92" s="30"/>
      <c r="JT92" s="30"/>
      <c r="JU92" s="30"/>
      <c r="JV92" s="30"/>
      <c r="JW92" s="30"/>
      <c r="JX92" s="30"/>
      <c r="JY92" s="30"/>
      <c r="JZ92" s="30"/>
      <c r="KA92" s="30"/>
      <c r="KB92" s="30"/>
      <c r="KC92" s="30"/>
      <c r="KD92" s="30"/>
      <c r="KE92" s="30"/>
      <c r="KF92" s="30"/>
      <c r="KG92" s="30"/>
      <c r="KH92" s="30"/>
      <c r="KI92" s="30"/>
      <c r="KJ92" s="30"/>
      <c r="KK92" s="30"/>
      <c r="KL92" s="30"/>
      <c r="KM92" s="30"/>
      <c r="KN92" s="30"/>
      <c r="KO92" s="30"/>
      <c r="KP92" s="30"/>
      <c r="KQ92" s="30"/>
      <c r="KR92" s="30"/>
      <c r="KS92" s="30"/>
      <c r="KT92" s="30"/>
      <c r="KU92" s="30"/>
      <c r="KV92" s="30"/>
      <c r="KW92" s="30"/>
      <c r="KX92" s="30"/>
      <c r="KY92" s="30"/>
      <c r="KZ92" s="30"/>
      <c r="LA92" s="30"/>
      <c r="LB92" s="30"/>
      <c r="LC92" s="30"/>
      <c r="LD92" s="30"/>
      <c r="LE92" s="30"/>
      <c r="LF92" s="30"/>
      <c r="LG92" s="30"/>
      <c r="LH92" s="30"/>
      <c r="LI92" s="30"/>
      <c r="LJ92" s="30"/>
      <c r="LK92" s="30"/>
      <c r="LL92" s="30"/>
      <c r="LM92" s="30"/>
      <c r="LN92" s="30"/>
      <c r="LO92" s="30"/>
      <c r="LP92" s="30"/>
      <c r="LQ92" s="30"/>
      <c r="LR92" s="30"/>
      <c r="LS92" s="30"/>
      <c r="LT92" s="30"/>
      <c r="LU92" s="30"/>
      <c r="LV92" s="30"/>
      <c r="LW92" s="30"/>
      <c r="LX92" s="30"/>
      <c r="LY92" s="30"/>
      <c r="LZ92" s="30"/>
      <c r="MA92" s="30"/>
      <c r="MB92" s="30"/>
      <c r="MC92" s="30"/>
      <c r="MD92" s="30"/>
      <c r="ME92" s="30"/>
      <c r="MF92" s="30"/>
      <c r="MG92" s="30"/>
      <c r="MH92" s="30"/>
      <c r="MI92" s="30"/>
      <c r="MJ92" s="30"/>
      <c r="MK92" s="30"/>
      <c r="ML92" s="30"/>
      <c r="MM92" s="30"/>
      <c r="MN92" s="30"/>
      <c r="MO92" s="30"/>
      <c r="MP92" s="30"/>
      <c r="MQ92" s="30"/>
      <c r="MR92" s="30"/>
      <c r="MS92" s="30"/>
      <c r="MT92" s="30"/>
      <c r="MU92" s="30"/>
      <c r="MV92" s="30"/>
      <c r="MW92" s="30"/>
      <c r="MX92" s="30"/>
      <c r="MY92" s="30"/>
      <c r="MZ92" s="30"/>
      <c r="NA92" s="30"/>
      <c r="NB92" s="30"/>
      <c r="NC92" s="30"/>
      <c r="ND92" s="30"/>
      <c r="NE92" s="30"/>
      <c r="NF92" s="30"/>
      <c r="NG92" s="30"/>
      <c r="NH92" s="30"/>
      <c r="NI92" s="30"/>
      <c r="NJ92" s="30"/>
      <c r="NK92" s="30"/>
      <c r="NL92" s="30"/>
      <c r="NM92" s="30"/>
      <c r="NN92" s="30"/>
      <c r="NO92" s="30"/>
      <c r="NP92" s="30"/>
      <c r="NQ92" s="30"/>
      <c r="NR92" s="30"/>
    </row>
    <row r="93" spans="1:382" s="3" customFormat="1" ht="20.100000000000001" customHeight="1" x14ac:dyDescent="0.4">
      <c r="A93" s="29">
        <v>2</v>
      </c>
      <c r="B93" s="5">
        <v>1864</v>
      </c>
      <c r="C93" s="5" t="s">
        <v>148</v>
      </c>
      <c r="D93" s="5" t="s">
        <v>149</v>
      </c>
      <c r="E93" s="5" t="s">
        <v>10</v>
      </c>
      <c r="F93" s="5" t="s">
        <v>32</v>
      </c>
      <c r="G93" s="5" t="s">
        <v>32</v>
      </c>
      <c r="H93" s="5" t="s">
        <v>32</v>
      </c>
      <c r="I93" s="8"/>
      <c r="J93" s="8"/>
      <c r="K93" s="8" t="str">
        <f>IF(OR(J93="",E93=""),"",J93+IFERROR(VLOOKUP(E93,リードタイム!$A$2:$C$9,3,FALSE),0))</f>
        <v/>
      </c>
      <c r="L93" s="5" t="s">
        <v>531</v>
      </c>
      <c r="M93" s="8"/>
      <c r="N93" s="8" t="str">
        <f>IF(OR(M93="",E93=""),"",M93+IFERROR(VLOOKUP(E93,リードタイム!$A$2:$D$9,4,FALSE),0))</f>
        <v/>
      </c>
      <c r="O93" s="5" t="s">
        <v>531</v>
      </c>
      <c r="P93" s="5" t="s">
        <v>533</v>
      </c>
      <c r="Q93" s="5" t="s">
        <v>150</v>
      </c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  <c r="FS93" s="30"/>
      <c r="FT93" s="30"/>
      <c r="FU93" s="30"/>
      <c r="FV93" s="30"/>
      <c r="FW93" s="30"/>
      <c r="FX93" s="30"/>
      <c r="FY93" s="30"/>
      <c r="FZ93" s="30"/>
      <c r="GA93" s="30"/>
      <c r="GB93" s="30"/>
      <c r="GC93" s="30"/>
      <c r="GD93" s="30"/>
      <c r="GE93" s="30"/>
      <c r="GF93" s="30"/>
      <c r="GG93" s="30"/>
      <c r="GH93" s="30"/>
      <c r="GI93" s="30"/>
      <c r="GJ93" s="30"/>
      <c r="GK93" s="30"/>
      <c r="GL93" s="30"/>
      <c r="GM93" s="30"/>
      <c r="GN93" s="30"/>
      <c r="GO93" s="30"/>
      <c r="GP93" s="30"/>
      <c r="GQ93" s="30"/>
      <c r="GR93" s="30"/>
      <c r="GS93" s="30"/>
      <c r="GT93" s="30"/>
      <c r="GU93" s="30"/>
      <c r="GV93" s="30"/>
      <c r="GW93" s="30"/>
      <c r="GX93" s="30"/>
      <c r="GY93" s="30"/>
      <c r="GZ93" s="30"/>
      <c r="HA93" s="30"/>
      <c r="HB93" s="30"/>
      <c r="HC93" s="30"/>
      <c r="HD93" s="30"/>
      <c r="HE93" s="30"/>
      <c r="HF93" s="30"/>
      <c r="HG93" s="30"/>
      <c r="HH93" s="30"/>
      <c r="HI93" s="30"/>
      <c r="HJ93" s="30"/>
      <c r="HK93" s="30"/>
      <c r="HL93" s="30"/>
      <c r="HM93" s="30"/>
      <c r="HN93" s="30"/>
      <c r="HO93" s="30"/>
      <c r="HP93" s="30"/>
      <c r="HQ93" s="30"/>
      <c r="HR93" s="30"/>
      <c r="HS93" s="30"/>
      <c r="HT93" s="30"/>
      <c r="HU93" s="30"/>
      <c r="HV93" s="30"/>
      <c r="HW93" s="30"/>
      <c r="HX93" s="30"/>
      <c r="HY93" s="30"/>
      <c r="HZ93" s="30"/>
      <c r="IA93" s="30"/>
      <c r="IB93" s="30"/>
      <c r="IC93" s="30"/>
      <c r="ID93" s="30"/>
      <c r="IE93" s="30"/>
      <c r="IF93" s="30"/>
      <c r="IG93" s="30"/>
      <c r="IH93" s="30"/>
      <c r="II93" s="30"/>
      <c r="IJ93" s="30"/>
      <c r="IK93" s="30"/>
      <c r="IL93" s="30"/>
      <c r="IM93" s="30"/>
      <c r="IN93" s="30"/>
      <c r="IO93" s="30"/>
      <c r="IP93" s="30"/>
      <c r="IQ93" s="30"/>
      <c r="IR93" s="30"/>
      <c r="IS93" s="30"/>
      <c r="IT93" s="30"/>
      <c r="IU93" s="30"/>
      <c r="IV93" s="30"/>
      <c r="IW93" s="30"/>
      <c r="IX93" s="30"/>
      <c r="IY93" s="30"/>
      <c r="IZ93" s="30"/>
      <c r="JA93" s="30"/>
      <c r="JB93" s="30"/>
      <c r="JC93" s="30"/>
      <c r="JD93" s="30"/>
      <c r="JE93" s="30"/>
      <c r="JF93" s="30"/>
      <c r="JG93" s="30"/>
      <c r="JH93" s="30"/>
      <c r="JI93" s="30"/>
      <c r="JJ93" s="30"/>
      <c r="JK93" s="30"/>
      <c r="JL93" s="30"/>
      <c r="JM93" s="30"/>
      <c r="JN93" s="30"/>
      <c r="JO93" s="30"/>
      <c r="JP93" s="30"/>
      <c r="JQ93" s="30"/>
      <c r="JR93" s="30"/>
      <c r="JS93" s="30"/>
      <c r="JT93" s="30"/>
      <c r="JU93" s="30"/>
      <c r="JV93" s="30"/>
      <c r="JW93" s="30"/>
      <c r="JX93" s="30"/>
      <c r="JY93" s="30"/>
      <c r="JZ93" s="30"/>
      <c r="KA93" s="30"/>
      <c r="KB93" s="30"/>
      <c r="KC93" s="30"/>
      <c r="KD93" s="30"/>
      <c r="KE93" s="30"/>
      <c r="KF93" s="30"/>
      <c r="KG93" s="30"/>
      <c r="KH93" s="30"/>
      <c r="KI93" s="30"/>
      <c r="KJ93" s="30"/>
      <c r="KK93" s="30"/>
      <c r="KL93" s="30"/>
      <c r="KM93" s="30"/>
      <c r="KN93" s="30"/>
      <c r="KO93" s="30"/>
      <c r="KP93" s="30"/>
      <c r="KQ93" s="30"/>
      <c r="KR93" s="30"/>
      <c r="KS93" s="30"/>
      <c r="KT93" s="30"/>
      <c r="KU93" s="30"/>
      <c r="KV93" s="30"/>
      <c r="KW93" s="30"/>
      <c r="KX93" s="30"/>
      <c r="KY93" s="30"/>
      <c r="KZ93" s="30"/>
      <c r="LA93" s="30"/>
      <c r="LB93" s="30"/>
      <c r="LC93" s="30"/>
      <c r="LD93" s="30"/>
      <c r="LE93" s="30"/>
      <c r="LF93" s="30"/>
      <c r="LG93" s="30"/>
      <c r="LH93" s="30"/>
      <c r="LI93" s="30"/>
      <c r="LJ93" s="30"/>
      <c r="LK93" s="30"/>
      <c r="LL93" s="30"/>
      <c r="LM93" s="30"/>
      <c r="LN93" s="30"/>
      <c r="LO93" s="30"/>
      <c r="LP93" s="30"/>
      <c r="LQ93" s="30"/>
      <c r="LR93" s="30"/>
      <c r="LS93" s="30"/>
      <c r="LT93" s="30"/>
      <c r="LU93" s="30"/>
      <c r="LV93" s="30"/>
      <c r="LW93" s="30"/>
      <c r="LX93" s="30"/>
      <c r="LY93" s="30"/>
      <c r="LZ93" s="30"/>
      <c r="MA93" s="30"/>
      <c r="MB93" s="30"/>
      <c r="MC93" s="30"/>
      <c r="MD93" s="30"/>
      <c r="ME93" s="30"/>
      <c r="MF93" s="30"/>
      <c r="MG93" s="30"/>
      <c r="MH93" s="30"/>
      <c r="MI93" s="30"/>
      <c r="MJ93" s="30"/>
      <c r="MK93" s="30"/>
      <c r="ML93" s="30"/>
      <c r="MM93" s="30"/>
      <c r="MN93" s="30"/>
      <c r="MO93" s="30"/>
      <c r="MP93" s="30"/>
      <c r="MQ93" s="30"/>
      <c r="MR93" s="30"/>
      <c r="MS93" s="30"/>
      <c r="MT93" s="30"/>
      <c r="MU93" s="30"/>
      <c r="MV93" s="30"/>
      <c r="MW93" s="30"/>
      <c r="MX93" s="30"/>
      <c r="MY93" s="30"/>
      <c r="MZ93" s="30"/>
      <c r="NA93" s="30"/>
      <c r="NB93" s="30"/>
      <c r="NC93" s="30"/>
      <c r="ND93" s="30"/>
      <c r="NE93" s="30"/>
      <c r="NF93" s="30"/>
      <c r="NG93" s="30"/>
      <c r="NH93" s="30"/>
      <c r="NI93" s="30"/>
      <c r="NJ93" s="30"/>
      <c r="NK93" s="30"/>
      <c r="NL93" s="30"/>
      <c r="NM93" s="30"/>
      <c r="NN93" s="30"/>
      <c r="NO93" s="30"/>
      <c r="NP93" s="30"/>
      <c r="NQ93" s="30"/>
      <c r="NR93" s="30"/>
    </row>
    <row r="94" spans="1:382" s="3" customFormat="1" ht="20.100000000000001" customHeight="1" x14ac:dyDescent="0.4">
      <c r="A94" s="29">
        <v>3</v>
      </c>
      <c r="B94" s="5">
        <v>1888</v>
      </c>
      <c r="C94" s="5" t="s">
        <v>148</v>
      </c>
      <c r="D94" s="5" t="s">
        <v>41</v>
      </c>
      <c r="E94" s="5" t="s">
        <v>6</v>
      </c>
      <c r="F94" s="5" t="s">
        <v>32</v>
      </c>
      <c r="G94" s="5" t="s">
        <v>32</v>
      </c>
      <c r="H94" s="5" t="s">
        <v>32</v>
      </c>
      <c r="I94" s="8">
        <v>45929.625</v>
      </c>
      <c r="J94" s="8"/>
      <c r="K94" s="8" t="str">
        <f>IF(OR(J94="",E94=""),"",J94+IFERROR(VLOOKUP(E94,リードタイム!$A$2:$C$9,3,FALSE),0))</f>
        <v/>
      </c>
      <c r="L94" s="5" t="s">
        <v>531</v>
      </c>
      <c r="M94" s="8"/>
      <c r="N94" s="8" t="str">
        <f>IF(OR(M94="",E94=""),"",M94+IFERROR(VLOOKUP(E94,リードタイム!$A$2:$D$9,4,FALSE),0))</f>
        <v/>
      </c>
      <c r="O94" s="5" t="s">
        <v>531</v>
      </c>
      <c r="P94" s="5" t="s">
        <v>532</v>
      </c>
      <c r="Q94" s="5" t="s">
        <v>32</v>
      </c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0"/>
      <c r="GW94" s="30"/>
      <c r="GX94" s="30"/>
      <c r="GY94" s="30"/>
      <c r="GZ94" s="30"/>
      <c r="HA94" s="30"/>
      <c r="HB94" s="30"/>
      <c r="HC94" s="30"/>
      <c r="HD94" s="30"/>
      <c r="HE94" s="30"/>
      <c r="HF94" s="30"/>
      <c r="HG94" s="30"/>
      <c r="HH94" s="30"/>
      <c r="HI94" s="30"/>
      <c r="HJ94" s="30"/>
      <c r="HK94" s="30"/>
      <c r="HL94" s="30"/>
      <c r="HM94" s="30"/>
      <c r="HN94" s="30"/>
      <c r="HO94" s="30"/>
      <c r="HP94" s="30"/>
      <c r="HQ94" s="30"/>
      <c r="HR94" s="30"/>
      <c r="HS94" s="30"/>
      <c r="HT94" s="30"/>
      <c r="HU94" s="30"/>
      <c r="HV94" s="30"/>
      <c r="HW94" s="30"/>
      <c r="HX94" s="30"/>
      <c r="HY94" s="30"/>
      <c r="HZ94" s="30"/>
      <c r="IA94" s="30"/>
      <c r="IB94" s="30"/>
      <c r="IC94" s="30"/>
      <c r="ID94" s="30"/>
      <c r="IE94" s="30"/>
      <c r="IF94" s="30"/>
      <c r="IG94" s="30"/>
      <c r="IH94" s="30"/>
      <c r="II94" s="30"/>
      <c r="IJ94" s="30"/>
      <c r="IK94" s="30"/>
      <c r="IL94" s="30"/>
      <c r="IM94" s="30"/>
      <c r="IN94" s="30"/>
      <c r="IO94" s="30"/>
      <c r="IP94" s="30"/>
      <c r="IQ94" s="30"/>
      <c r="IR94" s="30"/>
      <c r="IS94" s="30"/>
      <c r="IT94" s="30"/>
      <c r="IU94" s="30"/>
      <c r="IV94" s="30"/>
      <c r="IW94" s="30"/>
      <c r="IX94" s="30"/>
      <c r="IY94" s="30"/>
      <c r="IZ94" s="30"/>
      <c r="JA94" s="30"/>
      <c r="JB94" s="30"/>
      <c r="JC94" s="30"/>
      <c r="JD94" s="30"/>
      <c r="JE94" s="30"/>
      <c r="JF94" s="30"/>
      <c r="JG94" s="30"/>
      <c r="JH94" s="30"/>
      <c r="JI94" s="30"/>
      <c r="JJ94" s="30"/>
      <c r="JK94" s="30"/>
      <c r="JL94" s="30"/>
      <c r="JM94" s="30"/>
      <c r="JN94" s="30"/>
      <c r="JO94" s="30"/>
      <c r="JP94" s="30"/>
      <c r="JQ94" s="30"/>
      <c r="JR94" s="30"/>
      <c r="JS94" s="30"/>
      <c r="JT94" s="30"/>
      <c r="JU94" s="30"/>
      <c r="JV94" s="30"/>
      <c r="JW94" s="30"/>
      <c r="JX94" s="30"/>
      <c r="JY94" s="30"/>
      <c r="JZ94" s="30"/>
      <c r="KA94" s="30"/>
      <c r="KB94" s="30"/>
      <c r="KC94" s="30"/>
      <c r="KD94" s="30"/>
      <c r="KE94" s="30"/>
      <c r="KF94" s="30"/>
      <c r="KG94" s="30"/>
      <c r="KH94" s="30"/>
      <c r="KI94" s="30"/>
      <c r="KJ94" s="30"/>
      <c r="KK94" s="30"/>
      <c r="KL94" s="30"/>
      <c r="KM94" s="30"/>
      <c r="KN94" s="30"/>
      <c r="KO94" s="30"/>
      <c r="KP94" s="30"/>
      <c r="KQ94" s="30"/>
      <c r="KR94" s="30"/>
      <c r="KS94" s="30"/>
      <c r="KT94" s="30"/>
      <c r="KU94" s="30"/>
      <c r="KV94" s="30"/>
      <c r="KW94" s="30"/>
      <c r="KX94" s="30"/>
      <c r="KY94" s="30"/>
      <c r="KZ94" s="30"/>
      <c r="LA94" s="30"/>
      <c r="LB94" s="30"/>
      <c r="LC94" s="30"/>
      <c r="LD94" s="30"/>
      <c r="LE94" s="30"/>
      <c r="LF94" s="30"/>
      <c r="LG94" s="30"/>
      <c r="LH94" s="30"/>
      <c r="LI94" s="30"/>
      <c r="LJ94" s="30"/>
      <c r="LK94" s="30"/>
      <c r="LL94" s="30"/>
      <c r="LM94" s="30"/>
      <c r="LN94" s="30"/>
      <c r="LO94" s="30"/>
      <c r="LP94" s="30"/>
      <c r="LQ94" s="30"/>
      <c r="LR94" s="30"/>
      <c r="LS94" s="30"/>
      <c r="LT94" s="30"/>
      <c r="LU94" s="30"/>
      <c r="LV94" s="30"/>
      <c r="LW94" s="30"/>
      <c r="LX94" s="30"/>
      <c r="LY94" s="30"/>
      <c r="LZ94" s="30"/>
      <c r="MA94" s="30"/>
      <c r="MB94" s="30"/>
      <c r="MC94" s="30"/>
      <c r="MD94" s="30"/>
      <c r="ME94" s="30"/>
      <c r="MF94" s="30"/>
      <c r="MG94" s="30"/>
      <c r="MH94" s="30"/>
      <c r="MI94" s="30"/>
      <c r="MJ94" s="30"/>
      <c r="MK94" s="30"/>
      <c r="ML94" s="30"/>
      <c r="MM94" s="30"/>
      <c r="MN94" s="30"/>
      <c r="MO94" s="30"/>
      <c r="MP94" s="30"/>
      <c r="MQ94" s="30"/>
      <c r="MR94" s="30"/>
      <c r="MS94" s="30"/>
      <c r="MT94" s="30"/>
      <c r="MU94" s="30"/>
      <c r="MV94" s="30"/>
      <c r="MW94" s="30"/>
      <c r="MX94" s="30"/>
      <c r="MY94" s="30"/>
      <c r="MZ94" s="30"/>
      <c r="NA94" s="30"/>
      <c r="NB94" s="30"/>
      <c r="NC94" s="30"/>
      <c r="ND94" s="30"/>
      <c r="NE94" s="30"/>
      <c r="NF94" s="30"/>
      <c r="NG94" s="30"/>
      <c r="NH94" s="30"/>
      <c r="NI94" s="30"/>
      <c r="NJ94" s="30"/>
      <c r="NK94" s="30"/>
      <c r="NL94" s="30"/>
      <c r="NM94" s="30"/>
      <c r="NN94" s="30"/>
      <c r="NO94" s="30"/>
      <c r="NP94" s="30"/>
      <c r="NQ94" s="30"/>
      <c r="NR94" s="30"/>
    </row>
    <row r="95" spans="1:382" s="3" customFormat="1" ht="20.100000000000001" customHeight="1" x14ac:dyDescent="0.4">
      <c r="A95" s="29">
        <v>1</v>
      </c>
      <c r="B95" s="5">
        <v>1923</v>
      </c>
      <c r="C95" s="5" t="s">
        <v>151</v>
      </c>
      <c r="D95" s="5" t="s">
        <v>152</v>
      </c>
      <c r="E95" s="5" t="s">
        <v>4</v>
      </c>
      <c r="F95" s="5" t="s">
        <v>32</v>
      </c>
      <c r="G95" s="5" t="s">
        <v>32</v>
      </c>
      <c r="H95" s="5" t="s">
        <v>32</v>
      </c>
      <c r="I95" s="8">
        <v>45988.625</v>
      </c>
      <c r="J95" s="8"/>
      <c r="K95" s="8" t="str">
        <f>IF(OR(J95="",E95=""),"",J95+IFERROR(VLOOKUP(E95,リードタイム!$A$2:$C$9,3,FALSE),0))</f>
        <v/>
      </c>
      <c r="L95" s="5" t="s">
        <v>531</v>
      </c>
      <c r="M95" s="8"/>
      <c r="N95" s="8" t="str">
        <f>IF(OR(M95="",E95=""),"",M95+IFERROR(VLOOKUP(E95,リードタイム!$A$2:$D$9,4,FALSE),0))</f>
        <v/>
      </c>
      <c r="O95" s="5" t="s">
        <v>531</v>
      </c>
      <c r="P95" s="5" t="s">
        <v>532</v>
      </c>
      <c r="Q95" s="5" t="s">
        <v>153</v>
      </c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0"/>
      <c r="GU95" s="30"/>
      <c r="GV95" s="30"/>
      <c r="GW95" s="30"/>
      <c r="GX95" s="30"/>
      <c r="GY95" s="30"/>
      <c r="GZ95" s="30"/>
      <c r="HA95" s="30"/>
      <c r="HB95" s="30"/>
      <c r="HC95" s="30"/>
      <c r="HD95" s="30"/>
      <c r="HE95" s="30"/>
      <c r="HF95" s="30"/>
      <c r="HG95" s="30"/>
      <c r="HH95" s="30"/>
      <c r="HI95" s="30"/>
      <c r="HJ95" s="30"/>
      <c r="HK95" s="30"/>
      <c r="HL95" s="30"/>
      <c r="HM95" s="30"/>
      <c r="HN95" s="30"/>
      <c r="HO95" s="30"/>
      <c r="HP95" s="30"/>
      <c r="HQ95" s="30"/>
      <c r="HR95" s="30"/>
      <c r="HS95" s="30"/>
      <c r="HT95" s="30"/>
      <c r="HU95" s="30"/>
      <c r="HV95" s="30"/>
      <c r="HW95" s="30"/>
      <c r="HX95" s="30"/>
      <c r="HY95" s="30"/>
      <c r="HZ95" s="30"/>
      <c r="IA95" s="30"/>
      <c r="IB95" s="30"/>
      <c r="IC95" s="30"/>
      <c r="ID95" s="30"/>
      <c r="IE95" s="30"/>
      <c r="IF95" s="30"/>
      <c r="IG95" s="30"/>
      <c r="IH95" s="30"/>
      <c r="II95" s="30"/>
      <c r="IJ95" s="30"/>
      <c r="IK95" s="30"/>
      <c r="IL95" s="30"/>
      <c r="IM95" s="30"/>
      <c r="IN95" s="30"/>
      <c r="IO95" s="30"/>
      <c r="IP95" s="30"/>
      <c r="IQ95" s="30"/>
      <c r="IR95" s="30"/>
      <c r="IS95" s="30"/>
      <c r="IT95" s="30"/>
      <c r="IU95" s="30"/>
      <c r="IV95" s="30"/>
      <c r="IW95" s="30"/>
      <c r="IX95" s="30"/>
      <c r="IY95" s="30"/>
      <c r="IZ95" s="30"/>
      <c r="JA95" s="30"/>
      <c r="JB95" s="30"/>
      <c r="JC95" s="30"/>
      <c r="JD95" s="30"/>
      <c r="JE95" s="30"/>
      <c r="JF95" s="30"/>
      <c r="JG95" s="30"/>
      <c r="JH95" s="30"/>
      <c r="JI95" s="30"/>
      <c r="JJ95" s="30"/>
      <c r="JK95" s="30"/>
      <c r="JL95" s="30"/>
      <c r="JM95" s="30"/>
      <c r="JN95" s="30"/>
      <c r="JO95" s="30"/>
      <c r="JP95" s="30"/>
      <c r="JQ95" s="30"/>
      <c r="JR95" s="30"/>
      <c r="JS95" s="30"/>
      <c r="JT95" s="30"/>
      <c r="JU95" s="30"/>
      <c r="JV95" s="30"/>
      <c r="JW95" s="30"/>
      <c r="JX95" s="30"/>
      <c r="JY95" s="30"/>
      <c r="JZ95" s="30"/>
      <c r="KA95" s="30"/>
      <c r="KB95" s="30"/>
      <c r="KC95" s="30"/>
      <c r="KD95" s="30"/>
      <c r="KE95" s="30"/>
      <c r="KF95" s="30"/>
      <c r="KG95" s="30"/>
      <c r="KH95" s="30"/>
      <c r="KI95" s="30"/>
      <c r="KJ95" s="30"/>
      <c r="KK95" s="30"/>
      <c r="KL95" s="30"/>
      <c r="KM95" s="30"/>
      <c r="KN95" s="30"/>
      <c r="KO95" s="30"/>
      <c r="KP95" s="30"/>
      <c r="KQ95" s="30"/>
      <c r="KR95" s="30"/>
      <c r="KS95" s="30"/>
      <c r="KT95" s="30"/>
      <c r="KU95" s="30"/>
      <c r="KV95" s="30"/>
      <c r="KW95" s="30"/>
      <c r="KX95" s="30"/>
      <c r="KY95" s="30"/>
      <c r="KZ95" s="30"/>
      <c r="LA95" s="30"/>
      <c r="LB95" s="30"/>
      <c r="LC95" s="30"/>
      <c r="LD95" s="30"/>
      <c r="LE95" s="30"/>
      <c r="LF95" s="30"/>
      <c r="LG95" s="30"/>
      <c r="LH95" s="30"/>
      <c r="LI95" s="30"/>
      <c r="LJ95" s="30"/>
      <c r="LK95" s="30"/>
      <c r="LL95" s="30"/>
      <c r="LM95" s="30"/>
      <c r="LN95" s="30"/>
      <c r="LO95" s="30"/>
      <c r="LP95" s="30"/>
      <c r="LQ95" s="30"/>
      <c r="LR95" s="30"/>
      <c r="LS95" s="30"/>
      <c r="LT95" s="30"/>
      <c r="LU95" s="30"/>
      <c r="LV95" s="30"/>
      <c r="LW95" s="30"/>
      <c r="LX95" s="30"/>
      <c r="LY95" s="30"/>
      <c r="LZ95" s="30"/>
      <c r="MA95" s="30"/>
      <c r="MB95" s="30"/>
      <c r="MC95" s="30"/>
      <c r="MD95" s="30"/>
      <c r="ME95" s="30"/>
      <c r="MF95" s="30"/>
      <c r="MG95" s="30"/>
      <c r="MH95" s="30"/>
      <c r="MI95" s="30"/>
      <c r="MJ95" s="30"/>
      <c r="MK95" s="30"/>
      <c r="ML95" s="30"/>
      <c r="MM95" s="30"/>
      <c r="MN95" s="30"/>
      <c r="MO95" s="30"/>
      <c r="MP95" s="30"/>
      <c r="MQ95" s="30"/>
      <c r="MR95" s="30"/>
      <c r="MS95" s="30"/>
      <c r="MT95" s="30"/>
      <c r="MU95" s="30"/>
      <c r="MV95" s="30"/>
      <c r="MW95" s="30"/>
      <c r="MX95" s="30"/>
      <c r="MY95" s="30"/>
      <c r="MZ95" s="30"/>
      <c r="NA95" s="30"/>
      <c r="NB95" s="30"/>
      <c r="NC95" s="30"/>
      <c r="ND95" s="30"/>
      <c r="NE95" s="30"/>
      <c r="NF95" s="30"/>
      <c r="NG95" s="30"/>
      <c r="NH95" s="30"/>
      <c r="NI95" s="30"/>
      <c r="NJ95" s="30"/>
      <c r="NK95" s="30"/>
      <c r="NL95" s="30"/>
      <c r="NM95" s="30"/>
      <c r="NN95" s="30"/>
      <c r="NO95" s="30"/>
      <c r="NP95" s="30"/>
      <c r="NQ95" s="30"/>
      <c r="NR95" s="30"/>
    </row>
    <row r="96" spans="1:382" s="3" customFormat="1" ht="20.100000000000001" customHeight="1" x14ac:dyDescent="0.4">
      <c r="A96" s="29">
        <v>2</v>
      </c>
      <c r="B96" s="5">
        <v>1923</v>
      </c>
      <c r="C96" s="5" t="s">
        <v>151</v>
      </c>
      <c r="D96" s="5" t="s">
        <v>154</v>
      </c>
      <c r="E96" s="5" t="s">
        <v>4</v>
      </c>
      <c r="F96" s="5" t="s">
        <v>32</v>
      </c>
      <c r="G96" s="5" t="s">
        <v>32</v>
      </c>
      <c r="H96" s="5" t="s">
        <v>32</v>
      </c>
      <c r="I96" s="8"/>
      <c r="J96" s="8"/>
      <c r="K96" s="8" t="str">
        <f>IF(OR(J96="",E96=""),"",J96+IFERROR(VLOOKUP(E96,リードタイム!$A$2:$C$9,3,FALSE),0))</f>
        <v/>
      </c>
      <c r="L96" s="5" t="s">
        <v>531</v>
      </c>
      <c r="M96" s="8"/>
      <c r="N96" s="8" t="str">
        <f>IF(OR(M96="",E96=""),"",M96+IFERROR(VLOOKUP(E96,リードタイム!$A$2:$D$9,4,FALSE),0))</f>
        <v/>
      </c>
      <c r="O96" s="5" t="s">
        <v>531</v>
      </c>
      <c r="P96" s="5" t="s">
        <v>533</v>
      </c>
      <c r="Q96" s="5" t="s">
        <v>32</v>
      </c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0"/>
      <c r="IC96" s="30"/>
      <c r="ID96" s="30"/>
      <c r="IE96" s="30"/>
      <c r="IF96" s="30"/>
      <c r="IG96" s="30"/>
      <c r="IH96" s="30"/>
      <c r="II96" s="30"/>
      <c r="IJ96" s="30"/>
      <c r="IK96" s="30"/>
      <c r="IL96" s="30"/>
      <c r="IM96" s="30"/>
      <c r="IN96" s="30"/>
      <c r="IO96" s="30"/>
      <c r="IP96" s="30"/>
      <c r="IQ96" s="30"/>
      <c r="IR96" s="30"/>
      <c r="IS96" s="30"/>
      <c r="IT96" s="30"/>
      <c r="IU96" s="30"/>
      <c r="IV96" s="30"/>
      <c r="IW96" s="30"/>
      <c r="IX96" s="30"/>
      <c r="IY96" s="30"/>
      <c r="IZ96" s="30"/>
      <c r="JA96" s="30"/>
      <c r="JB96" s="30"/>
      <c r="JC96" s="30"/>
      <c r="JD96" s="30"/>
      <c r="JE96" s="30"/>
      <c r="JF96" s="30"/>
      <c r="JG96" s="30"/>
      <c r="JH96" s="30"/>
      <c r="JI96" s="30"/>
      <c r="JJ96" s="30"/>
      <c r="JK96" s="30"/>
      <c r="JL96" s="30"/>
      <c r="JM96" s="30"/>
      <c r="JN96" s="30"/>
      <c r="JO96" s="30"/>
      <c r="JP96" s="30"/>
      <c r="JQ96" s="30"/>
      <c r="JR96" s="30"/>
      <c r="JS96" s="30"/>
      <c r="JT96" s="30"/>
      <c r="JU96" s="30"/>
      <c r="JV96" s="30"/>
      <c r="JW96" s="30"/>
      <c r="JX96" s="30"/>
      <c r="JY96" s="30"/>
      <c r="JZ96" s="30"/>
      <c r="KA96" s="30"/>
      <c r="KB96" s="30"/>
      <c r="KC96" s="30"/>
      <c r="KD96" s="30"/>
      <c r="KE96" s="30"/>
      <c r="KF96" s="30"/>
      <c r="KG96" s="30"/>
      <c r="KH96" s="30"/>
      <c r="KI96" s="30"/>
      <c r="KJ96" s="30"/>
      <c r="KK96" s="30"/>
      <c r="KL96" s="30"/>
      <c r="KM96" s="30"/>
      <c r="KN96" s="30"/>
      <c r="KO96" s="30"/>
      <c r="KP96" s="30"/>
      <c r="KQ96" s="30"/>
      <c r="KR96" s="30"/>
      <c r="KS96" s="30"/>
      <c r="KT96" s="30"/>
      <c r="KU96" s="30"/>
      <c r="KV96" s="30"/>
      <c r="KW96" s="30"/>
      <c r="KX96" s="30"/>
      <c r="KY96" s="30"/>
      <c r="KZ96" s="30"/>
      <c r="LA96" s="30"/>
      <c r="LB96" s="30"/>
      <c r="LC96" s="30"/>
      <c r="LD96" s="30"/>
      <c r="LE96" s="30"/>
      <c r="LF96" s="30"/>
      <c r="LG96" s="30"/>
      <c r="LH96" s="30"/>
      <c r="LI96" s="30"/>
      <c r="LJ96" s="30"/>
      <c r="LK96" s="30"/>
      <c r="LL96" s="30"/>
      <c r="LM96" s="30"/>
      <c r="LN96" s="30"/>
      <c r="LO96" s="30"/>
      <c r="LP96" s="30"/>
      <c r="LQ96" s="30"/>
      <c r="LR96" s="30"/>
      <c r="LS96" s="30"/>
      <c r="LT96" s="30"/>
      <c r="LU96" s="30"/>
      <c r="LV96" s="30"/>
      <c r="LW96" s="30"/>
      <c r="LX96" s="30"/>
      <c r="LY96" s="30"/>
      <c r="LZ96" s="30"/>
      <c r="MA96" s="30"/>
      <c r="MB96" s="30"/>
      <c r="MC96" s="30"/>
      <c r="MD96" s="30"/>
      <c r="ME96" s="30"/>
      <c r="MF96" s="30"/>
      <c r="MG96" s="30"/>
      <c r="MH96" s="30"/>
      <c r="MI96" s="30"/>
      <c r="MJ96" s="30"/>
      <c r="MK96" s="30"/>
      <c r="ML96" s="30"/>
      <c r="MM96" s="30"/>
      <c r="MN96" s="30"/>
      <c r="MO96" s="30"/>
      <c r="MP96" s="30"/>
      <c r="MQ96" s="30"/>
      <c r="MR96" s="30"/>
      <c r="MS96" s="30"/>
      <c r="MT96" s="30"/>
      <c r="MU96" s="30"/>
      <c r="MV96" s="30"/>
      <c r="MW96" s="30"/>
      <c r="MX96" s="30"/>
      <c r="MY96" s="30"/>
      <c r="MZ96" s="30"/>
      <c r="NA96" s="30"/>
      <c r="NB96" s="30"/>
      <c r="NC96" s="30"/>
      <c r="ND96" s="30"/>
      <c r="NE96" s="30"/>
      <c r="NF96" s="30"/>
      <c r="NG96" s="30"/>
      <c r="NH96" s="30"/>
      <c r="NI96" s="30"/>
      <c r="NJ96" s="30"/>
      <c r="NK96" s="30"/>
      <c r="NL96" s="30"/>
      <c r="NM96" s="30"/>
      <c r="NN96" s="30"/>
      <c r="NO96" s="30"/>
      <c r="NP96" s="30"/>
      <c r="NQ96" s="30"/>
      <c r="NR96" s="30"/>
    </row>
    <row r="97" spans="1:382" s="3" customFormat="1" ht="20.100000000000001" customHeight="1" x14ac:dyDescent="0.4">
      <c r="A97" s="29">
        <v>1</v>
      </c>
      <c r="B97" s="5">
        <v>1956</v>
      </c>
      <c r="C97" s="5" t="s">
        <v>155</v>
      </c>
      <c r="D97" s="5" t="s">
        <v>62</v>
      </c>
      <c r="E97" s="5" t="s">
        <v>8</v>
      </c>
      <c r="F97" s="5" t="s">
        <v>32</v>
      </c>
      <c r="G97" s="5" t="s">
        <v>32</v>
      </c>
      <c r="H97" s="5" t="s">
        <v>32</v>
      </c>
      <c r="I97" s="8">
        <v>46065.625</v>
      </c>
      <c r="J97" s="8"/>
      <c r="K97" s="8" t="str">
        <f>IF(OR(J97="",E97=""),"",J97+IFERROR(VLOOKUP(E97,リードタイム!$A$2:$C$9,3,FALSE),0))</f>
        <v/>
      </c>
      <c r="L97" s="5" t="s">
        <v>531</v>
      </c>
      <c r="M97" s="8"/>
      <c r="N97" s="8" t="str">
        <f>IF(OR(M97="",E97=""),"",M97+IFERROR(VLOOKUP(E97,リードタイム!$A$2:$D$9,4,FALSE),0))</f>
        <v/>
      </c>
      <c r="O97" s="5" t="s">
        <v>531</v>
      </c>
      <c r="P97" s="5" t="s">
        <v>533</v>
      </c>
      <c r="Q97" s="5" t="s">
        <v>32</v>
      </c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  <c r="FS97" s="30"/>
      <c r="FT97" s="30"/>
      <c r="FU97" s="30"/>
      <c r="FV97" s="30"/>
      <c r="FW97" s="30"/>
      <c r="FX97" s="30"/>
      <c r="FY97" s="30"/>
      <c r="FZ97" s="30"/>
      <c r="GA97" s="30"/>
      <c r="GB97" s="30"/>
      <c r="GC97" s="30"/>
      <c r="GD97" s="30"/>
      <c r="GE97" s="30"/>
      <c r="GF97" s="30"/>
      <c r="GG97" s="30"/>
      <c r="GH97" s="30"/>
      <c r="GI97" s="30"/>
      <c r="GJ97" s="30"/>
      <c r="GK97" s="30"/>
      <c r="GL97" s="30"/>
      <c r="GM97" s="30"/>
      <c r="GN97" s="30"/>
      <c r="GO97" s="30"/>
      <c r="GP97" s="30"/>
      <c r="GQ97" s="30"/>
      <c r="GR97" s="30"/>
      <c r="GS97" s="30"/>
      <c r="GT97" s="30"/>
      <c r="GU97" s="30"/>
      <c r="GV97" s="30"/>
      <c r="GW97" s="30"/>
      <c r="GX97" s="30"/>
      <c r="GY97" s="30"/>
      <c r="GZ97" s="30"/>
      <c r="HA97" s="30"/>
      <c r="HB97" s="30"/>
      <c r="HC97" s="30"/>
      <c r="HD97" s="30"/>
      <c r="HE97" s="30"/>
      <c r="HF97" s="30"/>
      <c r="HG97" s="30"/>
      <c r="HH97" s="30"/>
      <c r="HI97" s="30"/>
      <c r="HJ97" s="30"/>
      <c r="HK97" s="30"/>
      <c r="HL97" s="30"/>
      <c r="HM97" s="30"/>
      <c r="HN97" s="30"/>
      <c r="HO97" s="30"/>
      <c r="HP97" s="30"/>
      <c r="HQ97" s="30"/>
      <c r="HR97" s="30"/>
      <c r="HS97" s="30"/>
      <c r="HT97" s="30"/>
      <c r="HU97" s="30"/>
      <c r="HV97" s="30"/>
      <c r="HW97" s="30"/>
      <c r="HX97" s="30"/>
      <c r="HY97" s="30"/>
      <c r="HZ97" s="30"/>
      <c r="IA97" s="30"/>
      <c r="IB97" s="30"/>
      <c r="IC97" s="30"/>
      <c r="ID97" s="30"/>
      <c r="IE97" s="30"/>
      <c r="IF97" s="30"/>
      <c r="IG97" s="30"/>
      <c r="IH97" s="30"/>
      <c r="II97" s="30"/>
      <c r="IJ97" s="30"/>
      <c r="IK97" s="30"/>
      <c r="IL97" s="30"/>
      <c r="IM97" s="30"/>
      <c r="IN97" s="30"/>
      <c r="IO97" s="30"/>
      <c r="IP97" s="30"/>
      <c r="IQ97" s="30"/>
      <c r="IR97" s="30"/>
      <c r="IS97" s="30"/>
      <c r="IT97" s="30"/>
      <c r="IU97" s="30"/>
      <c r="IV97" s="30"/>
      <c r="IW97" s="30"/>
      <c r="IX97" s="30"/>
      <c r="IY97" s="30"/>
      <c r="IZ97" s="30"/>
      <c r="JA97" s="30"/>
      <c r="JB97" s="30"/>
      <c r="JC97" s="30"/>
      <c r="JD97" s="30"/>
      <c r="JE97" s="30"/>
      <c r="JF97" s="30"/>
      <c r="JG97" s="30"/>
      <c r="JH97" s="30"/>
      <c r="JI97" s="30"/>
      <c r="JJ97" s="30"/>
      <c r="JK97" s="30"/>
      <c r="JL97" s="30"/>
      <c r="JM97" s="30"/>
      <c r="JN97" s="30"/>
      <c r="JO97" s="30"/>
      <c r="JP97" s="30"/>
      <c r="JQ97" s="30"/>
      <c r="JR97" s="30"/>
      <c r="JS97" s="30"/>
      <c r="JT97" s="30"/>
      <c r="JU97" s="30"/>
      <c r="JV97" s="30"/>
      <c r="JW97" s="30"/>
      <c r="JX97" s="30"/>
      <c r="JY97" s="30"/>
      <c r="JZ97" s="30"/>
      <c r="KA97" s="30"/>
      <c r="KB97" s="30"/>
      <c r="KC97" s="30"/>
      <c r="KD97" s="30"/>
      <c r="KE97" s="30"/>
      <c r="KF97" s="30"/>
      <c r="KG97" s="30"/>
      <c r="KH97" s="30"/>
      <c r="KI97" s="30"/>
      <c r="KJ97" s="30"/>
      <c r="KK97" s="30"/>
      <c r="KL97" s="30"/>
      <c r="KM97" s="30"/>
      <c r="KN97" s="30"/>
      <c r="KO97" s="30"/>
      <c r="KP97" s="30"/>
      <c r="KQ97" s="30"/>
      <c r="KR97" s="30"/>
      <c r="KS97" s="30"/>
      <c r="KT97" s="30"/>
      <c r="KU97" s="30"/>
      <c r="KV97" s="30"/>
      <c r="KW97" s="30"/>
      <c r="KX97" s="30"/>
      <c r="KY97" s="30"/>
      <c r="KZ97" s="30"/>
      <c r="LA97" s="30"/>
      <c r="LB97" s="30"/>
      <c r="LC97" s="30"/>
      <c r="LD97" s="30"/>
      <c r="LE97" s="30"/>
      <c r="LF97" s="30"/>
      <c r="LG97" s="30"/>
      <c r="LH97" s="30"/>
      <c r="LI97" s="30"/>
      <c r="LJ97" s="30"/>
      <c r="LK97" s="30"/>
      <c r="LL97" s="30"/>
      <c r="LM97" s="30"/>
      <c r="LN97" s="30"/>
      <c r="LO97" s="30"/>
      <c r="LP97" s="30"/>
      <c r="LQ97" s="30"/>
      <c r="LR97" s="30"/>
      <c r="LS97" s="30"/>
      <c r="LT97" s="30"/>
      <c r="LU97" s="30"/>
      <c r="LV97" s="30"/>
      <c r="LW97" s="30"/>
      <c r="LX97" s="30"/>
      <c r="LY97" s="30"/>
      <c r="LZ97" s="30"/>
      <c r="MA97" s="30"/>
      <c r="MB97" s="30"/>
      <c r="MC97" s="30"/>
      <c r="MD97" s="30"/>
      <c r="ME97" s="30"/>
      <c r="MF97" s="30"/>
      <c r="MG97" s="30"/>
      <c r="MH97" s="30"/>
      <c r="MI97" s="30"/>
      <c r="MJ97" s="30"/>
      <c r="MK97" s="30"/>
      <c r="ML97" s="30"/>
      <c r="MM97" s="30"/>
      <c r="MN97" s="30"/>
      <c r="MO97" s="30"/>
      <c r="MP97" s="30"/>
      <c r="MQ97" s="30"/>
      <c r="MR97" s="30"/>
      <c r="MS97" s="30"/>
      <c r="MT97" s="30"/>
      <c r="MU97" s="30"/>
      <c r="MV97" s="30"/>
      <c r="MW97" s="30"/>
      <c r="MX97" s="30"/>
      <c r="MY97" s="30"/>
      <c r="MZ97" s="30"/>
      <c r="NA97" s="30"/>
      <c r="NB97" s="30"/>
      <c r="NC97" s="30"/>
      <c r="ND97" s="30"/>
      <c r="NE97" s="30"/>
      <c r="NF97" s="30"/>
      <c r="NG97" s="30"/>
      <c r="NH97" s="30"/>
      <c r="NI97" s="30"/>
      <c r="NJ97" s="30"/>
      <c r="NK97" s="30"/>
      <c r="NL97" s="30"/>
      <c r="NM97" s="30"/>
      <c r="NN97" s="30"/>
      <c r="NO97" s="30"/>
      <c r="NP97" s="30"/>
      <c r="NQ97" s="30"/>
      <c r="NR97" s="30"/>
    </row>
    <row r="98" spans="1:382" s="3" customFormat="1" ht="20.100000000000001" customHeight="1" x14ac:dyDescent="0.4">
      <c r="A98" s="29">
        <v>2</v>
      </c>
      <c r="B98" s="5">
        <v>1957</v>
      </c>
      <c r="C98" s="5" t="s">
        <v>155</v>
      </c>
      <c r="D98" s="5" t="s">
        <v>61</v>
      </c>
      <c r="E98" s="5" t="s">
        <v>12</v>
      </c>
      <c r="F98" s="5" t="s">
        <v>32</v>
      </c>
      <c r="G98" s="5" t="s">
        <v>32</v>
      </c>
      <c r="H98" s="5" t="s">
        <v>32</v>
      </c>
      <c r="I98" s="8">
        <v>46065.625</v>
      </c>
      <c r="J98" s="8"/>
      <c r="K98" s="8" t="str">
        <f>IF(OR(J98="",E98=""),"",J98+IFERROR(VLOOKUP(E98,リードタイム!$A$2:$C$9,3,FALSE),0))</f>
        <v/>
      </c>
      <c r="L98" s="5" t="s">
        <v>531</v>
      </c>
      <c r="M98" s="8"/>
      <c r="N98" s="8" t="str">
        <f>IF(OR(M98="",E98=""),"",M98+IFERROR(VLOOKUP(E98,リードタイム!$A$2:$D$9,4,FALSE),0))</f>
        <v/>
      </c>
      <c r="O98" s="5" t="s">
        <v>531</v>
      </c>
      <c r="P98" s="5" t="s">
        <v>532</v>
      </c>
      <c r="Q98" s="5" t="s">
        <v>32</v>
      </c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0"/>
      <c r="GS98" s="30"/>
      <c r="GT98" s="30"/>
      <c r="GU98" s="30"/>
      <c r="GV98" s="30"/>
      <c r="GW98" s="30"/>
      <c r="GX98" s="30"/>
      <c r="GY98" s="30"/>
      <c r="GZ98" s="30"/>
      <c r="HA98" s="30"/>
      <c r="HB98" s="30"/>
      <c r="HC98" s="30"/>
      <c r="HD98" s="30"/>
      <c r="HE98" s="30"/>
      <c r="HF98" s="30"/>
      <c r="HG98" s="30"/>
      <c r="HH98" s="30"/>
      <c r="HI98" s="30"/>
      <c r="HJ98" s="30"/>
      <c r="HK98" s="30"/>
      <c r="HL98" s="30"/>
      <c r="HM98" s="30"/>
      <c r="HN98" s="30"/>
      <c r="HO98" s="30"/>
      <c r="HP98" s="30"/>
      <c r="HQ98" s="30"/>
      <c r="HR98" s="30"/>
      <c r="HS98" s="30"/>
      <c r="HT98" s="30"/>
      <c r="HU98" s="30"/>
      <c r="HV98" s="30"/>
      <c r="HW98" s="30"/>
      <c r="HX98" s="30"/>
      <c r="HY98" s="30"/>
      <c r="HZ98" s="30"/>
      <c r="IA98" s="30"/>
      <c r="IB98" s="30"/>
      <c r="IC98" s="30"/>
      <c r="ID98" s="30"/>
      <c r="IE98" s="30"/>
      <c r="IF98" s="30"/>
      <c r="IG98" s="30"/>
      <c r="IH98" s="30"/>
      <c r="II98" s="30"/>
      <c r="IJ98" s="30"/>
      <c r="IK98" s="30"/>
      <c r="IL98" s="30"/>
      <c r="IM98" s="30"/>
      <c r="IN98" s="30"/>
      <c r="IO98" s="30"/>
      <c r="IP98" s="30"/>
      <c r="IQ98" s="30"/>
      <c r="IR98" s="30"/>
      <c r="IS98" s="30"/>
      <c r="IT98" s="30"/>
      <c r="IU98" s="30"/>
      <c r="IV98" s="30"/>
      <c r="IW98" s="30"/>
      <c r="IX98" s="30"/>
      <c r="IY98" s="30"/>
      <c r="IZ98" s="30"/>
      <c r="JA98" s="30"/>
      <c r="JB98" s="30"/>
      <c r="JC98" s="30"/>
      <c r="JD98" s="30"/>
      <c r="JE98" s="30"/>
      <c r="JF98" s="30"/>
      <c r="JG98" s="30"/>
      <c r="JH98" s="30"/>
      <c r="JI98" s="30"/>
      <c r="JJ98" s="30"/>
      <c r="JK98" s="30"/>
      <c r="JL98" s="30"/>
      <c r="JM98" s="30"/>
      <c r="JN98" s="30"/>
      <c r="JO98" s="30"/>
      <c r="JP98" s="30"/>
      <c r="JQ98" s="30"/>
      <c r="JR98" s="30"/>
      <c r="JS98" s="30"/>
      <c r="JT98" s="30"/>
      <c r="JU98" s="30"/>
      <c r="JV98" s="30"/>
      <c r="JW98" s="30"/>
      <c r="JX98" s="30"/>
      <c r="JY98" s="30"/>
      <c r="JZ98" s="30"/>
      <c r="KA98" s="30"/>
      <c r="KB98" s="30"/>
      <c r="KC98" s="30"/>
      <c r="KD98" s="30"/>
      <c r="KE98" s="30"/>
      <c r="KF98" s="30"/>
      <c r="KG98" s="30"/>
      <c r="KH98" s="30"/>
      <c r="KI98" s="30"/>
      <c r="KJ98" s="30"/>
      <c r="KK98" s="30"/>
      <c r="KL98" s="30"/>
      <c r="KM98" s="30"/>
      <c r="KN98" s="30"/>
      <c r="KO98" s="30"/>
      <c r="KP98" s="30"/>
      <c r="KQ98" s="30"/>
      <c r="KR98" s="30"/>
      <c r="KS98" s="30"/>
      <c r="KT98" s="30"/>
      <c r="KU98" s="30"/>
      <c r="KV98" s="30"/>
      <c r="KW98" s="30"/>
      <c r="KX98" s="30"/>
      <c r="KY98" s="30"/>
      <c r="KZ98" s="30"/>
      <c r="LA98" s="30"/>
      <c r="LB98" s="30"/>
      <c r="LC98" s="30"/>
      <c r="LD98" s="30"/>
      <c r="LE98" s="30"/>
      <c r="LF98" s="30"/>
      <c r="LG98" s="30"/>
      <c r="LH98" s="30"/>
      <c r="LI98" s="30"/>
      <c r="LJ98" s="30"/>
      <c r="LK98" s="30"/>
      <c r="LL98" s="30"/>
      <c r="LM98" s="30"/>
      <c r="LN98" s="30"/>
      <c r="LO98" s="30"/>
      <c r="LP98" s="30"/>
      <c r="LQ98" s="30"/>
      <c r="LR98" s="30"/>
      <c r="LS98" s="30"/>
      <c r="LT98" s="30"/>
      <c r="LU98" s="30"/>
      <c r="LV98" s="30"/>
      <c r="LW98" s="30"/>
      <c r="LX98" s="30"/>
      <c r="LY98" s="30"/>
      <c r="LZ98" s="30"/>
      <c r="MA98" s="30"/>
      <c r="MB98" s="30"/>
      <c r="MC98" s="30"/>
      <c r="MD98" s="30"/>
      <c r="ME98" s="30"/>
      <c r="MF98" s="30"/>
      <c r="MG98" s="30"/>
      <c r="MH98" s="30"/>
      <c r="MI98" s="30"/>
      <c r="MJ98" s="30"/>
      <c r="MK98" s="30"/>
      <c r="ML98" s="30"/>
      <c r="MM98" s="30"/>
      <c r="MN98" s="30"/>
      <c r="MO98" s="30"/>
      <c r="MP98" s="30"/>
      <c r="MQ98" s="30"/>
      <c r="MR98" s="30"/>
      <c r="MS98" s="30"/>
      <c r="MT98" s="30"/>
      <c r="MU98" s="30"/>
      <c r="MV98" s="30"/>
      <c r="MW98" s="30"/>
      <c r="MX98" s="30"/>
      <c r="MY98" s="30"/>
      <c r="MZ98" s="30"/>
      <c r="NA98" s="30"/>
      <c r="NB98" s="30"/>
      <c r="NC98" s="30"/>
      <c r="ND98" s="30"/>
      <c r="NE98" s="30"/>
      <c r="NF98" s="30"/>
      <c r="NG98" s="30"/>
      <c r="NH98" s="30"/>
      <c r="NI98" s="30"/>
      <c r="NJ98" s="30"/>
      <c r="NK98" s="30"/>
      <c r="NL98" s="30"/>
      <c r="NM98" s="30"/>
      <c r="NN98" s="30"/>
      <c r="NO98" s="30"/>
      <c r="NP98" s="30"/>
      <c r="NQ98" s="30"/>
      <c r="NR98" s="30"/>
    </row>
    <row r="99" spans="1:382" s="3" customFormat="1" ht="20.100000000000001" customHeight="1" x14ac:dyDescent="0.4">
      <c r="A99" s="29">
        <v>3</v>
      </c>
      <c r="B99" s="5" t="s">
        <v>32</v>
      </c>
      <c r="C99" s="5" t="s">
        <v>155</v>
      </c>
      <c r="D99" s="5" t="s">
        <v>156</v>
      </c>
      <c r="E99" s="5" t="s">
        <v>14</v>
      </c>
      <c r="F99" s="5" t="s">
        <v>32</v>
      </c>
      <c r="G99" s="5" t="s">
        <v>32</v>
      </c>
      <c r="H99" s="5" t="s">
        <v>32</v>
      </c>
      <c r="I99" s="8"/>
      <c r="J99" s="8"/>
      <c r="K99" s="8" t="str">
        <f>IF(OR(J99="",E99=""),"",J99+IFERROR(VLOOKUP(E99,リードタイム!$A$2:$C$9,3,FALSE),0))</f>
        <v/>
      </c>
      <c r="L99" s="5" t="s">
        <v>530</v>
      </c>
      <c r="M99" s="8"/>
      <c r="N99" s="8" t="str">
        <f>IF(OR(M99="",E99=""),"",M99+IFERROR(VLOOKUP(E99,リードタイム!$A$2:$D$9,4,FALSE),0))</f>
        <v/>
      </c>
      <c r="O99" s="5" t="s">
        <v>530</v>
      </c>
      <c r="P99" s="5" t="s">
        <v>530</v>
      </c>
      <c r="Q99" s="5" t="s">
        <v>32</v>
      </c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  <c r="FS99" s="30"/>
      <c r="FT99" s="30"/>
      <c r="FU99" s="30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30"/>
      <c r="GT99" s="30"/>
      <c r="GU99" s="30"/>
      <c r="GV99" s="30"/>
      <c r="GW99" s="30"/>
      <c r="GX99" s="30"/>
      <c r="GY99" s="30"/>
      <c r="GZ99" s="30"/>
      <c r="HA99" s="30"/>
      <c r="HB99" s="30"/>
      <c r="HC99" s="30"/>
      <c r="HD99" s="30"/>
      <c r="HE99" s="30"/>
      <c r="HF99" s="30"/>
      <c r="HG99" s="30"/>
      <c r="HH99" s="30"/>
      <c r="HI99" s="30"/>
      <c r="HJ99" s="30"/>
      <c r="HK99" s="30"/>
      <c r="HL99" s="30"/>
      <c r="HM99" s="30"/>
      <c r="HN99" s="30"/>
      <c r="HO99" s="30"/>
      <c r="HP99" s="30"/>
      <c r="HQ99" s="30"/>
      <c r="HR99" s="30"/>
      <c r="HS99" s="30"/>
      <c r="HT99" s="30"/>
      <c r="HU99" s="30"/>
      <c r="HV99" s="30"/>
      <c r="HW99" s="30"/>
      <c r="HX99" s="30"/>
      <c r="HY99" s="30"/>
      <c r="HZ99" s="30"/>
      <c r="IA99" s="30"/>
      <c r="IB99" s="30"/>
      <c r="IC99" s="30"/>
      <c r="ID99" s="30"/>
      <c r="IE99" s="30"/>
      <c r="IF99" s="30"/>
      <c r="IG99" s="30"/>
      <c r="IH99" s="30"/>
      <c r="II99" s="30"/>
      <c r="IJ99" s="30"/>
      <c r="IK99" s="30"/>
      <c r="IL99" s="30"/>
      <c r="IM99" s="30"/>
      <c r="IN99" s="30"/>
      <c r="IO99" s="30"/>
      <c r="IP99" s="30"/>
      <c r="IQ99" s="30"/>
      <c r="IR99" s="30"/>
      <c r="IS99" s="30"/>
      <c r="IT99" s="30"/>
      <c r="IU99" s="30"/>
      <c r="IV99" s="30"/>
      <c r="IW99" s="30"/>
      <c r="IX99" s="30"/>
      <c r="IY99" s="30"/>
      <c r="IZ99" s="30"/>
      <c r="JA99" s="30"/>
      <c r="JB99" s="30"/>
      <c r="JC99" s="30"/>
      <c r="JD99" s="30"/>
      <c r="JE99" s="30"/>
      <c r="JF99" s="30"/>
      <c r="JG99" s="30"/>
      <c r="JH99" s="30"/>
      <c r="JI99" s="30"/>
      <c r="JJ99" s="30"/>
      <c r="JK99" s="30"/>
      <c r="JL99" s="30"/>
      <c r="JM99" s="30"/>
      <c r="JN99" s="30"/>
      <c r="JO99" s="30"/>
      <c r="JP99" s="30"/>
      <c r="JQ99" s="30"/>
      <c r="JR99" s="30"/>
      <c r="JS99" s="30"/>
      <c r="JT99" s="30"/>
      <c r="JU99" s="30"/>
      <c r="JV99" s="30"/>
      <c r="JW99" s="30"/>
      <c r="JX99" s="30"/>
      <c r="JY99" s="30"/>
      <c r="JZ99" s="30"/>
      <c r="KA99" s="30"/>
      <c r="KB99" s="30"/>
      <c r="KC99" s="30"/>
      <c r="KD99" s="30"/>
      <c r="KE99" s="30"/>
      <c r="KF99" s="30"/>
      <c r="KG99" s="30"/>
      <c r="KH99" s="30"/>
      <c r="KI99" s="30"/>
      <c r="KJ99" s="30"/>
      <c r="KK99" s="30"/>
      <c r="KL99" s="30"/>
      <c r="KM99" s="30"/>
      <c r="KN99" s="30"/>
      <c r="KO99" s="30"/>
      <c r="KP99" s="30"/>
      <c r="KQ99" s="30"/>
      <c r="KR99" s="30"/>
      <c r="KS99" s="30"/>
      <c r="KT99" s="30"/>
      <c r="KU99" s="30"/>
      <c r="KV99" s="30"/>
      <c r="KW99" s="30"/>
      <c r="KX99" s="30"/>
      <c r="KY99" s="30"/>
      <c r="KZ99" s="30"/>
      <c r="LA99" s="30"/>
      <c r="LB99" s="30"/>
      <c r="LC99" s="30"/>
      <c r="LD99" s="30"/>
      <c r="LE99" s="30"/>
      <c r="LF99" s="30"/>
      <c r="LG99" s="30"/>
      <c r="LH99" s="30"/>
      <c r="LI99" s="30"/>
      <c r="LJ99" s="30"/>
      <c r="LK99" s="30"/>
      <c r="LL99" s="30"/>
      <c r="LM99" s="30"/>
      <c r="LN99" s="30"/>
      <c r="LO99" s="30"/>
      <c r="LP99" s="30"/>
      <c r="LQ99" s="30"/>
      <c r="LR99" s="30"/>
      <c r="LS99" s="30"/>
      <c r="LT99" s="30"/>
      <c r="LU99" s="30"/>
      <c r="LV99" s="30"/>
      <c r="LW99" s="30"/>
      <c r="LX99" s="30"/>
      <c r="LY99" s="30"/>
      <c r="LZ99" s="30"/>
      <c r="MA99" s="30"/>
      <c r="MB99" s="30"/>
      <c r="MC99" s="30"/>
      <c r="MD99" s="30"/>
      <c r="ME99" s="30"/>
      <c r="MF99" s="30"/>
      <c r="MG99" s="30"/>
      <c r="MH99" s="30"/>
      <c r="MI99" s="30"/>
      <c r="MJ99" s="30"/>
      <c r="MK99" s="30"/>
      <c r="ML99" s="30"/>
      <c r="MM99" s="30"/>
      <c r="MN99" s="30"/>
      <c r="MO99" s="30"/>
      <c r="MP99" s="30"/>
      <c r="MQ99" s="30"/>
      <c r="MR99" s="30"/>
      <c r="MS99" s="30"/>
      <c r="MT99" s="30"/>
      <c r="MU99" s="30"/>
      <c r="MV99" s="30"/>
      <c r="MW99" s="30"/>
      <c r="MX99" s="30"/>
      <c r="MY99" s="30"/>
      <c r="MZ99" s="30"/>
      <c r="NA99" s="30"/>
      <c r="NB99" s="30"/>
      <c r="NC99" s="30"/>
      <c r="ND99" s="30"/>
      <c r="NE99" s="30"/>
      <c r="NF99" s="30"/>
      <c r="NG99" s="30"/>
      <c r="NH99" s="30"/>
      <c r="NI99" s="30"/>
      <c r="NJ99" s="30"/>
      <c r="NK99" s="30"/>
      <c r="NL99" s="30"/>
      <c r="NM99" s="30"/>
      <c r="NN99" s="30"/>
      <c r="NO99" s="30"/>
      <c r="NP99" s="30"/>
      <c r="NQ99" s="30"/>
      <c r="NR99" s="30"/>
    </row>
    <row r="100" spans="1:382" s="3" customFormat="1" ht="20.100000000000001" customHeight="1" x14ac:dyDescent="0.4">
      <c r="A100" s="29">
        <v>1</v>
      </c>
      <c r="B100" s="5">
        <v>1975</v>
      </c>
      <c r="C100" s="5" t="s">
        <v>157</v>
      </c>
      <c r="D100" s="5" t="s">
        <v>61</v>
      </c>
      <c r="E100" s="5" t="s">
        <v>12</v>
      </c>
      <c r="F100" s="5" t="s">
        <v>32</v>
      </c>
      <c r="G100" s="5" t="s">
        <v>32</v>
      </c>
      <c r="H100" s="5" t="s">
        <v>32</v>
      </c>
      <c r="I100" s="8"/>
      <c r="J100" s="8"/>
      <c r="K100" s="8" t="str">
        <f>IF(OR(J100="",E100=""),"",J100+IFERROR(VLOOKUP(E100,リードタイム!$A$2:$C$9,3,FALSE),0))</f>
        <v/>
      </c>
      <c r="L100" s="5" t="s">
        <v>530</v>
      </c>
      <c r="M100" s="8"/>
      <c r="N100" s="8" t="str">
        <f>IF(OR(M100="",E100=""),"",M100+IFERROR(VLOOKUP(E100,リードタイム!$A$2:$D$9,4,FALSE),0))</f>
        <v/>
      </c>
      <c r="O100" s="5" t="s">
        <v>530</v>
      </c>
      <c r="P100" s="5" t="s">
        <v>530</v>
      </c>
      <c r="Q100" s="5" t="s">
        <v>32</v>
      </c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  <c r="FS100" s="30"/>
      <c r="FT100" s="30"/>
      <c r="FU100" s="30"/>
      <c r="FV100" s="30"/>
      <c r="FW100" s="30"/>
      <c r="FX100" s="30"/>
      <c r="FY100" s="30"/>
      <c r="FZ100" s="30"/>
      <c r="GA100" s="30"/>
      <c r="GB100" s="30"/>
      <c r="GC100" s="30"/>
      <c r="GD100" s="30"/>
      <c r="GE100" s="30"/>
      <c r="GF100" s="30"/>
      <c r="GG100" s="30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30"/>
      <c r="GS100" s="30"/>
      <c r="GT100" s="30"/>
      <c r="GU100" s="30"/>
      <c r="GV100" s="30"/>
      <c r="GW100" s="30"/>
      <c r="GX100" s="30"/>
      <c r="GY100" s="30"/>
      <c r="GZ100" s="30"/>
      <c r="HA100" s="30"/>
      <c r="HB100" s="30"/>
      <c r="HC100" s="30"/>
      <c r="HD100" s="30"/>
      <c r="HE100" s="30"/>
      <c r="HF100" s="30"/>
      <c r="HG100" s="30"/>
      <c r="HH100" s="30"/>
      <c r="HI100" s="30"/>
      <c r="HJ100" s="30"/>
      <c r="HK100" s="30"/>
      <c r="HL100" s="30"/>
      <c r="HM100" s="30"/>
      <c r="HN100" s="30"/>
      <c r="HO100" s="30"/>
      <c r="HP100" s="30"/>
      <c r="HQ100" s="30"/>
      <c r="HR100" s="30"/>
      <c r="HS100" s="30"/>
      <c r="HT100" s="30"/>
      <c r="HU100" s="30"/>
      <c r="HV100" s="30"/>
      <c r="HW100" s="30"/>
      <c r="HX100" s="30"/>
      <c r="HY100" s="30"/>
      <c r="HZ100" s="30"/>
      <c r="IA100" s="30"/>
      <c r="IB100" s="30"/>
      <c r="IC100" s="30"/>
      <c r="ID100" s="30"/>
      <c r="IE100" s="30"/>
      <c r="IF100" s="30"/>
      <c r="IG100" s="30"/>
      <c r="IH100" s="30"/>
      <c r="II100" s="30"/>
      <c r="IJ100" s="30"/>
      <c r="IK100" s="30"/>
      <c r="IL100" s="30"/>
      <c r="IM100" s="30"/>
      <c r="IN100" s="30"/>
      <c r="IO100" s="30"/>
      <c r="IP100" s="30"/>
      <c r="IQ100" s="30"/>
      <c r="IR100" s="30"/>
      <c r="IS100" s="30"/>
      <c r="IT100" s="30"/>
      <c r="IU100" s="30"/>
      <c r="IV100" s="30"/>
      <c r="IW100" s="30"/>
      <c r="IX100" s="30"/>
      <c r="IY100" s="30"/>
      <c r="IZ100" s="30"/>
      <c r="JA100" s="30"/>
      <c r="JB100" s="30"/>
      <c r="JC100" s="30"/>
      <c r="JD100" s="30"/>
      <c r="JE100" s="30"/>
      <c r="JF100" s="30"/>
      <c r="JG100" s="30"/>
      <c r="JH100" s="30"/>
      <c r="JI100" s="30"/>
      <c r="JJ100" s="30"/>
      <c r="JK100" s="30"/>
      <c r="JL100" s="30"/>
      <c r="JM100" s="30"/>
      <c r="JN100" s="30"/>
      <c r="JO100" s="30"/>
      <c r="JP100" s="30"/>
      <c r="JQ100" s="30"/>
      <c r="JR100" s="30"/>
      <c r="JS100" s="30"/>
      <c r="JT100" s="30"/>
      <c r="JU100" s="30"/>
      <c r="JV100" s="30"/>
      <c r="JW100" s="30"/>
      <c r="JX100" s="30"/>
      <c r="JY100" s="30"/>
      <c r="JZ100" s="30"/>
      <c r="KA100" s="30"/>
      <c r="KB100" s="30"/>
      <c r="KC100" s="30"/>
      <c r="KD100" s="30"/>
      <c r="KE100" s="30"/>
      <c r="KF100" s="30"/>
      <c r="KG100" s="30"/>
      <c r="KH100" s="30"/>
      <c r="KI100" s="30"/>
      <c r="KJ100" s="30"/>
      <c r="KK100" s="30"/>
      <c r="KL100" s="30"/>
      <c r="KM100" s="30"/>
      <c r="KN100" s="30"/>
      <c r="KO100" s="30"/>
      <c r="KP100" s="30"/>
      <c r="KQ100" s="30"/>
      <c r="KR100" s="30"/>
      <c r="KS100" s="30"/>
      <c r="KT100" s="30"/>
      <c r="KU100" s="30"/>
      <c r="KV100" s="30"/>
      <c r="KW100" s="30"/>
      <c r="KX100" s="30"/>
      <c r="KY100" s="30"/>
      <c r="KZ100" s="30"/>
      <c r="LA100" s="30"/>
      <c r="LB100" s="30"/>
      <c r="LC100" s="30"/>
      <c r="LD100" s="30"/>
      <c r="LE100" s="30"/>
      <c r="LF100" s="30"/>
      <c r="LG100" s="30"/>
      <c r="LH100" s="30"/>
      <c r="LI100" s="30"/>
      <c r="LJ100" s="30"/>
      <c r="LK100" s="30"/>
      <c r="LL100" s="30"/>
      <c r="LM100" s="30"/>
      <c r="LN100" s="30"/>
      <c r="LO100" s="30"/>
      <c r="LP100" s="30"/>
      <c r="LQ100" s="30"/>
      <c r="LR100" s="30"/>
      <c r="LS100" s="30"/>
      <c r="LT100" s="30"/>
      <c r="LU100" s="30"/>
      <c r="LV100" s="30"/>
      <c r="LW100" s="30"/>
      <c r="LX100" s="30"/>
      <c r="LY100" s="30"/>
      <c r="LZ100" s="30"/>
      <c r="MA100" s="30"/>
      <c r="MB100" s="30"/>
      <c r="MC100" s="30"/>
      <c r="MD100" s="30"/>
      <c r="ME100" s="30"/>
      <c r="MF100" s="30"/>
      <c r="MG100" s="30"/>
      <c r="MH100" s="30"/>
      <c r="MI100" s="30"/>
      <c r="MJ100" s="30"/>
      <c r="MK100" s="30"/>
      <c r="ML100" s="30"/>
      <c r="MM100" s="30"/>
      <c r="MN100" s="30"/>
      <c r="MO100" s="30"/>
      <c r="MP100" s="30"/>
      <c r="MQ100" s="30"/>
      <c r="MR100" s="30"/>
      <c r="MS100" s="30"/>
      <c r="MT100" s="30"/>
      <c r="MU100" s="30"/>
      <c r="MV100" s="30"/>
      <c r="MW100" s="30"/>
      <c r="MX100" s="30"/>
      <c r="MY100" s="30"/>
      <c r="MZ100" s="30"/>
      <c r="NA100" s="30"/>
      <c r="NB100" s="30"/>
      <c r="NC100" s="30"/>
      <c r="ND100" s="30"/>
      <c r="NE100" s="30"/>
      <c r="NF100" s="30"/>
      <c r="NG100" s="30"/>
      <c r="NH100" s="30"/>
      <c r="NI100" s="30"/>
      <c r="NJ100" s="30"/>
      <c r="NK100" s="30"/>
      <c r="NL100" s="30"/>
      <c r="NM100" s="30"/>
      <c r="NN100" s="30"/>
      <c r="NO100" s="30"/>
      <c r="NP100" s="30"/>
      <c r="NQ100" s="30"/>
      <c r="NR100" s="30"/>
    </row>
    <row r="101" spans="1:382" s="3" customFormat="1" ht="20.100000000000001" customHeight="1" x14ac:dyDescent="0.4">
      <c r="A101" s="29">
        <v>2</v>
      </c>
      <c r="B101" s="5">
        <v>1976</v>
      </c>
      <c r="C101" s="5" t="s">
        <v>157</v>
      </c>
      <c r="D101" s="5" t="s">
        <v>62</v>
      </c>
      <c r="E101" s="5" t="s">
        <v>8</v>
      </c>
      <c r="F101" s="5" t="s">
        <v>32</v>
      </c>
      <c r="G101" s="5" t="s">
        <v>32</v>
      </c>
      <c r="H101" s="5" t="s">
        <v>32</v>
      </c>
      <c r="I101" s="8"/>
      <c r="J101" s="8"/>
      <c r="K101" s="8" t="str">
        <f>IF(OR(J101="",E101=""),"",J101+IFERROR(VLOOKUP(E101,リードタイム!$A$2:$C$9,3,FALSE),0))</f>
        <v/>
      </c>
      <c r="L101" s="5" t="s">
        <v>531</v>
      </c>
      <c r="M101" s="8"/>
      <c r="N101" s="8" t="str">
        <f>IF(OR(M101="",E101=""),"",M101+IFERROR(VLOOKUP(E101,リードタイム!$A$2:$D$9,4,FALSE),0))</f>
        <v/>
      </c>
      <c r="O101" s="5" t="s">
        <v>531</v>
      </c>
      <c r="P101" s="5" t="s">
        <v>533</v>
      </c>
      <c r="Q101" s="5" t="s">
        <v>32</v>
      </c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  <c r="FS101" s="30"/>
      <c r="FT101" s="30"/>
      <c r="FU101" s="30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30"/>
      <c r="GS101" s="30"/>
      <c r="GT101" s="30"/>
      <c r="GU101" s="30"/>
      <c r="GV101" s="30"/>
      <c r="GW101" s="30"/>
      <c r="GX101" s="30"/>
      <c r="GY101" s="30"/>
      <c r="GZ101" s="30"/>
      <c r="HA101" s="30"/>
      <c r="HB101" s="30"/>
      <c r="HC101" s="30"/>
      <c r="HD101" s="30"/>
      <c r="HE101" s="30"/>
      <c r="HF101" s="30"/>
      <c r="HG101" s="30"/>
      <c r="HH101" s="30"/>
      <c r="HI101" s="30"/>
      <c r="HJ101" s="30"/>
      <c r="HK101" s="30"/>
      <c r="HL101" s="30"/>
      <c r="HM101" s="30"/>
      <c r="HN101" s="30"/>
      <c r="HO101" s="30"/>
      <c r="HP101" s="30"/>
      <c r="HQ101" s="30"/>
      <c r="HR101" s="30"/>
      <c r="HS101" s="30"/>
      <c r="HT101" s="30"/>
      <c r="HU101" s="30"/>
      <c r="HV101" s="30"/>
      <c r="HW101" s="30"/>
      <c r="HX101" s="30"/>
      <c r="HY101" s="30"/>
      <c r="HZ101" s="30"/>
      <c r="IA101" s="30"/>
      <c r="IB101" s="30"/>
      <c r="IC101" s="30"/>
      <c r="ID101" s="30"/>
      <c r="IE101" s="30"/>
      <c r="IF101" s="30"/>
      <c r="IG101" s="30"/>
      <c r="IH101" s="30"/>
      <c r="II101" s="30"/>
      <c r="IJ101" s="30"/>
      <c r="IK101" s="30"/>
      <c r="IL101" s="30"/>
      <c r="IM101" s="30"/>
      <c r="IN101" s="30"/>
      <c r="IO101" s="30"/>
      <c r="IP101" s="30"/>
      <c r="IQ101" s="30"/>
      <c r="IR101" s="30"/>
      <c r="IS101" s="30"/>
      <c r="IT101" s="30"/>
      <c r="IU101" s="30"/>
      <c r="IV101" s="30"/>
      <c r="IW101" s="30"/>
      <c r="IX101" s="30"/>
      <c r="IY101" s="30"/>
      <c r="IZ101" s="30"/>
      <c r="JA101" s="30"/>
      <c r="JB101" s="30"/>
      <c r="JC101" s="30"/>
      <c r="JD101" s="30"/>
      <c r="JE101" s="30"/>
      <c r="JF101" s="30"/>
      <c r="JG101" s="30"/>
      <c r="JH101" s="30"/>
      <c r="JI101" s="30"/>
      <c r="JJ101" s="30"/>
      <c r="JK101" s="30"/>
      <c r="JL101" s="30"/>
      <c r="JM101" s="30"/>
      <c r="JN101" s="30"/>
      <c r="JO101" s="30"/>
      <c r="JP101" s="30"/>
      <c r="JQ101" s="30"/>
      <c r="JR101" s="30"/>
      <c r="JS101" s="30"/>
      <c r="JT101" s="30"/>
      <c r="JU101" s="30"/>
      <c r="JV101" s="30"/>
      <c r="JW101" s="30"/>
      <c r="JX101" s="30"/>
      <c r="JY101" s="30"/>
      <c r="JZ101" s="30"/>
      <c r="KA101" s="30"/>
      <c r="KB101" s="30"/>
      <c r="KC101" s="30"/>
      <c r="KD101" s="30"/>
      <c r="KE101" s="30"/>
      <c r="KF101" s="30"/>
      <c r="KG101" s="30"/>
      <c r="KH101" s="30"/>
      <c r="KI101" s="30"/>
      <c r="KJ101" s="30"/>
      <c r="KK101" s="30"/>
      <c r="KL101" s="30"/>
      <c r="KM101" s="30"/>
      <c r="KN101" s="30"/>
      <c r="KO101" s="30"/>
      <c r="KP101" s="30"/>
      <c r="KQ101" s="30"/>
      <c r="KR101" s="30"/>
      <c r="KS101" s="30"/>
      <c r="KT101" s="30"/>
      <c r="KU101" s="30"/>
      <c r="KV101" s="30"/>
      <c r="KW101" s="30"/>
      <c r="KX101" s="30"/>
      <c r="KY101" s="30"/>
      <c r="KZ101" s="30"/>
      <c r="LA101" s="30"/>
      <c r="LB101" s="30"/>
      <c r="LC101" s="30"/>
      <c r="LD101" s="30"/>
      <c r="LE101" s="30"/>
      <c r="LF101" s="30"/>
      <c r="LG101" s="30"/>
      <c r="LH101" s="30"/>
      <c r="LI101" s="30"/>
      <c r="LJ101" s="30"/>
      <c r="LK101" s="30"/>
      <c r="LL101" s="30"/>
      <c r="LM101" s="30"/>
      <c r="LN101" s="30"/>
      <c r="LO101" s="30"/>
      <c r="LP101" s="30"/>
      <c r="LQ101" s="30"/>
      <c r="LR101" s="30"/>
      <c r="LS101" s="30"/>
      <c r="LT101" s="30"/>
      <c r="LU101" s="30"/>
      <c r="LV101" s="30"/>
      <c r="LW101" s="30"/>
      <c r="LX101" s="30"/>
      <c r="LY101" s="30"/>
      <c r="LZ101" s="30"/>
      <c r="MA101" s="30"/>
      <c r="MB101" s="30"/>
      <c r="MC101" s="30"/>
      <c r="MD101" s="30"/>
      <c r="ME101" s="30"/>
      <c r="MF101" s="30"/>
      <c r="MG101" s="30"/>
      <c r="MH101" s="30"/>
      <c r="MI101" s="30"/>
      <c r="MJ101" s="30"/>
      <c r="MK101" s="30"/>
      <c r="ML101" s="30"/>
      <c r="MM101" s="30"/>
      <c r="MN101" s="30"/>
      <c r="MO101" s="30"/>
      <c r="MP101" s="30"/>
      <c r="MQ101" s="30"/>
      <c r="MR101" s="30"/>
      <c r="MS101" s="30"/>
      <c r="MT101" s="30"/>
      <c r="MU101" s="30"/>
      <c r="MV101" s="30"/>
      <c r="MW101" s="30"/>
      <c r="MX101" s="30"/>
      <c r="MY101" s="30"/>
      <c r="MZ101" s="30"/>
      <c r="NA101" s="30"/>
      <c r="NB101" s="30"/>
      <c r="NC101" s="30"/>
      <c r="ND101" s="30"/>
      <c r="NE101" s="30"/>
      <c r="NF101" s="30"/>
      <c r="NG101" s="30"/>
      <c r="NH101" s="30"/>
      <c r="NI101" s="30"/>
      <c r="NJ101" s="30"/>
      <c r="NK101" s="30"/>
      <c r="NL101" s="30"/>
      <c r="NM101" s="30"/>
      <c r="NN101" s="30"/>
      <c r="NO101" s="30"/>
      <c r="NP101" s="30"/>
      <c r="NQ101" s="30"/>
      <c r="NR101" s="30"/>
    </row>
    <row r="102" spans="1:382" s="3" customFormat="1" ht="20.100000000000001" customHeight="1" x14ac:dyDescent="0.4">
      <c r="A102" s="29">
        <v>3</v>
      </c>
      <c r="B102" s="5" t="s">
        <v>32</v>
      </c>
      <c r="C102" s="5" t="s">
        <v>157</v>
      </c>
      <c r="D102" s="5" t="s">
        <v>156</v>
      </c>
      <c r="E102" s="5" t="s">
        <v>14</v>
      </c>
      <c r="F102" s="5" t="s">
        <v>32</v>
      </c>
      <c r="G102" s="5" t="s">
        <v>32</v>
      </c>
      <c r="H102" s="5" t="s">
        <v>32</v>
      </c>
      <c r="I102" s="8"/>
      <c r="J102" s="8"/>
      <c r="K102" s="8" t="str">
        <f>IF(OR(J102="",E102=""),"",J102+IFERROR(VLOOKUP(E102,リードタイム!$A$2:$C$9,3,FALSE),0))</f>
        <v/>
      </c>
      <c r="L102" s="5" t="s">
        <v>530</v>
      </c>
      <c r="M102" s="8"/>
      <c r="N102" s="8" t="str">
        <f>IF(OR(M102="",E102=""),"",M102+IFERROR(VLOOKUP(E102,リードタイム!$A$2:$D$9,4,FALSE),0))</f>
        <v/>
      </c>
      <c r="O102" s="5" t="s">
        <v>530</v>
      </c>
      <c r="P102" s="5" t="s">
        <v>530</v>
      </c>
      <c r="Q102" s="5" t="s">
        <v>32</v>
      </c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0"/>
      <c r="GU102" s="30"/>
      <c r="GV102" s="30"/>
      <c r="GW102" s="30"/>
      <c r="GX102" s="30"/>
      <c r="GY102" s="30"/>
      <c r="GZ102" s="30"/>
      <c r="HA102" s="30"/>
      <c r="HB102" s="30"/>
      <c r="HC102" s="30"/>
      <c r="HD102" s="30"/>
      <c r="HE102" s="30"/>
      <c r="HF102" s="30"/>
      <c r="HG102" s="30"/>
      <c r="HH102" s="30"/>
      <c r="HI102" s="30"/>
      <c r="HJ102" s="30"/>
      <c r="HK102" s="30"/>
      <c r="HL102" s="30"/>
      <c r="HM102" s="30"/>
      <c r="HN102" s="30"/>
      <c r="HO102" s="30"/>
      <c r="HP102" s="30"/>
      <c r="HQ102" s="30"/>
      <c r="HR102" s="30"/>
      <c r="HS102" s="30"/>
      <c r="HT102" s="30"/>
      <c r="HU102" s="30"/>
      <c r="HV102" s="30"/>
      <c r="HW102" s="30"/>
      <c r="HX102" s="30"/>
      <c r="HY102" s="30"/>
      <c r="HZ102" s="30"/>
      <c r="IA102" s="30"/>
      <c r="IB102" s="30"/>
      <c r="IC102" s="30"/>
      <c r="ID102" s="30"/>
      <c r="IE102" s="30"/>
      <c r="IF102" s="30"/>
      <c r="IG102" s="30"/>
      <c r="IH102" s="30"/>
      <c r="II102" s="30"/>
      <c r="IJ102" s="30"/>
      <c r="IK102" s="30"/>
      <c r="IL102" s="30"/>
      <c r="IM102" s="30"/>
      <c r="IN102" s="30"/>
      <c r="IO102" s="30"/>
      <c r="IP102" s="30"/>
      <c r="IQ102" s="30"/>
      <c r="IR102" s="30"/>
      <c r="IS102" s="30"/>
      <c r="IT102" s="30"/>
      <c r="IU102" s="30"/>
      <c r="IV102" s="30"/>
      <c r="IW102" s="30"/>
      <c r="IX102" s="30"/>
      <c r="IY102" s="30"/>
      <c r="IZ102" s="30"/>
      <c r="JA102" s="30"/>
      <c r="JB102" s="30"/>
      <c r="JC102" s="30"/>
      <c r="JD102" s="30"/>
      <c r="JE102" s="30"/>
      <c r="JF102" s="30"/>
      <c r="JG102" s="30"/>
      <c r="JH102" s="30"/>
      <c r="JI102" s="30"/>
      <c r="JJ102" s="30"/>
      <c r="JK102" s="30"/>
      <c r="JL102" s="30"/>
      <c r="JM102" s="30"/>
      <c r="JN102" s="30"/>
      <c r="JO102" s="30"/>
      <c r="JP102" s="30"/>
      <c r="JQ102" s="30"/>
      <c r="JR102" s="30"/>
      <c r="JS102" s="30"/>
      <c r="JT102" s="30"/>
      <c r="JU102" s="30"/>
      <c r="JV102" s="30"/>
      <c r="JW102" s="30"/>
      <c r="JX102" s="30"/>
      <c r="JY102" s="30"/>
      <c r="JZ102" s="30"/>
      <c r="KA102" s="30"/>
      <c r="KB102" s="30"/>
      <c r="KC102" s="30"/>
      <c r="KD102" s="30"/>
      <c r="KE102" s="30"/>
      <c r="KF102" s="30"/>
      <c r="KG102" s="30"/>
      <c r="KH102" s="30"/>
      <c r="KI102" s="30"/>
      <c r="KJ102" s="30"/>
      <c r="KK102" s="30"/>
      <c r="KL102" s="30"/>
      <c r="KM102" s="30"/>
      <c r="KN102" s="30"/>
      <c r="KO102" s="30"/>
      <c r="KP102" s="30"/>
      <c r="KQ102" s="30"/>
      <c r="KR102" s="30"/>
      <c r="KS102" s="30"/>
      <c r="KT102" s="30"/>
      <c r="KU102" s="30"/>
      <c r="KV102" s="30"/>
      <c r="KW102" s="30"/>
      <c r="KX102" s="30"/>
      <c r="KY102" s="30"/>
      <c r="KZ102" s="30"/>
      <c r="LA102" s="30"/>
      <c r="LB102" s="30"/>
      <c r="LC102" s="30"/>
      <c r="LD102" s="30"/>
      <c r="LE102" s="30"/>
      <c r="LF102" s="30"/>
      <c r="LG102" s="30"/>
      <c r="LH102" s="30"/>
      <c r="LI102" s="30"/>
      <c r="LJ102" s="30"/>
      <c r="LK102" s="30"/>
      <c r="LL102" s="30"/>
      <c r="LM102" s="30"/>
      <c r="LN102" s="30"/>
      <c r="LO102" s="30"/>
      <c r="LP102" s="30"/>
      <c r="LQ102" s="30"/>
      <c r="LR102" s="30"/>
      <c r="LS102" s="30"/>
      <c r="LT102" s="30"/>
      <c r="LU102" s="30"/>
      <c r="LV102" s="30"/>
      <c r="LW102" s="30"/>
      <c r="LX102" s="30"/>
      <c r="LY102" s="30"/>
      <c r="LZ102" s="30"/>
      <c r="MA102" s="30"/>
      <c r="MB102" s="30"/>
      <c r="MC102" s="30"/>
      <c r="MD102" s="30"/>
      <c r="ME102" s="30"/>
      <c r="MF102" s="30"/>
      <c r="MG102" s="30"/>
      <c r="MH102" s="30"/>
      <c r="MI102" s="30"/>
      <c r="MJ102" s="30"/>
      <c r="MK102" s="30"/>
      <c r="ML102" s="30"/>
      <c r="MM102" s="30"/>
      <c r="MN102" s="30"/>
      <c r="MO102" s="30"/>
      <c r="MP102" s="30"/>
      <c r="MQ102" s="30"/>
      <c r="MR102" s="30"/>
      <c r="MS102" s="30"/>
      <c r="MT102" s="30"/>
      <c r="MU102" s="30"/>
      <c r="MV102" s="30"/>
      <c r="MW102" s="30"/>
      <c r="MX102" s="30"/>
      <c r="MY102" s="30"/>
      <c r="MZ102" s="30"/>
      <c r="NA102" s="30"/>
      <c r="NB102" s="30"/>
      <c r="NC102" s="30"/>
      <c r="ND102" s="30"/>
      <c r="NE102" s="30"/>
      <c r="NF102" s="30"/>
      <c r="NG102" s="30"/>
      <c r="NH102" s="30"/>
      <c r="NI102" s="30"/>
      <c r="NJ102" s="30"/>
      <c r="NK102" s="30"/>
      <c r="NL102" s="30"/>
      <c r="NM102" s="30"/>
      <c r="NN102" s="30"/>
      <c r="NO102" s="30"/>
      <c r="NP102" s="30"/>
      <c r="NQ102" s="30"/>
      <c r="NR102" s="30"/>
    </row>
    <row r="103" spans="1:382" s="3" customFormat="1" ht="20.100000000000001" customHeight="1" x14ac:dyDescent="0.4">
      <c r="A103" s="29">
        <v>1</v>
      </c>
      <c r="B103" s="5">
        <v>1992</v>
      </c>
      <c r="C103" s="5" t="s">
        <v>158</v>
      </c>
      <c r="D103" s="5" t="s">
        <v>159</v>
      </c>
      <c r="E103" s="5" t="s">
        <v>18</v>
      </c>
      <c r="F103" s="5" t="s">
        <v>32</v>
      </c>
      <c r="G103" s="5" t="s">
        <v>32</v>
      </c>
      <c r="H103" s="5" t="s">
        <v>32</v>
      </c>
      <c r="I103" s="8"/>
      <c r="J103" s="8"/>
      <c r="K103" s="8" t="str">
        <f>IF(OR(J103="",E103=""),"",J103+IFERROR(VLOOKUP(E103,リードタイム!$A$2:$C$9,3,FALSE),0))</f>
        <v/>
      </c>
      <c r="L103" s="5" t="s">
        <v>530</v>
      </c>
      <c r="M103" s="8"/>
      <c r="N103" s="8" t="str">
        <f>IF(OR(M103="",E103=""),"",M103+IFERROR(VLOOKUP(E103,リードタイム!$A$2:$D$9,4,FALSE),0))</f>
        <v/>
      </c>
      <c r="O103" s="5" t="s">
        <v>530</v>
      </c>
      <c r="P103" s="5" t="s">
        <v>530</v>
      </c>
      <c r="Q103" s="5" t="s">
        <v>160</v>
      </c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  <c r="FS103" s="30"/>
      <c r="FT103" s="30"/>
      <c r="FU103" s="30"/>
      <c r="FV103" s="30"/>
      <c r="FW103" s="30"/>
      <c r="FX103" s="30"/>
      <c r="FY103" s="30"/>
      <c r="FZ103" s="30"/>
      <c r="GA103" s="30"/>
      <c r="GB103" s="30"/>
      <c r="GC103" s="30"/>
      <c r="GD103" s="30"/>
      <c r="GE103" s="30"/>
      <c r="GF103" s="30"/>
      <c r="GG103" s="30"/>
      <c r="GH103" s="30"/>
      <c r="GI103" s="30"/>
      <c r="GJ103" s="30"/>
      <c r="GK103" s="30"/>
      <c r="GL103" s="30"/>
      <c r="GM103" s="30"/>
      <c r="GN103" s="30"/>
      <c r="GO103" s="30"/>
      <c r="GP103" s="30"/>
      <c r="GQ103" s="30"/>
      <c r="GR103" s="30"/>
      <c r="GS103" s="30"/>
      <c r="GT103" s="30"/>
      <c r="GU103" s="30"/>
      <c r="GV103" s="30"/>
      <c r="GW103" s="30"/>
      <c r="GX103" s="30"/>
      <c r="GY103" s="30"/>
      <c r="GZ103" s="30"/>
      <c r="HA103" s="30"/>
      <c r="HB103" s="30"/>
      <c r="HC103" s="30"/>
      <c r="HD103" s="30"/>
      <c r="HE103" s="30"/>
      <c r="HF103" s="30"/>
      <c r="HG103" s="30"/>
      <c r="HH103" s="30"/>
      <c r="HI103" s="30"/>
      <c r="HJ103" s="30"/>
      <c r="HK103" s="30"/>
      <c r="HL103" s="30"/>
      <c r="HM103" s="30"/>
      <c r="HN103" s="30"/>
      <c r="HO103" s="30"/>
      <c r="HP103" s="30"/>
      <c r="HQ103" s="30"/>
      <c r="HR103" s="30"/>
      <c r="HS103" s="30"/>
      <c r="HT103" s="30"/>
      <c r="HU103" s="30"/>
      <c r="HV103" s="30"/>
      <c r="HW103" s="30"/>
      <c r="HX103" s="30"/>
      <c r="HY103" s="30"/>
      <c r="HZ103" s="30"/>
      <c r="IA103" s="30"/>
      <c r="IB103" s="30"/>
      <c r="IC103" s="30"/>
      <c r="ID103" s="30"/>
      <c r="IE103" s="30"/>
      <c r="IF103" s="30"/>
      <c r="IG103" s="30"/>
      <c r="IH103" s="30"/>
      <c r="II103" s="30"/>
      <c r="IJ103" s="30"/>
      <c r="IK103" s="30"/>
      <c r="IL103" s="30"/>
      <c r="IM103" s="30"/>
      <c r="IN103" s="30"/>
      <c r="IO103" s="30"/>
      <c r="IP103" s="30"/>
      <c r="IQ103" s="30"/>
      <c r="IR103" s="30"/>
      <c r="IS103" s="30"/>
      <c r="IT103" s="30"/>
      <c r="IU103" s="30"/>
      <c r="IV103" s="30"/>
      <c r="IW103" s="30"/>
      <c r="IX103" s="30"/>
      <c r="IY103" s="30"/>
      <c r="IZ103" s="30"/>
      <c r="JA103" s="30"/>
      <c r="JB103" s="30"/>
      <c r="JC103" s="30"/>
      <c r="JD103" s="30"/>
      <c r="JE103" s="30"/>
      <c r="JF103" s="30"/>
      <c r="JG103" s="30"/>
      <c r="JH103" s="30"/>
      <c r="JI103" s="30"/>
      <c r="JJ103" s="30"/>
      <c r="JK103" s="30"/>
      <c r="JL103" s="30"/>
      <c r="JM103" s="30"/>
      <c r="JN103" s="30"/>
      <c r="JO103" s="30"/>
      <c r="JP103" s="30"/>
      <c r="JQ103" s="30"/>
      <c r="JR103" s="30"/>
      <c r="JS103" s="30"/>
      <c r="JT103" s="30"/>
      <c r="JU103" s="30"/>
      <c r="JV103" s="30"/>
      <c r="JW103" s="30"/>
      <c r="JX103" s="30"/>
      <c r="JY103" s="30"/>
      <c r="JZ103" s="30"/>
      <c r="KA103" s="30"/>
      <c r="KB103" s="30"/>
      <c r="KC103" s="30"/>
      <c r="KD103" s="30"/>
      <c r="KE103" s="30"/>
      <c r="KF103" s="30"/>
      <c r="KG103" s="30"/>
      <c r="KH103" s="30"/>
      <c r="KI103" s="30"/>
      <c r="KJ103" s="30"/>
      <c r="KK103" s="30"/>
      <c r="KL103" s="30"/>
      <c r="KM103" s="30"/>
      <c r="KN103" s="30"/>
      <c r="KO103" s="30"/>
      <c r="KP103" s="30"/>
      <c r="KQ103" s="30"/>
      <c r="KR103" s="30"/>
      <c r="KS103" s="30"/>
      <c r="KT103" s="30"/>
      <c r="KU103" s="30"/>
      <c r="KV103" s="30"/>
      <c r="KW103" s="30"/>
      <c r="KX103" s="30"/>
      <c r="KY103" s="30"/>
      <c r="KZ103" s="30"/>
      <c r="LA103" s="30"/>
      <c r="LB103" s="30"/>
      <c r="LC103" s="30"/>
      <c r="LD103" s="30"/>
      <c r="LE103" s="30"/>
      <c r="LF103" s="30"/>
      <c r="LG103" s="30"/>
      <c r="LH103" s="30"/>
      <c r="LI103" s="30"/>
      <c r="LJ103" s="30"/>
      <c r="LK103" s="30"/>
      <c r="LL103" s="30"/>
      <c r="LM103" s="30"/>
      <c r="LN103" s="30"/>
      <c r="LO103" s="30"/>
      <c r="LP103" s="30"/>
      <c r="LQ103" s="30"/>
      <c r="LR103" s="30"/>
      <c r="LS103" s="30"/>
      <c r="LT103" s="30"/>
      <c r="LU103" s="30"/>
      <c r="LV103" s="30"/>
      <c r="LW103" s="30"/>
      <c r="LX103" s="30"/>
      <c r="LY103" s="30"/>
      <c r="LZ103" s="30"/>
      <c r="MA103" s="30"/>
      <c r="MB103" s="30"/>
      <c r="MC103" s="30"/>
      <c r="MD103" s="30"/>
      <c r="ME103" s="30"/>
      <c r="MF103" s="30"/>
      <c r="MG103" s="30"/>
      <c r="MH103" s="30"/>
      <c r="MI103" s="30"/>
      <c r="MJ103" s="30"/>
      <c r="MK103" s="30"/>
      <c r="ML103" s="30"/>
      <c r="MM103" s="30"/>
      <c r="MN103" s="30"/>
      <c r="MO103" s="30"/>
      <c r="MP103" s="30"/>
      <c r="MQ103" s="30"/>
      <c r="MR103" s="30"/>
      <c r="MS103" s="30"/>
      <c r="MT103" s="30"/>
      <c r="MU103" s="30"/>
      <c r="MV103" s="30"/>
      <c r="MW103" s="30"/>
      <c r="MX103" s="30"/>
      <c r="MY103" s="30"/>
      <c r="MZ103" s="30"/>
      <c r="NA103" s="30"/>
      <c r="NB103" s="30"/>
      <c r="NC103" s="30"/>
      <c r="ND103" s="30"/>
      <c r="NE103" s="30"/>
      <c r="NF103" s="30"/>
      <c r="NG103" s="30"/>
      <c r="NH103" s="30"/>
      <c r="NI103" s="30"/>
      <c r="NJ103" s="30"/>
      <c r="NK103" s="30"/>
      <c r="NL103" s="30"/>
      <c r="NM103" s="30"/>
      <c r="NN103" s="30"/>
      <c r="NO103" s="30"/>
      <c r="NP103" s="30"/>
      <c r="NQ103" s="30"/>
      <c r="NR103" s="30"/>
    </row>
    <row r="104" spans="1:382" s="3" customFormat="1" ht="20.100000000000001" customHeight="1" x14ac:dyDescent="0.4">
      <c r="A104" s="29">
        <v>1</v>
      </c>
      <c r="B104" s="5">
        <v>1923</v>
      </c>
      <c r="C104" s="5" t="s">
        <v>161</v>
      </c>
      <c r="D104" s="5" t="s">
        <v>66</v>
      </c>
      <c r="E104" s="5" t="s">
        <v>4</v>
      </c>
      <c r="F104" s="5" t="s">
        <v>32</v>
      </c>
      <c r="G104" s="5" t="s">
        <v>32</v>
      </c>
      <c r="H104" s="5" t="s">
        <v>32</v>
      </c>
      <c r="I104" s="8"/>
      <c r="J104" s="8"/>
      <c r="K104" s="8" t="str">
        <f>IF(OR(J104="",E104=""),"",J104+IFERROR(VLOOKUP(E104,リードタイム!$A$2:$C$9,3,FALSE),0))</f>
        <v/>
      </c>
      <c r="L104" s="5" t="s">
        <v>530</v>
      </c>
      <c r="M104" s="8"/>
      <c r="N104" s="8" t="str">
        <f>IF(OR(M104="",E104=""),"",M104+IFERROR(VLOOKUP(E104,リードタイム!$A$2:$D$9,4,FALSE),0))</f>
        <v/>
      </c>
      <c r="O104" s="5" t="s">
        <v>530</v>
      </c>
      <c r="P104" s="5" t="s">
        <v>530</v>
      </c>
      <c r="Q104" s="5" t="s">
        <v>162</v>
      </c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  <c r="FS104" s="30"/>
      <c r="FT104" s="30"/>
      <c r="FU104" s="30"/>
      <c r="FV104" s="30"/>
      <c r="FW104" s="30"/>
      <c r="FX104" s="30"/>
      <c r="FY104" s="30"/>
      <c r="FZ104" s="30"/>
      <c r="GA104" s="30"/>
      <c r="GB104" s="30"/>
      <c r="GC104" s="30"/>
      <c r="GD104" s="30"/>
      <c r="GE104" s="30"/>
      <c r="GF104" s="30"/>
      <c r="GG104" s="30"/>
      <c r="GH104" s="30"/>
      <c r="GI104" s="30"/>
      <c r="GJ104" s="30"/>
      <c r="GK104" s="30"/>
      <c r="GL104" s="30"/>
      <c r="GM104" s="30"/>
      <c r="GN104" s="30"/>
      <c r="GO104" s="30"/>
      <c r="GP104" s="30"/>
      <c r="GQ104" s="30"/>
      <c r="GR104" s="30"/>
      <c r="GS104" s="30"/>
      <c r="GT104" s="30"/>
      <c r="GU104" s="30"/>
      <c r="GV104" s="30"/>
      <c r="GW104" s="30"/>
      <c r="GX104" s="30"/>
      <c r="GY104" s="30"/>
      <c r="GZ104" s="30"/>
      <c r="HA104" s="30"/>
      <c r="HB104" s="30"/>
      <c r="HC104" s="30"/>
      <c r="HD104" s="30"/>
      <c r="HE104" s="30"/>
      <c r="HF104" s="30"/>
      <c r="HG104" s="30"/>
      <c r="HH104" s="30"/>
      <c r="HI104" s="30"/>
      <c r="HJ104" s="30"/>
      <c r="HK104" s="30"/>
      <c r="HL104" s="30"/>
      <c r="HM104" s="30"/>
      <c r="HN104" s="30"/>
      <c r="HO104" s="30"/>
      <c r="HP104" s="30"/>
      <c r="HQ104" s="30"/>
      <c r="HR104" s="30"/>
      <c r="HS104" s="30"/>
      <c r="HT104" s="30"/>
      <c r="HU104" s="30"/>
      <c r="HV104" s="30"/>
      <c r="HW104" s="30"/>
      <c r="HX104" s="30"/>
      <c r="HY104" s="30"/>
      <c r="HZ104" s="30"/>
      <c r="IA104" s="30"/>
      <c r="IB104" s="30"/>
      <c r="IC104" s="30"/>
      <c r="ID104" s="30"/>
      <c r="IE104" s="30"/>
      <c r="IF104" s="30"/>
      <c r="IG104" s="30"/>
      <c r="IH104" s="30"/>
      <c r="II104" s="30"/>
      <c r="IJ104" s="30"/>
      <c r="IK104" s="30"/>
      <c r="IL104" s="30"/>
      <c r="IM104" s="30"/>
      <c r="IN104" s="30"/>
      <c r="IO104" s="30"/>
      <c r="IP104" s="30"/>
      <c r="IQ104" s="30"/>
      <c r="IR104" s="30"/>
      <c r="IS104" s="30"/>
      <c r="IT104" s="30"/>
      <c r="IU104" s="30"/>
      <c r="IV104" s="30"/>
      <c r="IW104" s="30"/>
      <c r="IX104" s="30"/>
      <c r="IY104" s="30"/>
      <c r="IZ104" s="30"/>
      <c r="JA104" s="30"/>
      <c r="JB104" s="30"/>
      <c r="JC104" s="30"/>
      <c r="JD104" s="30"/>
      <c r="JE104" s="30"/>
      <c r="JF104" s="30"/>
      <c r="JG104" s="30"/>
      <c r="JH104" s="30"/>
      <c r="JI104" s="30"/>
      <c r="JJ104" s="30"/>
      <c r="JK104" s="30"/>
      <c r="JL104" s="30"/>
      <c r="JM104" s="30"/>
      <c r="JN104" s="30"/>
      <c r="JO104" s="30"/>
      <c r="JP104" s="30"/>
      <c r="JQ104" s="30"/>
      <c r="JR104" s="30"/>
      <c r="JS104" s="30"/>
      <c r="JT104" s="30"/>
      <c r="JU104" s="30"/>
      <c r="JV104" s="30"/>
      <c r="JW104" s="30"/>
      <c r="JX104" s="30"/>
      <c r="JY104" s="30"/>
      <c r="JZ104" s="30"/>
      <c r="KA104" s="30"/>
      <c r="KB104" s="30"/>
      <c r="KC104" s="30"/>
      <c r="KD104" s="30"/>
      <c r="KE104" s="30"/>
      <c r="KF104" s="30"/>
      <c r="KG104" s="30"/>
      <c r="KH104" s="30"/>
      <c r="KI104" s="30"/>
      <c r="KJ104" s="30"/>
      <c r="KK104" s="30"/>
      <c r="KL104" s="30"/>
      <c r="KM104" s="30"/>
      <c r="KN104" s="30"/>
      <c r="KO104" s="30"/>
      <c r="KP104" s="30"/>
      <c r="KQ104" s="30"/>
      <c r="KR104" s="30"/>
      <c r="KS104" s="30"/>
      <c r="KT104" s="30"/>
      <c r="KU104" s="30"/>
      <c r="KV104" s="30"/>
      <c r="KW104" s="30"/>
      <c r="KX104" s="30"/>
      <c r="KY104" s="30"/>
      <c r="KZ104" s="30"/>
      <c r="LA104" s="30"/>
      <c r="LB104" s="30"/>
      <c r="LC104" s="30"/>
      <c r="LD104" s="30"/>
      <c r="LE104" s="30"/>
      <c r="LF104" s="30"/>
      <c r="LG104" s="30"/>
      <c r="LH104" s="30"/>
      <c r="LI104" s="30"/>
      <c r="LJ104" s="30"/>
      <c r="LK104" s="30"/>
      <c r="LL104" s="30"/>
      <c r="LM104" s="30"/>
      <c r="LN104" s="30"/>
      <c r="LO104" s="30"/>
      <c r="LP104" s="30"/>
      <c r="LQ104" s="30"/>
      <c r="LR104" s="30"/>
      <c r="LS104" s="30"/>
      <c r="LT104" s="30"/>
      <c r="LU104" s="30"/>
      <c r="LV104" s="30"/>
      <c r="LW104" s="30"/>
      <c r="LX104" s="30"/>
      <c r="LY104" s="30"/>
      <c r="LZ104" s="30"/>
      <c r="MA104" s="30"/>
      <c r="MB104" s="30"/>
      <c r="MC104" s="30"/>
      <c r="MD104" s="30"/>
      <c r="ME104" s="30"/>
      <c r="MF104" s="30"/>
      <c r="MG104" s="30"/>
      <c r="MH104" s="30"/>
      <c r="MI104" s="30"/>
      <c r="MJ104" s="30"/>
      <c r="MK104" s="30"/>
      <c r="ML104" s="30"/>
      <c r="MM104" s="30"/>
      <c r="MN104" s="30"/>
      <c r="MO104" s="30"/>
      <c r="MP104" s="30"/>
      <c r="MQ104" s="30"/>
      <c r="MR104" s="30"/>
      <c r="MS104" s="30"/>
      <c r="MT104" s="30"/>
      <c r="MU104" s="30"/>
      <c r="MV104" s="30"/>
      <c r="MW104" s="30"/>
      <c r="MX104" s="30"/>
      <c r="MY104" s="30"/>
      <c r="MZ104" s="30"/>
      <c r="NA104" s="30"/>
      <c r="NB104" s="30"/>
      <c r="NC104" s="30"/>
      <c r="ND104" s="30"/>
      <c r="NE104" s="30"/>
      <c r="NF104" s="30"/>
      <c r="NG104" s="30"/>
      <c r="NH104" s="30"/>
      <c r="NI104" s="30"/>
      <c r="NJ104" s="30"/>
      <c r="NK104" s="30"/>
      <c r="NL104" s="30"/>
      <c r="NM104" s="30"/>
      <c r="NN104" s="30"/>
      <c r="NO104" s="30"/>
      <c r="NP104" s="30"/>
      <c r="NQ104" s="30"/>
      <c r="NR104" s="30"/>
    </row>
    <row r="105" spans="1:382" s="3" customFormat="1" ht="20.100000000000001" customHeight="1" x14ac:dyDescent="0.4">
      <c r="A105" s="29">
        <v>2</v>
      </c>
      <c r="B105" s="5">
        <v>1991</v>
      </c>
      <c r="C105" s="5" t="s">
        <v>161</v>
      </c>
      <c r="D105" s="5" t="s">
        <v>159</v>
      </c>
      <c r="E105" s="5" t="s">
        <v>18</v>
      </c>
      <c r="F105" s="5" t="s">
        <v>32</v>
      </c>
      <c r="G105" s="5" t="s">
        <v>32</v>
      </c>
      <c r="H105" s="5" t="s">
        <v>32</v>
      </c>
      <c r="I105" s="8"/>
      <c r="J105" s="8"/>
      <c r="K105" s="8" t="str">
        <f>IF(OR(J105="",E105=""),"",J105+IFERROR(VLOOKUP(E105,リードタイム!$A$2:$C$9,3,FALSE),0))</f>
        <v/>
      </c>
      <c r="L105" s="5" t="s">
        <v>530</v>
      </c>
      <c r="M105" s="8"/>
      <c r="N105" s="8" t="str">
        <f>IF(OR(M105="",E105=""),"",M105+IFERROR(VLOOKUP(E105,リードタイム!$A$2:$D$9,4,FALSE),0))</f>
        <v/>
      </c>
      <c r="O105" s="5" t="s">
        <v>530</v>
      </c>
      <c r="P105" s="5" t="s">
        <v>530</v>
      </c>
      <c r="Q105" s="5" t="s">
        <v>160</v>
      </c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  <c r="FS105" s="30"/>
      <c r="FT105" s="30"/>
      <c r="FU105" s="30"/>
      <c r="FV105" s="30"/>
      <c r="FW105" s="30"/>
      <c r="FX105" s="30"/>
      <c r="FY105" s="30"/>
      <c r="FZ105" s="30"/>
      <c r="GA105" s="30"/>
      <c r="GB105" s="30"/>
      <c r="GC105" s="30"/>
      <c r="GD105" s="30"/>
      <c r="GE105" s="30"/>
      <c r="GF105" s="30"/>
      <c r="GG105" s="30"/>
      <c r="GH105" s="30"/>
      <c r="GI105" s="30"/>
      <c r="GJ105" s="30"/>
      <c r="GK105" s="30"/>
      <c r="GL105" s="30"/>
      <c r="GM105" s="30"/>
      <c r="GN105" s="30"/>
      <c r="GO105" s="30"/>
      <c r="GP105" s="30"/>
      <c r="GQ105" s="30"/>
      <c r="GR105" s="30"/>
      <c r="GS105" s="30"/>
      <c r="GT105" s="30"/>
      <c r="GU105" s="30"/>
      <c r="GV105" s="30"/>
      <c r="GW105" s="30"/>
      <c r="GX105" s="30"/>
      <c r="GY105" s="30"/>
      <c r="GZ105" s="30"/>
      <c r="HA105" s="30"/>
      <c r="HB105" s="30"/>
      <c r="HC105" s="30"/>
      <c r="HD105" s="30"/>
      <c r="HE105" s="30"/>
      <c r="HF105" s="30"/>
      <c r="HG105" s="30"/>
      <c r="HH105" s="30"/>
      <c r="HI105" s="30"/>
      <c r="HJ105" s="30"/>
      <c r="HK105" s="30"/>
      <c r="HL105" s="30"/>
      <c r="HM105" s="30"/>
      <c r="HN105" s="30"/>
      <c r="HO105" s="30"/>
      <c r="HP105" s="30"/>
      <c r="HQ105" s="30"/>
      <c r="HR105" s="30"/>
      <c r="HS105" s="30"/>
      <c r="HT105" s="30"/>
      <c r="HU105" s="30"/>
      <c r="HV105" s="30"/>
      <c r="HW105" s="30"/>
      <c r="HX105" s="30"/>
      <c r="HY105" s="30"/>
      <c r="HZ105" s="30"/>
      <c r="IA105" s="30"/>
      <c r="IB105" s="30"/>
      <c r="IC105" s="30"/>
      <c r="ID105" s="30"/>
      <c r="IE105" s="30"/>
      <c r="IF105" s="30"/>
      <c r="IG105" s="30"/>
      <c r="IH105" s="30"/>
      <c r="II105" s="30"/>
      <c r="IJ105" s="30"/>
      <c r="IK105" s="30"/>
      <c r="IL105" s="30"/>
      <c r="IM105" s="30"/>
      <c r="IN105" s="30"/>
      <c r="IO105" s="30"/>
      <c r="IP105" s="30"/>
      <c r="IQ105" s="30"/>
      <c r="IR105" s="30"/>
      <c r="IS105" s="30"/>
      <c r="IT105" s="30"/>
      <c r="IU105" s="30"/>
      <c r="IV105" s="30"/>
      <c r="IW105" s="30"/>
      <c r="IX105" s="30"/>
      <c r="IY105" s="30"/>
      <c r="IZ105" s="30"/>
      <c r="JA105" s="30"/>
      <c r="JB105" s="30"/>
      <c r="JC105" s="30"/>
      <c r="JD105" s="30"/>
      <c r="JE105" s="30"/>
      <c r="JF105" s="30"/>
      <c r="JG105" s="30"/>
      <c r="JH105" s="30"/>
      <c r="JI105" s="30"/>
      <c r="JJ105" s="30"/>
      <c r="JK105" s="30"/>
      <c r="JL105" s="30"/>
      <c r="JM105" s="30"/>
      <c r="JN105" s="30"/>
      <c r="JO105" s="30"/>
      <c r="JP105" s="30"/>
      <c r="JQ105" s="30"/>
      <c r="JR105" s="30"/>
      <c r="JS105" s="30"/>
      <c r="JT105" s="30"/>
      <c r="JU105" s="30"/>
      <c r="JV105" s="30"/>
      <c r="JW105" s="30"/>
      <c r="JX105" s="30"/>
      <c r="JY105" s="30"/>
      <c r="JZ105" s="30"/>
      <c r="KA105" s="30"/>
      <c r="KB105" s="30"/>
      <c r="KC105" s="30"/>
      <c r="KD105" s="30"/>
      <c r="KE105" s="30"/>
      <c r="KF105" s="30"/>
      <c r="KG105" s="30"/>
      <c r="KH105" s="30"/>
      <c r="KI105" s="30"/>
      <c r="KJ105" s="30"/>
      <c r="KK105" s="30"/>
      <c r="KL105" s="30"/>
      <c r="KM105" s="30"/>
      <c r="KN105" s="30"/>
      <c r="KO105" s="30"/>
      <c r="KP105" s="30"/>
      <c r="KQ105" s="30"/>
      <c r="KR105" s="30"/>
      <c r="KS105" s="30"/>
      <c r="KT105" s="30"/>
      <c r="KU105" s="30"/>
      <c r="KV105" s="30"/>
      <c r="KW105" s="30"/>
      <c r="KX105" s="30"/>
      <c r="KY105" s="30"/>
      <c r="KZ105" s="30"/>
      <c r="LA105" s="30"/>
      <c r="LB105" s="30"/>
      <c r="LC105" s="30"/>
      <c r="LD105" s="30"/>
      <c r="LE105" s="30"/>
      <c r="LF105" s="30"/>
      <c r="LG105" s="30"/>
      <c r="LH105" s="30"/>
      <c r="LI105" s="30"/>
      <c r="LJ105" s="30"/>
      <c r="LK105" s="30"/>
      <c r="LL105" s="30"/>
      <c r="LM105" s="30"/>
      <c r="LN105" s="30"/>
      <c r="LO105" s="30"/>
      <c r="LP105" s="30"/>
      <c r="LQ105" s="30"/>
      <c r="LR105" s="30"/>
      <c r="LS105" s="30"/>
      <c r="LT105" s="30"/>
      <c r="LU105" s="30"/>
      <c r="LV105" s="30"/>
      <c r="LW105" s="30"/>
      <c r="LX105" s="30"/>
      <c r="LY105" s="30"/>
      <c r="LZ105" s="30"/>
      <c r="MA105" s="30"/>
      <c r="MB105" s="30"/>
      <c r="MC105" s="30"/>
      <c r="MD105" s="30"/>
      <c r="ME105" s="30"/>
      <c r="MF105" s="30"/>
      <c r="MG105" s="30"/>
      <c r="MH105" s="30"/>
      <c r="MI105" s="30"/>
      <c r="MJ105" s="30"/>
      <c r="MK105" s="30"/>
      <c r="ML105" s="30"/>
      <c r="MM105" s="30"/>
      <c r="MN105" s="30"/>
      <c r="MO105" s="30"/>
      <c r="MP105" s="30"/>
      <c r="MQ105" s="30"/>
      <c r="MR105" s="30"/>
      <c r="MS105" s="30"/>
      <c r="MT105" s="30"/>
      <c r="MU105" s="30"/>
      <c r="MV105" s="30"/>
      <c r="MW105" s="30"/>
      <c r="MX105" s="30"/>
      <c r="MY105" s="30"/>
      <c r="MZ105" s="30"/>
      <c r="NA105" s="30"/>
      <c r="NB105" s="30"/>
      <c r="NC105" s="30"/>
      <c r="ND105" s="30"/>
      <c r="NE105" s="30"/>
      <c r="NF105" s="30"/>
      <c r="NG105" s="30"/>
      <c r="NH105" s="30"/>
      <c r="NI105" s="30"/>
      <c r="NJ105" s="30"/>
      <c r="NK105" s="30"/>
      <c r="NL105" s="30"/>
      <c r="NM105" s="30"/>
      <c r="NN105" s="30"/>
      <c r="NO105" s="30"/>
      <c r="NP105" s="30"/>
      <c r="NQ105" s="30"/>
      <c r="NR105" s="30"/>
    </row>
    <row r="106" spans="1:382" s="3" customFormat="1" ht="20.100000000000001" customHeight="1" x14ac:dyDescent="0.4">
      <c r="A106" s="29">
        <v>1</v>
      </c>
      <c r="B106" s="5">
        <v>1993</v>
      </c>
      <c r="C106" s="5" t="s">
        <v>163</v>
      </c>
      <c r="D106" s="5" t="s">
        <v>164</v>
      </c>
      <c r="E106" s="5" t="s">
        <v>18</v>
      </c>
      <c r="F106" s="5" t="s">
        <v>32</v>
      </c>
      <c r="G106" s="5" t="s">
        <v>32</v>
      </c>
      <c r="H106" s="5" t="s">
        <v>32</v>
      </c>
      <c r="I106" s="8"/>
      <c r="J106" s="8"/>
      <c r="K106" s="8" t="str">
        <f>IF(OR(J106="",E106=""),"",J106+IFERROR(VLOOKUP(E106,リードタイム!$A$2:$C$9,3,FALSE),0))</f>
        <v/>
      </c>
      <c r="L106" s="5" t="s">
        <v>530</v>
      </c>
      <c r="M106" s="8"/>
      <c r="N106" s="8" t="str">
        <f>IF(OR(M106="",E106=""),"",M106+IFERROR(VLOOKUP(E106,リードタイム!$A$2:$D$9,4,FALSE),0))</f>
        <v/>
      </c>
      <c r="O106" s="5" t="s">
        <v>530</v>
      </c>
      <c r="P106" s="5" t="s">
        <v>530</v>
      </c>
      <c r="Q106" s="5" t="s">
        <v>165</v>
      </c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  <c r="FS106" s="30"/>
      <c r="FT106" s="30"/>
      <c r="FU106" s="30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30"/>
      <c r="GT106" s="30"/>
      <c r="GU106" s="30"/>
      <c r="GV106" s="30"/>
      <c r="GW106" s="30"/>
      <c r="GX106" s="30"/>
      <c r="GY106" s="30"/>
      <c r="GZ106" s="30"/>
      <c r="HA106" s="30"/>
      <c r="HB106" s="30"/>
      <c r="HC106" s="30"/>
      <c r="HD106" s="30"/>
      <c r="HE106" s="30"/>
      <c r="HF106" s="30"/>
      <c r="HG106" s="30"/>
      <c r="HH106" s="30"/>
      <c r="HI106" s="30"/>
      <c r="HJ106" s="30"/>
      <c r="HK106" s="30"/>
      <c r="HL106" s="30"/>
      <c r="HM106" s="30"/>
      <c r="HN106" s="30"/>
      <c r="HO106" s="30"/>
      <c r="HP106" s="30"/>
      <c r="HQ106" s="30"/>
      <c r="HR106" s="30"/>
      <c r="HS106" s="30"/>
      <c r="HT106" s="30"/>
      <c r="HU106" s="30"/>
      <c r="HV106" s="30"/>
      <c r="HW106" s="30"/>
      <c r="HX106" s="30"/>
      <c r="HY106" s="30"/>
      <c r="HZ106" s="30"/>
      <c r="IA106" s="30"/>
      <c r="IB106" s="30"/>
      <c r="IC106" s="30"/>
      <c r="ID106" s="30"/>
      <c r="IE106" s="30"/>
      <c r="IF106" s="30"/>
      <c r="IG106" s="30"/>
      <c r="IH106" s="30"/>
      <c r="II106" s="30"/>
      <c r="IJ106" s="30"/>
      <c r="IK106" s="30"/>
      <c r="IL106" s="30"/>
      <c r="IM106" s="30"/>
      <c r="IN106" s="30"/>
      <c r="IO106" s="30"/>
      <c r="IP106" s="30"/>
      <c r="IQ106" s="30"/>
      <c r="IR106" s="30"/>
      <c r="IS106" s="30"/>
      <c r="IT106" s="30"/>
      <c r="IU106" s="30"/>
      <c r="IV106" s="30"/>
      <c r="IW106" s="30"/>
      <c r="IX106" s="30"/>
      <c r="IY106" s="30"/>
      <c r="IZ106" s="30"/>
      <c r="JA106" s="30"/>
      <c r="JB106" s="30"/>
      <c r="JC106" s="30"/>
      <c r="JD106" s="30"/>
      <c r="JE106" s="30"/>
      <c r="JF106" s="30"/>
      <c r="JG106" s="30"/>
      <c r="JH106" s="30"/>
      <c r="JI106" s="30"/>
      <c r="JJ106" s="30"/>
      <c r="JK106" s="30"/>
      <c r="JL106" s="30"/>
      <c r="JM106" s="30"/>
      <c r="JN106" s="30"/>
      <c r="JO106" s="30"/>
      <c r="JP106" s="30"/>
      <c r="JQ106" s="30"/>
      <c r="JR106" s="30"/>
      <c r="JS106" s="30"/>
      <c r="JT106" s="30"/>
      <c r="JU106" s="30"/>
      <c r="JV106" s="30"/>
      <c r="JW106" s="30"/>
      <c r="JX106" s="30"/>
      <c r="JY106" s="30"/>
      <c r="JZ106" s="30"/>
      <c r="KA106" s="30"/>
      <c r="KB106" s="30"/>
      <c r="KC106" s="30"/>
      <c r="KD106" s="30"/>
      <c r="KE106" s="30"/>
      <c r="KF106" s="30"/>
      <c r="KG106" s="30"/>
      <c r="KH106" s="30"/>
      <c r="KI106" s="30"/>
      <c r="KJ106" s="30"/>
      <c r="KK106" s="30"/>
      <c r="KL106" s="30"/>
      <c r="KM106" s="30"/>
      <c r="KN106" s="30"/>
      <c r="KO106" s="30"/>
      <c r="KP106" s="30"/>
      <c r="KQ106" s="30"/>
      <c r="KR106" s="30"/>
      <c r="KS106" s="30"/>
      <c r="KT106" s="30"/>
      <c r="KU106" s="30"/>
      <c r="KV106" s="30"/>
      <c r="KW106" s="30"/>
      <c r="KX106" s="30"/>
      <c r="KY106" s="30"/>
      <c r="KZ106" s="30"/>
      <c r="LA106" s="30"/>
      <c r="LB106" s="30"/>
      <c r="LC106" s="30"/>
      <c r="LD106" s="30"/>
      <c r="LE106" s="30"/>
      <c r="LF106" s="30"/>
      <c r="LG106" s="30"/>
      <c r="LH106" s="30"/>
      <c r="LI106" s="30"/>
      <c r="LJ106" s="30"/>
      <c r="LK106" s="30"/>
      <c r="LL106" s="30"/>
      <c r="LM106" s="30"/>
      <c r="LN106" s="30"/>
      <c r="LO106" s="30"/>
      <c r="LP106" s="30"/>
      <c r="LQ106" s="30"/>
      <c r="LR106" s="30"/>
      <c r="LS106" s="30"/>
      <c r="LT106" s="30"/>
      <c r="LU106" s="30"/>
      <c r="LV106" s="30"/>
      <c r="LW106" s="30"/>
      <c r="LX106" s="30"/>
      <c r="LY106" s="30"/>
      <c r="LZ106" s="30"/>
      <c r="MA106" s="30"/>
      <c r="MB106" s="30"/>
      <c r="MC106" s="30"/>
      <c r="MD106" s="30"/>
      <c r="ME106" s="30"/>
      <c r="MF106" s="30"/>
      <c r="MG106" s="30"/>
      <c r="MH106" s="30"/>
      <c r="MI106" s="30"/>
      <c r="MJ106" s="30"/>
      <c r="MK106" s="30"/>
      <c r="ML106" s="30"/>
      <c r="MM106" s="30"/>
      <c r="MN106" s="30"/>
      <c r="MO106" s="30"/>
      <c r="MP106" s="30"/>
      <c r="MQ106" s="30"/>
      <c r="MR106" s="30"/>
      <c r="MS106" s="30"/>
      <c r="MT106" s="30"/>
      <c r="MU106" s="30"/>
      <c r="MV106" s="30"/>
      <c r="MW106" s="30"/>
      <c r="MX106" s="30"/>
      <c r="MY106" s="30"/>
      <c r="MZ106" s="30"/>
      <c r="NA106" s="30"/>
      <c r="NB106" s="30"/>
      <c r="NC106" s="30"/>
      <c r="ND106" s="30"/>
      <c r="NE106" s="30"/>
      <c r="NF106" s="30"/>
      <c r="NG106" s="30"/>
      <c r="NH106" s="30"/>
      <c r="NI106" s="30"/>
      <c r="NJ106" s="30"/>
      <c r="NK106" s="30"/>
      <c r="NL106" s="30"/>
      <c r="NM106" s="30"/>
      <c r="NN106" s="30"/>
      <c r="NO106" s="30"/>
      <c r="NP106" s="30"/>
      <c r="NQ106" s="30"/>
      <c r="NR106" s="30"/>
    </row>
    <row r="107" spans="1:382" s="3" customFormat="1" ht="20.100000000000001" customHeight="1" x14ac:dyDescent="0.4">
      <c r="A107" s="29">
        <v>1</v>
      </c>
      <c r="B107" s="5">
        <v>1994</v>
      </c>
      <c r="C107" s="5" t="s">
        <v>166</v>
      </c>
      <c r="D107" s="5" t="s">
        <v>164</v>
      </c>
      <c r="E107" s="5" t="s">
        <v>18</v>
      </c>
      <c r="F107" s="5" t="s">
        <v>32</v>
      </c>
      <c r="G107" s="5" t="s">
        <v>32</v>
      </c>
      <c r="H107" s="5" t="s">
        <v>32</v>
      </c>
      <c r="I107" s="8"/>
      <c r="J107" s="8"/>
      <c r="K107" s="8" t="str">
        <f>IF(OR(J107="",E107=""),"",J107+IFERROR(VLOOKUP(E107,リードタイム!$A$2:$C$9,3,FALSE),0))</f>
        <v/>
      </c>
      <c r="L107" s="5" t="s">
        <v>530</v>
      </c>
      <c r="M107" s="8"/>
      <c r="N107" s="8" t="str">
        <f>IF(OR(M107="",E107=""),"",M107+IFERROR(VLOOKUP(E107,リードタイム!$A$2:$D$9,4,FALSE),0))</f>
        <v/>
      </c>
      <c r="O107" s="5" t="s">
        <v>530</v>
      </c>
      <c r="P107" s="5" t="s">
        <v>530</v>
      </c>
      <c r="Q107" s="5" t="s">
        <v>165</v>
      </c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  <c r="FS107" s="30"/>
      <c r="FT107" s="30"/>
      <c r="FU107" s="30"/>
      <c r="FV107" s="30"/>
      <c r="FW107" s="30"/>
      <c r="FX107" s="30"/>
      <c r="FY107" s="30"/>
      <c r="FZ107" s="30"/>
      <c r="GA107" s="30"/>
      <c r="GB107" s="30"/>
      <c r="GC107" s="30"/>
      <c r="GD107" s="30"/>
      <c r="GE107" s="30"/>
      <c r="GF107" s="30"/>
      <c r="GG107" s="30"/>
      <c r="GH107" s="30"/>
      <c r="GI107" s="30"/>
      <c r="GJ107" s="30"/>
      <c r="GK107" s="30"/>
      <c r="GL107" s="30"/>
      <c r="GM107" s="30"/>
      <c r="GN107" s="30"/>
      <c r="GO107" s="30"/>
      <c r="GP107" s="30"/>
      <c r="GQ107" s="30"/>
      <c r="GR107" s="30"/>
      <c r="GS107" s="30"/>
      <c r="GT107" s="30"/>
      <c r="GU107" s="30"/>
      <c r="GV107" s="30"/>
      <c r="GW107" s="30"/>
      <c r="GX107" s="30"/>
      <c r="GY107" s="30"/>
      <c r="GZ107" s="30"/>
      <c r="HA107" s="30"/>
      <c r="HB107" s="30"/>
      <c r="HC107" s="30"/>
      <c r="HD107" s="30"/>
      <c r="HE107" s="30"/>
      <c r="HF107" s="30"/>
      <c r="HG107" s="30"/>
      <c r="HH107" s="30"/>
      <c r="HI107" s="30"/>
      <c r="HJ107" s="30"/>
      <c r="HK107" s="30"/>
      <c r="HL107" s="30"/>
      <c r="HM107" s="30"/>
      <c r="HN107" s="30"/>
      <c r="HO107" s="30"/>
      <c r="HP107" s="30"/>
      <c r="HQ107" s="30"/>
      <c r="HR107" s="30"/>
      <c r="HS107" s="30"/>
      <c r="HT107" s="30"/>
      <c r="HU107" s="30"/>
      <c r="HV107" s="30"/>
      <c r="HW107" s="30"/>
      <c r="HX107" s="30"/>
      <c r="HY107" s="30"/>
      <c r="HZ107" s="30"/>
      <c r="IA107" s="30"/>
      <c r="IB107" s="30"/>
      <c r="IC107" s="30"/>
      <c r="ID107" s="30"/>
      <c r="IE107" s="30"/>
      <c r="IF107" s="30"/>
      <c r="IG107" s="30"/>
      <c r="IH107" s="30"/>
      <c r="II107" s="30"/>
      <c r="IJ107" s="30"/>
      <c r="IK107" s="30"/>
      <c r="IL107" s="30"/>
      <c r="IM107" s="30"/>
      <c r="IN107" s="30"/>
      <c r="IO107" s="30"/>
      <c r="IP107" s="30"/>
      <c r="IQ107" s="30"/>
      <c r="IR107" s="30"/>
      <c r="IS107" s="30"/>
      <c r="IT107" s="30"/>
      <c r="IU107" s="30"/>
      <c r="IV107" s="30"/>
      <c r="IW107" s="30"/>
      <c r="IX107" s="30"/>
      <c r="IY107" s="30"/>
      <c r="IZ107" s="30"/>
      <c r="JA107" s="30"/>
      <c r="JB107" s="30"/>
      <c r="JC107" s="30"/>
      <c r="JD107" s="30"/>
      <c r="JE107" s="30"/>
      <c r="JF107" s="30"/>
      <c r="JG107" s="30"/>
      <c r="JH107" s="30"/>
      <c r="JI107" s="30"/>
      <c r="JJ107" s="30"/>
      <c r="JK107" s="30"/>
      <c r="JL107" s="30"/>
      <c r="JM107" s="30"/>
      <c r="JN107" s="30"/>
      <c r="JO107" s="30"/>
      <c r="JP107" s="30"/>
      <c r="JQ107" s="30"/>
      <c r="JR107" s="30"/>
      <c r="JS107" s="30"/>
      <c r="JT107" s="30"/>
      <c r="JU107" s="30"/>
      <c r="JV107" s="30"/>
      <c r="JW107" s="30"/>
      <c r="JX107" s="30"/>
      <c r="JY107" s="30"/>
      <c r="JZ107" s="30"/>
      <c r="KA107" s="30"/>
      <c r="KB107" s="30"/>
      <c r="KC107" s="30"/>
      <c r="KD107" s="30"/>
      <c r="KE107" s="30"/>
      <c r="KF107" s="30"/>
      <c r="KG107" s="30"/>
      <c r="KH107" s="30"/>
      <c r="KI107" s="30"/>
      <c r="KJ107" s="30"/>
      <c r="KK107" s="30"/>
      <c r="KL107" s="30"/>
      <c r="KM107" s="30"/>
      <c r="KN107" s="30"/>
      <c r="KO107" s="30"/>
      <c r="KP107" s="30"/>
      <c r="KQ107" s="30"/>
      <c r="KR107" s="30"/>
      <c r="KS107" s="30"/>
      <c r="KT107" s="30"/>
      <c r="KU107" s="30"/>
      <c r="KV107" s="30"/>
      <c r="KW107" s="30"/>
      <c r="KX107" s="30"/>
      <c r="KY107" s="30"/>
      <c r="KZ107" s="30"/>
      <c r="LA107" s="30"/>
      <c r="LB107" s="30"/>
      <c r="LC107" s="30"/>
      <c r="LD107" s="30"/>
      <c r="LE107" s="30"/>
      <c r="LF107" s="30"/>
      <c r="LG107" s="30"/>
      <c r="LH107" s="30"/>
      <c r="LI107" s="30"/>
      <c r="LJ107" s="30"/>
      <c r="LK107" s="30"/>
      <c r="LL107" s="30"/>
      <c r="LM107" s="30"/>
      <c r="LN107" s="30"/>
      <c r="LO107" s="30"/>
      <c r="LP107" s="30"/>
      <c r="LQ107" s="30"/>
      <c r="LR107" s="30"/>
      <c r="LS107" s="30"/>
      <c r="LT107" s="30"/>
      <c r="LU107" s="30"/>
      <c r="LV107" s="30"/>
      <c r="LW107" s="30"/>
      <c r="LX107" s="30"/>
      <c r="LY107" s="30"/>
      <c r="LZ107" s="30"/>
      <c r="MA107" s="30"/>
      <c r="MB107" s="30"/>
      <c r="MC107" s="30"/>
      <c r="MD107" s="30"/>
      <c r="ME107" s="30"/>
      <c r="MF107" s="30"/>
      <c r="MG107" s="30"/>
      <c r="MH107" s="30"/>
      <c r="MI107" s="30"/>
      <c r="MJ107" s="30"/>
      <c r="MK107" s="30"/>
      <c r="ML107" s="30"/>
      <c r="MM107" s="30"/>
      <c r="MN107" s="30"/>
      <c r="MO107" s="30"/>
      <c r="MP107" s="30"/>
      <c r="MQ107" s="30"/>
      <c r="MR107" s="30"/>
      <c r="MS107" s="30"/>
      <c r="MT107" s="30"/>
      <c r="MU107" s="30"/>
      <c r="MV107" s="30"/>
      <c r="MW107" s="30"/>
      <c r="MX107" s="30"/>
      <c r="MY107" s="30"/>
      <c r="MZ107" s="30"/>
      <c r="NA107" s="30"/>
      <c r="NB107" s="30"/>
      <c r="NC107" s="30"/>
      <c r="ND107" s="30"/>
      <c r="NE107" s="30"/>
      <c r="NF107" s="30"/>
      <c r="NG107" s="30"/>
      <c r="NH107" s="30"/>
      <c r="NI107" s="30"/>
      <c r="NJ107" s="30"/>
      <c r="NK107" s="30"/>
      <c r="NL107" s="30"/>
      <c r="NM107" s="30"/>
      <c r="NN107" s="30"/>
      <c r="NO107" s="30"/>
      <c r="NP107" s="30"/>
      <c r="NQ107" s="30"/>
      <c r="NR107" s="30"/>
    </row>
    <row r="108" spans="1:382" s="3" customFormat="1" ht="20.100000000000001" customHeight="1" x14ac:dyDescent="0.4">
      <c r="A108" s="29">
        <v>1</v>
      </c>
      <c r="B108" s="5">
        <v>1883</v>
      </c>
      <c r="C108" s="5" t="s">
        <v>167</v>
      </c>
      <c r="D108" s="5" t="s">
        <v>168</v>
      </c>
      <c r="E108" s="5" t="s">
        <v>10</v>
      </c>
      <c r="F108" s="5" t="s">
        <v>32</v>
      </c>
      <c r="G108" s="5" t="s">
        <v>32</v>
      </c>
      <c r="H108" s="5" t="s">
        <v>32</v>
      </c>
      <c r="I108" s="8">
        <v>45687.625</v>
      </c>
      <c r="J108" s="8"/>
      <c r="K108" s="8" t="str">
        <f>IF(OR(J108="",E108=""),"",J108+IFERROR(VLOOKUP(E108,リードタイム!$A$2:$C$9,3,FALSE),0))</f>
        <v/>
      </c>
      <c r="L108" s="5" t="s">
        <v>531</v>
      </c>
      <c r="M108" s="8"/>
      <c r="N108" s="8" t="str">
        <f>IF(OR(M108="",E108=""),"",M108+IFERROR(VLOOKUP(E108,リードタイム!$A$2:$D$9,4,FALSE),0))</f>
        <v/>
      </c>
      <c r="O108" s="5" t="s">
        <v>531</v>
      </c>
      <c r="P108" s="5" t="s">
        <v>533</v>
      </c>
      <c r="Q108" s="5" t="s">
        <v>169</v>
      </c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  <c r="FS108" s="30"/>
      <c r="FT108" s="30"/>
      <c r="FU108" s="30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0"/>
      <c r="GS108" s="30"/>
      <c r="GT108" s="30"/>
      <c r="GU108" s="30"/>
      <c r="GV108" s="30"/>
      <c r="GW108" s="30"/>
      <c r="GX108" s="30"/>
      <c r="GY108" s="30"/>
      <c r="GZ108" s="30"/>
      <c r="HA108" s="30"/>
      <c r="HB108" s="30"/>
      <c r="HC108" s="30"/>
      <c r="HD108" s="30"/>
      <c r="HE108" s="30"/>
      <c r="HF108" s="30"/>
      <c r="HG108" s="30"/>
      <c r="HH108" s="30"/>
      <c r="HI108" s="30"/>
      <c r="HJ108" s="30"/>
      <c r="HK108" s="30"/>
      <c r="HL108" s="30"/>
      <c r="HM108" s="30"/>
      <c r="HN108" s="30"/>
      <c r="HO108" s="30"/>
      <c r="HP108" s="30"/>
      <c r="HQ108" s="30"/>
      <c r="HR108" s="30"/>
      <c r="HS108" s="30"/>
      <c r="HT108" s="30"/>
      <c r="HU108" s="30"/>
      <c r="HV108" s="30"/>
      <c r="HW108" s="30"/>
      <c r="HX108" s="30"/>
      <c r="HY108" s="30"/>
      <c r="HZ108" s="30"/>
      <c r="IA108" s="30"/>
      <c r="IB108" s="30"/>
      <c r="IC108" s="30"/>
      <c r="ID108" s="30"/>
      <c r="IE108" s="30"/>
      <c r="IF108" s="30"/>
      <c r="IG108" s="30"/>
      <c r="IH108" s="30"/>
      <c r="II108" s="30"/>
      <c r="IJ108" s="30"/>
      <c r="IK108" s="30"/>
      <c r="IL108" s="30"/>
      <c r="IM108" s="30"/>
      <c r="IN108" s="30"/>
      <c r="IO108" s="30"/>
      <c r="IP108" s="30"/>
      <c r="IQ108" s="30"/>
      <c r="IR108" s="30"/>
      <c r="IS108" s="30"/>
      <c r="IT108" s="30"/>
      <c r="IU108" s="30"/>
      <c r="IV108" s="30"/>
      <c r="IW108" s="30"/>
      <c r="IX108" s="30"/>
      <c r="IY108" s="30"/>
      <c r="IZ108" s="30"/>
      <c r="JA108" s="30"/>
      <c r="JB108" s="30"/>
      <c r="JC108" s="30"/>
      <c r="JD108" s="30"/>
      <c r="JE108" s="30"/>
      <c r="JF108" s="30"/>
      <c r="JG108" s="30"/>
      <c r="JH108" s="30"/>
      <c r="JI108" s="30"/>
      <c r="JJ108" s="30"/>
      <c r="JK108" s="30"/>
      <c r="JL108" s="30"/>
      <c r="JM108" s="30"/>
      <c r="JN108" s="30"/>
      <c r="JO108" s="30"/>
      <c r="JP108" s="30"/>
      <c r="JQ108" s="30"/>
      <c r="JR108" s="30"/>
      <c r="JS108" s="30"/>
      <c r="JT108" s="30"/>
      <c r="JU108" s="30"/>
      <c r="JV108" s="30"/>
      <c r="JW108" s="30"/>
      <c r="JX108" s="30"/>
      <c r="JY108" s="30"/>
      <c r="JZ108" s="30"/>
      <c r="KA108" s="30"/>
      <c r="KB108" s="30"/>
      <c r="KC108" s="30"/>
      <c r="KD108" s="30"/>
      <c r="KE108" s="30"/>
      <c r="KF108" s="30"/>
      <c r="KG108" s="30"/>
      <c r="KH108" s="30"/>
      <c r="KI108" s="30"/>
      <c r="KJ108" s="30"/>
      <c r="KK108" s="30"/>
      <c r="KL108" s="30"/>
      <c r="KM108" s="30"/>
      <c r="KN108" s="30"/>
      <c r="KO108" s="30"/>
      <c r="KP108" s="30"/>
      <c r="KQ108" s="30"/>
      <c r="KR108" s="30"/>
      <c r="KS108" s="30"/>
      <c r="KT108" s="30"/>
      <c r="KU108" s="30"/>
      <c r="KV108" s="30"/>
      <c r="KW108" s="30"/>
      <c r="KX108" s="30"/>
      <c r="KY108" s="30"/>
      <c r="KZ108" s="30"/>
      <c r="LA108" s="30"/>
      <c r="LB108" s="30"/>
      <c r="LC108" s="30"/>
      <c r="LD108" s="30"/>
      <c r="LE108" s="30"/>
      <c r="LF108" s="30"/>
      <c r="LG108" s="30"/>
      <c r="LH108" s="30"/>
      <c r="LI108" s="30"/>
      <c r="LJ108" s="30"/>
      <c r="LK108" s="30"/>
      <c r="LL108" s="30"/>
      <c r="LM108" s="30"/>
      <c r="LN108" s="30"/>
      <c r="LO108" s="30"/>
      <c r="LP108" s="30"/>
      <c r="LQ108" s="30"/>
      <c r="LR108" s="30"/>
      <c r="LS108" s="30"/>
      <c r="LT108" s="30"/>
      <c r="LU108" s="30"/>
      <c r="LV108" s="30"/>
      <c r="LW108" s="30"/>
      <c r="LX108" s="30"/>
      <c r="LY108" s="30"/>
      <c r="LZ108" s="30"/>
      <c r="MA108" s="30"/>
      <c r="MB108" s="30"/>
      <c r="MC108" s="30"/>
      <c r="MD108" s="30"/>
      <c r="ME108" s="30"/>
      <c r="MF108" s="30"/>
      <c r="MG108" s="30"/>
      <c r="MH108" s="30"/>
      <c r="MI108" s="30"/>
      <c r="MJ108" s="30"/>
      <c r="MK108" s="30"/>
      <c r="ML108" s="30"/>
      <c r="MM108" s="30"/>
      <c r="MN108" s="30"/>
      <c r="MO108" s="30"/>
      <c r="MP108" s="30"/>
      <c r="MQ108" s="30"/>
      <c r="MR108" s="30"/>
      <c r="MS108" s="30"/>
      <c r="MT108" s="30"/>
      <c r="MU108" s="30"/>
      <c r="MV108" s="30"/>
      <c r="MW108" s="30"/>
      <c r="MX108" s="30"/>
      <c r="MY108" s="30"/>
      <c r="MZ108" s="30"/>
      <c r="NA108" s="30"/>
      <c r="NB108" s="30"/>
      <c r="NC108" s="30"/>
      <c r="ND108" s="30"/>
      <c r="NE108" s="30"/>
      <c r="NF108" s="30"/>
      <c r="NG108" s="30"/>
      <c r="NH108" s="30"/>
      <c r="NI108" s="30"/>
      <c r="NJ108" s="30"/>
      <c r="NK108" s="30"/>
      <c r="NL108" s="30"/>
      <c r="NM108" s="30"/>
      <c r="NN108" s="30"/>
      <c r="NO108" s="30"/>
      <c r="NP108" s="30"/>
      <c r="NQ108" s="30"/>
      <c r="NR108" s="30"/>
    </row>
    <row r="109" spans="1:382" s="3" customFormat="1" ht="20.100000000000001" customHeight="1" x14ac:dyDescent="0.4">
      <c r="A109" s="29">
        <v>2</v>
      </c>
      <c r="B109" s="5">
        <v>1884</v>
      </c>
      <c r="C109" s="5" t="s">
        <v>167</v>
      </c>
      <c r="D109" s="5" t="s">
        <v>168</v>
      </c>
      <c r="E109" s="5" t="s">
        <v>10</v>
      </c>
      <c r="F109" s="5" t="s">
        <v>32</v>
      </c>
      <c r="G109" s="5" t="s">
        <v>32</v>
      </c>
      <c r="H109" s="5" t="s">
        <v>32</v>
      </c>
      <c r="I109" s="8">
        <v>45687.625</v>
      </c>
      <c r="J109" s="8"/>
      <c r="K109" s="8" t="str">
        <f>IF(OR(J109="",E109=""),"",J109+IFERROR(VLOOKUP(E109,リードタイム!$A$2:$C$9,3,FALSE),0))</f>
        <v/>
      </c>
      <c r="L109" s="5" t="s">
        <v>531</v>
      </c>
      <c r="M109" s="8"/>
      <c r="N109" s="8" t="str">
        <f>IF(OR(M109="",E109=""),"",M109+IFERROR(VLOOKUP(E109,リードタイム!$A$2:$D$9,4,FALSE),0))</f>
        <v/>
      </c>
      <c r="O109" s="5" t="s">
        <v>531</v>
      </c>
      <c r="P109" s="5" t="s">
        <v>532</v>
      </c>
      <c r="Q109" s="5" t="s">
        <v>170</v>
      </c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  <c r="FS109" s="30"/>
      <c r="FT109" s="30"/>
      <c r="FU109" s="30"/>
      <c r="FV109" s="30"/>
      <c r="FW109" s="30"/>
      <c r="FX109" s="30"/>
      <c r="FY109" s="30"/>
      <c r="FZ109" s="30"/>
      <c r="GA109" s="30"/>
      <c r="GB109" s="30"/>
      <c r="GC109" s="30"/>
      <c r="GD109" s="30"/>
      <c r="GE109" s="30"/>
      <c r="GF109" s="30"/>
      <c r="GG109" s="30"/>
      <c r="GH109" s="30"/>
      <c r="GI109" s="30"/>
      <c r="GJ109" s="30"/>
      <c r="GK109" s="30"/>
      <c r="GL109" s="30"/>
      <c r="GM109" s="30"/>
      <c r="GN109" s="30"/>
      <c r="GO109" s="30"/>
      <c r="GP109" s="30"/>
      <c r="GQ109" s="30"/>
      <c r="GR109" s="30"/>
      <c r="GS109" s="30"/>
      <c r="GT109" s="30"/>
      <c r="GU109" s="30"/>
      <c r="GV109" s="30"/>
      <c r="GW109" s="30"/>
      <c r="GX109" s="30"/>
      <c r="GY109" s="30"/>
      <c r="GZ109" s="30"/>
      <c r="HA109" s="30"/>
      <c r="HB109" s="30"/>
      <c r="HC109" s="30"/>
      <c r="HD109" s="30"/>
      <c r="HE109" s="30"/>
      <c r="HF109" s="30"/>
      <c r="HG109" s="30"/>
      <c r="HH109" s="30"/>
      <c r="HI109" s="30"/>
      <c r="HJ109" s="30"/>
      <c r="HK109" s="30"/>
      <c r="HL109" s="30"/>
      <c r="HM109" s="30"/>
      <c r="HN109" s="30"/>
      <c r="HO109" s="30"/>
      <c r="HP109" s="30"/>
      <c r="HQ109" s="30"/>
      <c r="HR109" s="30"/>
      <c r="HS109" s="30"/>
      <c r="HT109" s="30"/>
      <c r="HU109" s="30"/>
      <c r="HV109" s="30"/>
      <c r="HW109" s="30"/>
      <c r="HX109" s="30"/>
      <c r="HY109" s="30"/>
      <c r="HZ109" s="30"/>
      <c r="IA109" s="30"/>
      <c r="IB109" s="30"/>
      <c r="IC109" s="30"/>
      <c r="ID109" s="30"/>
      <c r="IE109" s="30"/>
      <c r="IF109" s="30"/>
      <c r="IG109" s="30"/>
      <c r="IH109" s="30"/>
      <c r="II109" s="30"/>
      <c r="IJ109" s="30"/>
      <c r="IK109" s="30"/>
      <c r="IL109" s="30"/>
      <c r="IM109" s="30"/>
      <c r="IN109" s="30"/>
      <c r="IO109" s="30"/>
      <c r="IP109" s="30"/>
      <c r="IQ109" s="30"/>
      <c r="IR109" s="30"/>
      <c r="IS109" s="30"/>
      <c r="IT109" s="30"/>
      <c r="IU109" s="30"/>
      <c r="IV109" s="30"/>
      <c r="IW109" s="30"/>
      <c r="IX109" s="30"/>
      <c r="IY109" s="30"/>
      <c r="IZ109" s="30"/>
      <c r="JA109" s="30"/>
      <c r="JB109" s="30"/>
      <c r="JC109" s="30"/>
      <c r="JD109" s="30"/>
      <c r="JE109" s="30"/>
      <c r="JF109" s="30"/>
      <c r="JG109" s="30"/>
      <c r="JH109" s="30"/>
      <c r="JI109" s="30"/>
      <c r="JJ109" s="30"/>
      <c r="JK109" s="30"/>
      <c r="JL109" s="30"/>
      <c r="JM109" s="30"/>
      <c r="JN109" s="30"/>
      <c r="JO109" s="30"/>
      <c r="JP109" s="30"/>
      <c r="JQ109" s="30"/>
      <c r="JR109" s="30"/>
      <c r="JS109" s="30"/>
      <c r="JT109" s="30"/>
      <c r="JU109" s="30"/>
      <c r="JV109" s="30"/>
      <c r="JW109" s="30"/>
      <c r="JX109" s="30"/>
      <c r="JY109" s="30"/>
      <c r="JZ109" s="30"/>
      <c r="KA109" s="30"/>
      <c r="KB109" s="30"/>
      <c r="KC109" s="30"/>
      <c r="KD109" s="30"/>
      <c r="KE109" s="30"/>
      <c r="KF109" s="30"/>
      <c r="KG109" s="30"/>
      <c r="KH109" s="30"/>
      <c r="KI109" s="30"/>
      <c r="KJ109" s="30"/>
      <c r="KK109" s="30"/>
      <c r="KL109" s="30"/>
      <c r="KM109" s="30"/>
      <c r="KN109" s="30"/>
      <c r="KO109" s="30"/>
      <c r="KP109" s="30"/>
      <c r="KQ109" s="30"/>
      <c r="KR109" s="30"/>
      <c r="KS109" s="30"/>
      <c r="KT109" s="30"/>
      <c r="KU109" s="30"/>
      <c r="KV109" s="30"/>
      <c r="KW109" s="30"/>
      <c r="KX109" s="30"/>
      <c r="KY109" s="30"/>
      <c r="KZ109" s="30"/>
      <c r="LA109" s="30"/>
      <c r="LB109" s="30"/>
      <c r="LC109" s="30"/>
      <c r="LD109" s="30"/>
      <c r="LE109" s="30"/>
      <c r="LF109" s="30"/>
      <c r="LG109" s="30"/>
      <c r="LH109" s="30"/>
      <c r="LI109" s="30"/>
      <c r="LJ109" s="30"/>
      <c r="LK109" s="30"/>
      <c r="LL109" s="30"/>
      <c r="LM109" s="30"/>
      <c r="LN109" s="30"/>
      <c r="LO109" s="30"/>
      <c r="LP109" s="30"/>
      <c r="LQ109" s="30"/>
      <c r="LR109" s="30"/>
      <c r="LS109" s="30"/>
      <c r="LT109" s="30"/>
      <c r="LU109" s="30"/>
      <c r="LV109" s="30"/>
      <c r="LW109" s="30"/>
      <c r="LX109" s="30"/>
      <c r="LY109" s="30"/>
      <c r="LZ109" s="30"/>
      <c r="MA109" s="30"/>
      <c r="MB109" s="30"/>
      <c r="MC109" s="30"/>
      <c r="MD109" s="30"/>
      <c r="ME109" s="30"/>
      <c r="MF109" s="30"/>
      <c r="MG109" s="30"/>
      <c r="MH109" s="30"/>
      <c r="MI109" s="30"/>
      <c r="MJ109" s="30"/>
      <c r="MK109" s="30"/>
      <c r="ML109" s="30"/>
      <c r="MM109" s="30"/>
      <c r="MN109" s="30"/>
      <c r="MO109" s="30"/>
      <c r="MP109" s="30"/>
      <c r="MQ109" s="30"/>
      <c r="MR109" s="30"/>
      <c r="MS109" s="30"/>
      <c r="MT109" s="30"/>
      <c r="MU109" s="30"/>
      <c r="MV109" s="30"/>
      <c r="MW109" s="30"/>
      <c r="MX109" s="30"/>
      <c r="MY109" s="30"/>
      <c r="MZ109" s="30"/>
      <c r="NA109" s="30"/>
      <c r="NB109" s="30"/>
      <c r="NC109" s="30"/>
      <c r="ND109" s="30"/>
      <c r="NE109" s="30"/>
      <c r="NF109" s="30"/>
      <c r="NG109" s="30"/>
      <c r="NH109" s="30"/>
      <c r="NI109" s="30"/>
      <c r="NJ109" s="30"/>
      <c r="NK109" s="30"/>
      <c r="NL109" s="30"/>
      <c r="NM109" s="30"/>
      <c r="NN109" s="30"/>
      <c r="NO109" s="30"/>
      <c r="NP109" s="30"/>
      <c r="NQ109" s="30"/>
      <c r="NR109" s="30"/>
    </row>
    <row r="110" spans="1:382" s="3" customFormat="1" ht="20.100000000000001" customHeight="1" x14ac:dyDescent="0.4">
      <c r="A110" s="29">
        <v>3</v>
      </c>
      <c r="B110" s="5">
        <v>1936</v>
      </c>
      <c r="C110" s="5" t="s">
        <v>167</v>
      </c>
      <c r="D110" s="5" t="s">
        <v>168</v>
      </c>
      <c r="E110" s="5" t="s">
        <v>10</v>
      </c>
      <c r="F110" s="5" t="s">
        <v>32</v>
      </c>
      <c r="G110" s="5" t="s">
        <v>32</v>
      </c>
      <c r="H110" s="5" t="s">
        <v>32</v>
      </c>
      <c r="I110" s="8">
        <v>45687.625</v>
      </c>
      <c r="J110" s="8"/>
      <c r="K110" s="8" t="str">
        <f>IF(OR(J110="",E110=""),"",J110+IFERROR(VLOOKUP(E110,リードタイム!$A$2:$C$9,3,FALSE),0))</f>
        <v/>
      </c>
      <c r="L110" s="5" t="s">
        <v>531</v>
      </c>
      <c r="M110" s="8"/>
      <c r="N110" s="8" t="str">
        <f>IF(OR(M110="",E110=""),"",M110+IFERROR(VLOOKUP(E110,リードタイム!$A$2:$D$9,4,FALSE),0))</f>
        <v/>
      </c>
      <c r="O110" s="5" t="s">
        <v>531</v>
      </c>
      <c r="P110" s="5" t="s">
        <v>532</v>
      </c>
      <c r="Q110" s="5" t="s">
        <v>171</v>
      </c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  <c r="FS110" s="30"/>
      <c r="FT110" s="30"/>
      <c r="FU110" s="30"/>
      <c r="FV110" s="30"/>
      <c r="FW110" s="30"/>
      <c r="FX110" s="30"/>
      <c r="FY110" s="30"/>
      <c r="FZ110" s="30"/>
      <c r="GA110" s="30"/>
      <c r="GB110" s="30"/>
      <c r="GC110" s="30"/>
      <c r="GD110" s="30"/>
      <c r="GE110" s="30"/>
      <c r="GF110" s="30"/>
      <c r="GG110" s="30"/>
      <c r="GH110" s="30"/>
      <c r="GI110" s="30"/>
      <c r="GJ110" s="30"/>
      <c r="GK110" s="30"/>
      <c r="GL110" s="30"/>
      <c r="GM110" s="30"/>
      <c r="GN110" s="30"/>
      <c r="GO110" s="30"/>
      <c r="GP110" s="30"/>
      <c r="GQ110" s="30"/>
      <c r="GR110" s="30"/>
      <c r="GS110" s="30"/>
      <c r="GT110" s="30"/>
      <c r="GU110" s="30"/>
      <c r="GV110" s="30"/>
      <c r="GW110" s="30"/>
      <c r="GX110" s="30"/>
      <c r="GY110" s="30"/>
      <c r="GZ110" s="30"/>
      <c r="HA110" s="30"/>
      <c r="HB110" s="30"/>
      <c r="HC110" s="30"/>
      <c r="HD110" s="30"/>
      <c r="HE110" s="30"/>
      <c r="HF110" s="30"/>
      <c r="HG110" s="30"/>
      <c r="HH110" s="30"/>
      <c r="HI110" s="30"/>
      <c r="HJ110" s="30"/>
      <c r="HK110" s="30"/>
      <c r="HL110" s="30"/>
      <c r="HM110" s="30"/>
      <c r="HN110" s="30"/>
      <c r="HO110" s="30"/>
      <c r="HP110" s="30"/>
      <c r="HQ110" s="30"/>
      <c r="HR110" s="30"/>
      <c r="HS110" s="30"/>
      <c r="HT110" s="30"/>
      <c r="HU110" s="30"/>
      <c r="HV110" s="30"/>
      <c r="HW110" s="30"/>
      <c r="HX110" s="30"/>
      <c r="HY110" s="30"/>
      <c r="HZ110" s="30"/>
      <c r="IA110" s="30"/>
      <c r="IB110" s="30"/>
      <c r="IC110" s="30"/>
      <c r="ID110" s="30"/>
      <c r="IE110" s="30"/>
      <c r="IF110" s="30"/>
      <c r="IG110" s="30"/>
      <c r="IH110" s="30"/>
      <c r="II110" s="30"/>
      <c r="IJ110" s="30"/>
      <c r="IK110" s="30"/>
      <c r="IL110" s="30"/>
      <c r="IM110" s="30"/>
      <c r="IN110" s="30"/>
      <c r="IO110" s="30"/>
      <c r="IP110" s="30"/>
      <c r="IQ110" s="30"/>
      <c r="IR110" s="30"/>
      <c r="IS110" s="30"/>
      <c r="IT110" s="30"/>
      <c r="IU110" s="30"/>
      <c r="IV110" s="30"/>
      <c r="IW110" s="30"/>
      <c r="IX110" s="30"/>
      <c r="IY110" s="30"/>
      <c r="IZ110" s="30"/>
      <c r="JA110" s="30"/>
      <c r="JB110" s="30"/>
      <c r="JC110" s="30"/>
      <c r="JD110" s="30"/>
      <c r="JE110" s="30"/>
      <c r="JF110" s="30"/>
      <c r="JG110" s="30"/>
      <c r="JH110" s="30"/>
      <c r="JI110" s="30"/>
      <c r="JJ110" s="30"/>
      <c r="JK110" s="30"/>
      <c r="JL110" s="30"/>
      <c r="JM110" s="30"/>
      <c r="JN110" s="30"/>
      <c r="JO110" s="30"/>
      <c r="JP110" s="30"/>
      <c r="JQ110" s="30"/>
      <c r="JR110" s="30"/>
      <c r="JS110" s="30"/>
      <c r="JT110" s="30"/>
      <c r="JU110" s="30"/>
      <c r="JV110" s="30"/>
      <c r="JW110" s="30"/>
      <c r="JX110" s="30"/>
      <c r="JY110" s="30"/>
      <c r="JZ110" s="30"/>
      <c r="KA110" s="30"/>
      <c r="KB110" s="30"/>
      <c r="KC110" s="30"/>
      <c r="KD110" s="30"/>
      <c r="KE110" s="30"/>
      <c r="KF110" s="30"/>
      <c r="KG110" s="30"/>
      <c r="KH110" s="30"/>
      <c r="KI110" s="30"/>
      <c r="KJ110" s="30"/>
      <c r="KK110" s="30"/>
      <c r="KL110" s="30"/>
      <c r="KM110" s="30"/>
      <c r="KN110" s="30"/>
      <c r="KO110" s="30"/>
      <c r="KP110" s="30"/>
      <c r="KQ110" s="30"/>
      <c r="KR110" s="30"/>
      <c r="KS110" s="30"/>
      <c r="KT110" s="30"/>
      <c r="KU110" s="30"/>
      <c r="KV110" s="30"/>
      <c r="KW110" s="30"/>
      <c r="KX110" s="30"/>
      <c r="KY110" s="30"/>
      <c r="KZ110" s="30"/>
      <c r="LA110" s="30"/>
      <c r="LB110" s="30"/>
      <c r="LC110" s="30"/>
      <c r="LD110" s="30"/>
      <c r="LE110" s="30"/>
      <c r="LF110" s="30"/>
      <c r="LG110" s="30"/>
      <c r="LH110" s="30"/>
      <c r="LI110" s="30"/>
      <c r="LJ110" s="30"/>
      <c r="LK110" s="30"/>
      <c r="LL110" s="30"/>
      <c r="LM110" s="30"/>
      <c r="LN110" s="30"/>
      <c r="LO110" s="30"/>
      <c r="LP110" s="30"/>
      <c r="LQ110" s="30"/>
      <c r="LR110" s="30"/>
      <c r="LS110" s="30"/>
      <c r="LT110" s="30"/>
      <c r="LU110" s="30"/>
      <c r="LV110" s="30"/>
      <c r="LW110" s="30"/>
      <c r="LX110" s="30"/>
      <c r="LY110" s="30"/>
      <c r="LZ110" s="30"/>
      <c r="MA110" s="30"/>
      <c r="MB110" s="30"/>
      <c r="MC110" s="30"/>
      <c r="MD110" s="30"/>
      <c r="ME110" s="30"/>
      <c r="MF110" s="30"/>
      <c r="MG110" s="30"/>
      <c r="MH110" s="30"/>
      <c r="MI110" s="30"/>
      <c r="MJ110" s="30"/>
      <c r="MK110" s="30"/>
      <c r="ML110" s="30"/>
      <c r="MM110" s="30"/>
      <c r="MN110" s="30"/>
      <c r="MO110" s="30"/>
      <c r="MP110" s="30"/>
      <c r="MQ110" s="30"/>
      <c r="MR110" s="30"/>
      <c r="MS110" s="30"/>
      <c r="MT110" s="30"/>
      <c r="MU110" s="30"/>
      <c r="MV110" s="30"/>
      <c r="MW110" s="30"/>
      <c r="MX110" s="30"/>
      <c r="MY110" s="30"/>
      <c r="MZ110" s="30"/>
      <c r="NA110" s="30"/>
      <c r="NB110" s="30"/>
      <c r="NC110" s="30"/>
      <c r="ND110" s="30"/>
      <c r="NE110" s="30"/>
      <c r="NF110" s="30"/>
      <c r="NG110" s="30"/>
      <c r="NH110" s="30"/>
      <c r="NI110" s="30"/>
      <c r="NJ110" s="30"/>
      <c r="NK110" s="30"/>
      <c r="NL110" s="30"/>
      <c r="NM110" s="30"/>
      <c r="NN110" s="30"/>
      <c r="NO110" s="30"/>
      <c r="NP110" s="30"/>
      <c r="NQ110" s="30"/>
      <c r="NR110" s="30"/>
    </row>
    <row r="111" spans="1:382" s="3" customFormat="1" ht="20.100000000000001" customHeight="1" x14ac:dyDescent="0.4">
      <c r="A111" s="29">
        <v>4</v>
      </c>
      <c r="B111" s="5">
        <v>1978</v>
      </c>
      <c r="C111" s="5" t="s">
        <v>167</v>
      </c>
      <c r="D111" s="5" t="s">
        <v>41</v>
      </c>
      <c r="E111" s="5" t="s">
        <v>6</v>
      </c>
      <c r="F111" s="5" t="s">
        <v>32</v>
      </c>
      <c r="G111" s="5" t="s">
        <v>32</v>
      </c>
      <c r="H111" s="5" t="s">
        <v>32</v>
      </c>
      <c r="I111" s="8">
        <v>46111.625</v>
      </c>
      <c r="J111" s="8"/>
      <c r="K111" s="8" t="str">
        <f>IF(OR(J111="",E111=""),"",J111+IFERROR(VLOOKUP(E111,リードタイム!$A$2:$C$9,3,FALSE),0))</f>
        <v/>
      </c>
      <c r="L111" s="5" t="s">
        <v>531</v>
      </c>
      <c r="M111" s="8"/>
      <c r="N111" s="8" t="str">
        <f>IF(OR(M111="",E111=""),"",M111+IFERROR(VLOOKUP(E111,リードタイム!$A$2:$D$9,4,FALSE),0))</f>
        <v/>
      </c>
      <c r="O111" s="5" t="s">
        <v>531</v>
      </c>
      <c r="P111" s="5" t="s">
        <v>532</v>
      </c>
      <c r="Q111" s="5" t="s">
        <v>32</v>
      </c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  <c r="FS111" s="30"/>
      <c r="FT111" s="30"/>
      <c r="FU111" s="30"/>
      <c r="FV111" s="30"/>
      <c r="FW111" s="30"/>
      <c r="FX111" s="30"/>
      <c r="FY111" s="30"/>
      <c r="FZ111" s="30"/>
      <c r="GA111" s="30"/>
      <c r="GB111" s="30"/>
      <c r="GC111" s="30"/>
      <c r="GD111" s="30"/>
      <c r="GE111" s="30"/>
      <c r="GF111" s="30"/>
      <c r="GG111" s="30"/>
      <c r="GH111" s="30"/>
      <c r="GI111" s="30"/>
      <c r="GJ111" s="30"/>
      <c r="GK111" s="30"/>
      <c r="GL111" s="30"/>
      <c r="GM111" s="30"/>
      <c r="GN111" s="30"/>
      <c r="GO111" s="30"/>
      <c r="GP111" s="30"/>
      <c r="GQ111" s="30"/>
      <c r="GR111" s="30"/>
      <c r="GS111" s="30"/>
      <c r="GT111" s="30"/>
      <c r="GU111" s="30"/>
      <c r="GV111" s="30"/>
      <c r="GW111" s="30"/>
      <c r="GX111" s="30"/>
      <c r="GY111" s="30"/>
      <c r="GZ111" s="30"/>
      <c r="HA111" s="30"/>
      <c r="HB111" s="30"/>
      <c r="HC111" s="30"/>
      <c r="HD111" s="30"/>
      <c r="HE111" s="30"/>
      <c r="HF111" s="30"/>
      <c r="HG111" s="30"/>
      <c r="HH111" s="30"/>
      <c r="HI111" s="30"/>
      <c r="HJ111" s="30"/>
      <c r="HK111" s="30"/>
      <c r="HL111" s="30"/>
      <c r="HM111" s="30"/>
      <c r="HN111" s="30"/>
      <c r="HO111" s="30"/>
      <c r="HP111" s="30"/>
      <c r="HQ111" s="30"/>
      <c r="HR111" s="30"/>
      <c r="HS111" s="30"/>
      <c r="HT111" s="30"/>
      <c r="HU111" s="30"/>
      <c r="HV111" s="30"/>
      <c r="HW111" s="30"/>
      <c r="HX111" s="30"/>
      <c r="HY111" s="30"/>
      <c r="HZ111" s="30"/>
      <c r="IA111" s="30"/>
      <c r="IB111" s="30"/>
      <c r="IC111" s="30"/>
      <c r="ID111" s="30"/>
      <c r="IE111" s="30"/>
      <c r="IF111" s="30"/>
      <c r="IG111" s="30"/>
      <c r="IH111" s="30"/>
      <c r="II111" s="30"/>
      <c r="IJ111" s="30"/>
      <c r="IK111" s="30"/>
      <c r="IL111" s="30"/>
      <c r="IM111" s="30"/>
      <c r="IN111" s="30"/>
      <c r="IO111" s="30"/>
      <c r="IP111" s="30"/>
      <c r="IQ111" s="30"/>
      <c r="IR111" s="30"/>
      <c r="IS111" s="30"/>
      <c r="IT111" s="30"/>
      <c r="IU111" s="30"/>
      <c r="IV111" s="30"/>
      <c r="IW111" s="30"/>
      <c r="IX111" s="30"/>
      <c r="IY111" s="30"/>
      <c r="IZ111" s="30"/>
      <c r="JA111" s="30"/>
      <c r="JB111" s="30"/>
      <c r="JC111" s="30"/>
      <c r="JD111" s="30"/>
      <c r="JE111" s="30"/>
      <c r="JF111" s="30"/>
      <c r="JG111" s="30"/>
      <c r="JH111" s="30"/>
      <c r="JI111" s="30"/>
      <c r="JJ111" s="30"/>
      <c r="JK111" s="30"/>
      <c r="JL111" s="30"/>
      <c r="JM111" s="30"/>
      <c r="JN111" s="30"/>
      <c r="JO111" s="30"/>
      <c r="JP111" s="30"/>
      <c r="JQ111" s="30"/>
      <c r="JR111" s="30"/>
      <c r="JS111" s="30"/>
      <c r="JT111" s="30"/>
      <c r="JU111" s="30"/>
      <c r="JV111" s="30"/>
      <c r="JW111" s="30"/>
      <c r="JX111" s="30"/>
      <c r="JY111" s="30"/>
      <c r="JZ111" s="30"/>
      <c r="KA111" s="30"/>
      <c r="KB111" s="30"/>
      <c r="KC111" s="30"/>
      <c r="KD111" s="30"/>
      <c r="KE111" s="30"/>
      <c r="KF111" s="30"/>
      <c r="KG111" s="30"/>
      <c r="KH111" s="30"/>
      <c r="KI111" s="30"/>
      <c r="KJ111" s="30"/>
      <c r="KK111" s="30"/>
      <c r="KL111" s="30"/>
      <c r="KM111" s="30"/>
      <c r="KN111" s="30"/>
      <c r="KO111" s="30"/>
      <c r="KP111" s="30"/>
      <c r="KQ111" s="30"/>
      <c r="KR111" s="30"/>
      <c r="KS111" s="30"/>
      <c r="KT111" s="30"/>
      <c r="KU111" s="30"/>
      <c r="KV111" s="30"/>
      <c r="KW111" s="30"/>
      <c r="KX111" s="30"/>
      <c r="KY111" s="30"/>
      <c r="KZ111" s="30"/>
      <c r="LA111" s="30"/>
      <c r="LB111" s="30"/>
      <c r="LC111" s="30"/>
      <c r="LD111" s="30"/>
      <c r="LE111" s="30"/>
      <c r="LF111" s="30"/>
      <c r="LG111" s="30"/>
      <c r="LH111" s="30"/>
      <c r="LI111" s="30"/>
      <c r="LJ111" s="30"/>
      <c r="LK111" s="30"/>
      <c r="LL111" s="30"/>
      <c r="LM111" s="30"/>
      <c r="LN111" s="30"/>
      <c r="LO111" s="30"/>
      <c r="LP111" s="30"/>
      <c r="LQ111" s="30"/>
      <c r="LR111" s="30"/>
      <c r="LS111" s="30"/>
      <c r="LT111" s="30"/>
      <c r="LU111" s="30"/>
      <c r="LV111" s="30"/>
      <c r="LW111" s="30"/>
      <c r="LX111" s="30"/>
      <c r="LY111" s="30"/>
      <c r="LZ111" s="30"/>
      <c r="MA111" s="30"/>
      <c r="MB111" s="30"/>
      <c r="MC111" s="30"/>
      <c r="MD111" s="30"/>
      <c r="ME111" s="30"/>
      <c r="MF111" s="30"/>
      <c r="MG111" s="30"/>
      <c r="MH111" s="30"/>
      <c r="MI111" s="30"/>
      <c r="MJ111" s="30"/>
      <c r="MK111" s="30"/>
      <c r="ML111" s="30"/>
      <c r="MM111" s="30"/>
      <c r="MN111" s="30"/>
      <c r="MO111" s="30"/>
      <c r="MP111" s="30"/>
      <c r="MQ111" s="30"/>
      <c r="MR111" s="30"/>
      <c r="MS111" s="30"/>
      <c r="MT111" s="30"/>
      <c r="MU111" s="30"/>
      <c r="MV111" s="30"/>
      <c r="MW111" s="30"/>
      <c r="MX111" s="30"/>
      <c r="MY111" s="30"/>
      <c r="MZ111" s="30"/>
      <c r="NA111" s="30"/>
      <c r="NB111" s="30"/>
      <c r="NC111" s="30"/>
      <c r="ND111" s="30"/>
      <c r="NE111" s="30"/>
      <c r="NF111" s="30"/>
      <c r="NG111" s="30"/>
      <c r="NH111" s="30"/>
      <c r="NI111" s="30"/>
      <c r="NJ111" s="30"/>
      <c r="NK111" s="30"/>
      <c r="NL111" s="30"/>
      <c r="NM111" s="30"/>
      <c r="NN111" s="30"/>
      <c r="NO111" s="30"/>
      <c r="NP111" s="30"/>
      <c r="NQ111" s="30"/>
      <c r="NR111" s="30"/>
    </row>
    <row r="112" spans="1:382" s="3" customFormat="1" ht="20.100000000000001" customHeight="1" x14ac:dyDescent="0.4">
      <c r="A112" s="29">
        <v>5</v>
      </c>
      <c r="B112" s="5" t="s">
        <v>32</v>
      </c>
      <c r="C112" s="5" t="s">
        <v>167</v>
      </c>
      <c r="D112" s="5" t="s">
        <v>62</v>
      </c>
      <c r="E112" s="5" t="s">
        <v>8</v>
      </c>
      <c r="F112" s="5" t="s">
        <v>32</v>
      </c>
      <c r="G112" s="5" t="s">
        <v>32</v>
      </c>
      <c r="H112" s="5" t="s">
        <v>32</v>
      </c>
      <c r="I112" s="8"/>
      <c r="J112" s="8"/>
      <c r="K112" s="8" t="str">
        <f>IF(OR(J112="",E112=""),"",J112+IFERROR(VLOOKUP(E112,リードタイム!$A$2:$C$9,3,FALSE),0))</f>
        <v/>
      </c>
      <c r="L112" s="5" t="s">
        <v>530</v>
      </c>
      <c r="M112" s="8"/>
      <c r="N112" s="8" t="str">
        <f>IF(OR(M112="",E112=""),"",M112+IFERROR(VLOOKUP(E112,リードタイム!$A$2:$D$9,4,FALSE),0))</f>
        <v/>
      </c>
      <c r="O112" s="5" t="s">
        <v>530</v>
      </c>
      <c r="P112" s="5" t="s">
        <v>530</v>
      </c>
      <c r="Q112" s="5" t="s">
        <v>32</v>
      </c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  <c r="FS112" s="30"/>
      <c r="FT112" s="30"/>
      <c r="FU112" s="30"/>
      <c r="FV112" s="30"/>
      <c r="FW112" s="30"/>
      <c r="FX112" s="30"/>
      <c r="FY112" s="30"/>
      <c r="FZ112" s="30"/>
      <c r="GA112" s="30"/>
      <c r="GB112" s="30"/>
      <c r="GC112" s="30"/>
      <c r="GD112" s="30"/>
      <c r="GE112" s="30"/>
      <c r="GF112" s="30"/>
      <c r="GG112" s="30"/>
      <c r="GH112" s="30"/>
      <c r="GI112" s="30"/>
      <c r="GJ112" s="30"/>
      <c r="GK112" s="30"/>
      <c r="GL112" s="30"/>
      <c r="GM112" s="30"/>
      <c r="GN112" s="30"/>
      <c r="GO112" s="30"/>
      <c r="GP112" s="30"/>
      <c r="GQ112" s="30"/>
      <c r="GR112" s="30"/>
      <c r="GS112" s="30"/>
      <c r="GT112" s="30"/>
      <c r="GU112" s="30"/>
      <c r="GV112" s="30"/>
      <c r="GW112" s="30"/>
      <c r="GX112" s="30"/>
      <c r="GY112" s="30"/>
      <c r="GZ112" s="30"/>
      <c r="HA112" s="30"/>
      <c r="HB112" s="30"/>
      <c r="HC112" s="30"/>
      <c r="HD112" s="30"/>
      <c r="HE112" s="30"/>
      <c r="HF112" s="30"/>
      <c r="HG112" s="30"/>
      <c r="HH112" s="30"/>
      <c r="HI112" s="30"/>
      <c r="HJ112" s="30"/>
      <c r="HK112" s="30"/>
      <c r="HL112" s="30"/>
      <c r="HM112" s="30"/>
      <c r="HN112" s="30"/>
      <c r="HO112" s="30"/>
      <c r="HP112" s="30"/>
      <c r="HQ112" s="30"/>
      <c r="HR112" s="30"/>
      <c r="HS112" s="30"/>
      <c r="HT112" s="30"/>
      <c r="HU112" s="30"/>
      <c r="HV112" s="30"/>
      <c r="HW112" s="30"/>
      <c r="HX112" s="30"/>
      <c r="HY112" s="30"/>
      <c r="HZ112" s="30"/>
      <c r="IA112" s="30"/>
      <c r="IB112" s="30"/>
      <c r="IC112" s="30"/>
      <c r="ID112" s="30"/>
      <c r="IE112" s="30"/>
      <c r="IF112" s="30"/>
      <c r="IG112" s="30"/>
      <c r="IH112" s="30"/>
      <c r="II112" s="30"/>
      <c r="IJ112" s="30"/>
      <c r="IK112" s="30"/>
      <c r="IL112" s="30"/>
      <c r="IM112" s="30"/>
      <c r="IN112" s="30"/>
      <c r="IO112" s="30"/>
      <c r="IP112" s="30"/>
      <c r="IQ112" s="30"/>
      <c r="IR112" s="30"/>
      <c r="IS112" s="30"/>
      <c r="IT112" s="30"/>
      <c r="IU112" s="30"/>
      <c r="IV112" s="30"/>
      <c r="IW112" s="30"/>
      <c r="IX112" s="30"/>
      <c r="IY112" s="30"/>
      <c r="IZ112" s="30"/>
      <c r="JA112" s="30"/>
      <c r="JB112" s="30"/>
      <c r="JC112" s="30"/>
      <c r="JD112" s="30"/>
      <c r="JE112" s="30"/>
      <c r="JF112" s="30"/>
      <c r="JG112" s="30"/>
      <c r="JH112" s="30"/>
      <c r="JI112" s="30"/>
      <c r="JJ112" s="30"/>
      <c r="JK112" s="30"/>
      <c r="JL112" s="30"/>
      <c r="JM112" s="30"/>
      <c r="JN112" s="30"/>
      <c r="JO112" s="30"/>
      <c r="JP112" s="30"/>
      <c r="JQ112" s="30"/>
      <c r="JR112" s="30"/>
      <c r="JS112" s="30"/>
      <c r="JT112" s="30"/>
      <c r="JU112" s="30"/>
      <c r="JV112" s="30"/>
      <c r="JW112" s="30"/>
      <c r="JX112" s="30"/>
      <c r="JY112" s="30"/>
      <c r="JZ112" s="30"/>
      <c r="KA112" s="30"/>
      <c r="KB112" s="30"/>
      <c r="KC112" s="30"/>
      <c r="KD112" s="30"/>
      <c r="KE112" s="30"/>
      <c r="KF112" s="30"/>
      <c r="KG112" s="30"/>
      <c r="KH112" s="30"/>
      <c r="KI112" s="30"/>
      <c r="KJ112" s="30"/>
      <c r="KK112" s="30"/>
      <c r="KL112" s="30"/>
      <c r="KM112" s="30"/>
      <c r="KN112" s="30"/>
      <c r="KO112" s="30"/>
      <c r="KP112" s="30"/>
      <c r="KQ112" s="30"/>
      <c r="KR112" s="30"/>
      <c r="KS112" s="30"/>
      <c r="KT112" s="30"/>
      <c r="KU112" s="30"/>
      <c r="KV112" s="30"/>
      <c r="KW112" s="30"/>
      <c r="KX112" s="30"/>
      <c r="KY112" s="30"/>
      <c r="KZ112" s="30"/>
      <c r="LA112" s="30"/>
      <c r="LB112" s="30"/>
      <c r="LC112" s="30"/>
      <c r="LD112" s="30"/>
      <c r="LE112" s="30"/>
      <c r="LF112" s="30"/>
      <c r="LG112" s="30"/>
      <c r="LH112" s="30"/>
      <c r="LI112" s="30"/>
      <c r="LJ112" s="30"/>
      <c r="LK112" s="30"/>
      <c r="LL112" s="30"/>
      <c r="LM112" s="30"/>
      <c r="LN112" s="30"/>
      <c r="LO112" s="30"/>
      <c r="LP112" s="30"/>
      <c r="LQ112" s="30"/>
      <c r="LR112" s="30"/>
      <c r="LS112" s="30"/>
      <c r="LT112" s="30"/>
      <c r="LU112" s="30"/>
      <c r="LV112" s="30"/>
      <c r="LW112" s="30"/>
      <c r="LX112" s="30"/>
      <c r="LY112" s="30"/>
      <c r="LZ112" s="30"/>
      <c r="MA112" s="30"/>
      <c r="MB112" s="30"/>
      <c r="MC112" s="30"/>
      <c r="MD112" s="30"/>
      <c r="ME112" s="30"/>
      <c r="MF112" s="30"/>
      <c r="MG112" s="30"/>
      <c r="MH112" s="30"/>
      <c r="MI112" s="30"/>
      <c r="MJ112" s="30"/>
      <c r="MK112" s="30"/>
      <c r="ML112" s="30"/>
      <c r="MM112" s="30"/>
      <c r="MN112" s="30"/>
      <c r="MO112" s="30"/>
      <c r="MP112" s="30"/>
      <c r="MQ112" s="30"/>
      <c r="MR112" s="30"/>
      <c r="MS112" s="30"/>
      <c r="MT112" s="30"/>
      <c r="MU112" s="30"/>
      <c r="MV112" s="30"/>
      <c r="MW112" s="30"/>
      <c r="MX112" s="30"/>
      <c r="MY112" s="30"/>
      <c r="MZ112" s="30"/>
      <c r="NA112" s="30"/>
      <c r="NB112" s="30"/>
      <c r="NC112" s="30"/>
      <c r="ND112" s="30"/>
      <c r="NE112" s="30"/>
      <c r="NF112" s="30"/>
      <c r="NG112" s="30"/>
      <c r="NH112" s="30"/>
      <c r="NI112" s="30"/>
      <c r="NJ112" s="30"/>
      <c r="NK112" s="30"/>
      <c r="NL112" s="30"/>
      <c r="NM112" s="30"/>
      <c r="NN112" s="30"/>
      <c r="NO112" s="30"/>
      <c r="NP112" s="30"/>
      <c r="NQ112" s="30"/>
      <c r="NR112" s="30"/>
    </row>
    <row r="113" spans="1:382" s="3" customFormat="1" ht="20.100000000000001" customHeight="1" x14ac:dyDescent="0.4">
      <c r="A113" s="29">
        <v>1</v>
      </c>
      <c r="B113" s="5">
        <v>1969</v>
      </c>
      <c r="C113" s="5" t="s">
        <v>172</v>
      </c>
      <c r="D113" s="5" t="s">
        <v>173</v>
      </c>
      <c r="E113" s="5" t="s">
        <v>18</v>
      </c>
      <c r="F113" s="5" t="s">
        <v>32</v>
      </c>
      <c r="G113" s="5" t="s">
        <v>32</v>
      </c>
      <c r="H113" s="5" t="s">
        <v>32</v>
      </c>
      <c r="I113" s="8">
        <v>46052.625</v>
      </c>
      <c r="J113" s="8"/>
      <c r="K113" s="8" t="str">
        <f>IF(OR(J113="",E113=""),"",J113+IFERROR(VLOOKUP(E113,リードタイム!$A$2:$C$9,3,FALSE),0))</f>
        <v/>
      </c>
      <c r="L113" s="5" t="s">
        <v>531</v>
      </c>
      <c r="M113" s="8"/>
      <c r="N113" s="8" t="str">
        <f>IF(OR(M113="",E113=""),"",M113+IFERROR(VLOOKUP(E113,リードタイム!$A$2:$D$9,4,FALSE),0))</f>
        <v/>
      </c>
      <c r="O113" s="5" t="s">
        <v>531</v>
      </c>
      <c r="P113" s="5" t="s">
        <v>533</v>
      </c>
      <c r="Q113" s="5" t="s">
        <v>32</v>
      </c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  <c r="FS113" s="30"/>
      <c r="FT113" s="30"/>
      <c r="FU113" s="30"/>
      <c r="FV113" s="30"/>
      <c r="FW113" s="30"/>
      <c r="FX113" s="30"/>
      <c r="FY113" s="30"/>
      <c r="FZ113" s="30"/>
      <c r="GA113" s="30"/>
      <c r="GB113" s="30"/>
      <c r="GC113" s="30"/>
      <c r="GD113" s="30"/>
      <c r="GE113" s="30"/>
      <c r="GF113" s="30"/>
      <c r="GG113" s="30"/>
      <c r="GH113" s="30"/>
      <c r="GI113" s="30"/>
      <c r="GJ113" s="30"/>
      <c r="GK113" s="30"/>
      <c r="GL113" s="30"/>
      <c r="GM113" s="30"/>
      <c r="GN113" s="30"/>
      <c r="GO113" s="30"/>
      <c r="GP113" s="30"/>
      <c r="GQ113" s="30"/>
      <c r="GR113" s="30"/>
      <c r="GS113" s="30"/>
      <c r="GT113" s="30"/>
      <c r="GU113" s="30"/>
      <c r="GV113" s="30"/>
      <c r="GW113" s="30"/>
      <c r="GX113" s="30"/>
      <c r="GY113" s="30"/>
      <c r="GZ113" s="30"/>
      <c r="HA113" s="30"/>
      <c r="HB113" s="30"/>
      <c r="HC113" s="30"/>
      <c r="HD113" s="30"/>
      <c r="HE113" s="30"/>
      <c r="HF113" s="30"/>
      <c r="HG113" s="30"/>
      <c r="HH113" s="30"/>
      <c r="HI113" s="30"/>
      <c r="HJ113" s="30"/>
      <c r="HK113" s="30"/>
      <c r="HL113" s="30"/>
      <c r="HM113" s="30"/>
      <c r="HN113" s="30"/>
      <c r="HO113" s="30"/>
      <c r="HP113" s="30"/>
      <c r="HQ113" s="30"/>
      <c r="HR113" s="30"/>
      <c r="HS113" s="30"/>
      <c r="HT113" s="30"/>
      <c r="HU113" s="30"/>
      <c r="HV113" s="30"/>
      <c r="HW113" s="30"/>
      <c r="HX113" s="30"/>
      <c r="HY113" s="30"/>
      <c r="HZ113" s="30"/>
      <c r="IA113" s="30"/>
      <c r="IB113" s="30"/>
      <c r="IC113" s="30"/>
      <c r="ID113" s="30"/>
      <c r="IE113" s="30"/>
      <c r="IF113" s="30"/>
      <c r="IG113" s="30"/>
      <c r="IH113" s="30"/>
      <c r="II113" s="30"/>
      <c r="IJ113" s="30"/>
      <c r="IK113" s="30"/>
      <c r="IL113" s="30"/>
      <c r="IM113" s="30"/>
      <c r="IN113" s="30"/>
      <c r="IO113" s="30"/>
      <c r="IP113" s="30"/>
      <c r="IQ113" s="30"/>
      <c r="IR113" s="30"/>
      <c r="IS113" s="30"/>
      <c r="IT113" s="30"/>
      <c r="IU113" s="30"/>
      <c r="IV113" s="30"/>
      <c r="IW113" s="30"/>
      <c r="IX113" s="30"/>
      <c r="IY113" s="30"/>
      <c r="IZ113" s="30"/>
      <c r="JA113" s="30"/>
      <c r="JB113" s="30"/>
      <c r="JC113" s="30"/>
      <c r="JD113" s="30"/>
      <c r="JE113" s="30"/>
      <c r="JF113" s="30"/>
      <c r="JG113" s="30"/>
      <c r="JH113" s="30"/>
      <c r="JI113" s="30"/>
      <c r="JJ113" s="30"/>
      <c r="JK113" s="30"/>
      <c r="JL113" s="30"/>
      <c r="JM113" s="30"/>
      <c r="JN113" s="30"/>
      <c r="JO113" s="30"/>
      <c r="JP113" s="30"/>
      <c r="JQ113" s="30"/>
      <c r="JR113" s="30"/>
      <c r="JS113" s="30"/>
      <c r="JT113" s="30"/>
      <c r="JU113" s="30"/>
      <c r="JV113" s="30"/>
      <c r="JW113" s="30"/>
      <c r="JX113" s="30"/>
      <c r="JY113" s="30"/>
      <c r="JZ113" s="30"/>
      <c r="KA113" s="30"/>
      <c r="KB113" s="30"/>
      <c r="KC113" s="30"/>
      <c r="KD113" s="30"/>
      <c r="KE113" s="30"/>
      <c r="KF113" s="30"/>
      <c r="KG113" s="30"/>
      <c r="KH113" s="30"/>
      <c r="KI113" s="30"/>
      <c r="KJ113" s="30"/>
      <c r="KK113" s="30"/>
      <c r="KL113" s="30"/>
      <c r="KM113" s="30"/>
      <c r="KN113" s="30"/>
      <c r="KO113" s="30"/>
      <c r="KP113" s="30"/>
      <c r="KQ113" s="30"/>
      <c r="KR113" s="30"/>
      <c r="KS113" s="30"/>
      <c r="KT113" s="30"/>
      <c r="KU113" s="30"/>
      <c r="KV113" s="30"/>
      <c r="KW113" s="30"/>
      <c r="KX113" s="30"/>
      <c r="KY113" s="30"/>
      <c r="KZ113" s="30"/>
      <c r="LA113" s="30"/>
      <c r="LB113" s="30"/>
      <c r="LC113" s="30"/>
      <c r="LD113" s="30"/>
      <c r="LE113" s="30"/>
      <c r="LF113" s="30"/>
      <c r="LG113" s="30"/>
      <c r="LH113" s="30"/>
      <c r="LI113" s="30"/>
      <c r="LJ113" s="30"/>
      <c r="LK113" s="30"/>
      <c r="LL113" s="30"/>
      <c r="LM113" s="30"/>
      <c r="LN113" s="30"/>
      <c r="LO113" s="30"/>
      <c r="LP113" s="30"/>
      <c r="LQ113" s="30"/>
      <c r="LR113" s="30"/>
      <c r="LS113" s="30"/>
      <c r="LT113" s="30"/>
      <c r="LU113" s="30"/>
      <c r="LV113" s="30"/>
      <c r="LW113" s="30"/>
      <c r="LX113" s="30"/>
      <c r="LY113" s="30"/>
      <c r="LZ113" s="30"/>
      <c r="MA113" s="30"/>
      <c r="MB113" s="30"/>
      <c r="MC113" s="30"/>
      <c r="MD113" s="30"/>
      <c r="ME113" s="30"/>
      <c r="MF113" s="30"/>
      <c r="MG113" s="30"/>
      <c r="MH113" s="30"/>
      <c r="MI113" s="30"/>
      <c r="MJ113" s="30"/>
      <c r="MK113" s="30"/>
      <c r="ML113" s="30"/>
      <c r="MM113" s="30"/>
      <c r="MN113" s="30"/>
      <c r="MO113" s="30"/>
      <c r="MP113" s="30"/>
      <c r="MQ113" s="30"/>
      <c r="MR113" s="30"/>
      <c r="MS113" s="30"/>
      <c r="MT113" s="30"/>
      <c r="MU113" s="30"/>
      <c r="MV113" s="30"/>
      <c r="MW113" s="30"/>
      <c r="MX113" s="30"/>
      <c r="MY113" s="30"/>
      <c r="MZ113" s="30"/>
      <c r="NA113" s="30"/>
      <c r="NB113" s="30"/>
      <c r="NC113" s="30"/>
      <c r="ND113" s="30"/>
      <c r="NE113" s="30"/>
      <c r="NF113" s="30"/>
      <c r="NG113" s="30"/>
      <c r="NH113" s="30"/>
      <c r="NI113" s="30"/>
      <c r="NJ113" s="30"/>
      <c r="NK113" s="30"/>
      <c r="NL113" s="30"/>
      <c r="NM113" s="30"/>
      <c r="NN113" s="30"/>
      <c r="NO113" s="30"/>
      <c r="NP113" s="30"/>
      <c r="NQ113" s="30"/>
      <c r="NR113" s="30"/>
    </row>
    <row r="114" spans="1:382" s="3" customFormat="1" ht="20.100000000000001" customHeight="1" x14ac:dyDescent="0.4">
      <c r="A114" s="29">
        <v>1</v>
      </c>
      <c r="B114" s="5">
        <v>1881</v>
      </c>
      <c r="C114" s="5" t="s">
        <v>174</v>
      </c>
      <c r="D114" s="5" t="s">
        <v>168</v>
      </c>
      <c r="E114" s="5" t="s">
        <v>10</v>
      </c>
      <c r="F114" s="5" t="s">
        <v>32</v>
      </c>
      <c r="G114" s="5" t="s">
        <v>32</v>
      </c>
      <c r="H114" s="5" t="s">
        <v>32</v>
      </c>
      <c r="I114" s="8">
        <v>45687.625</v>
      </c>
      <c r="J114" s="8"/>
      <c r="K114" s="8" t="str">
        <f>IF(OR(J114="",E114=""),"",J114+IFERROR(VLOOKUP(E114,リードタイム!$A$2:$C$9,3,FALSE),0))</f>
        <v/>
      </c>
      <c r="L114" s="5" t="s">
        <v>531</v>
      </c>
      <c r="M114" s="8"/>
      <c r="N114" s="8" t="str">
        <f>IF(OR(M114="",E114=""),"",M114+IFERROR(VLOOKUP(E114,リードタイム!$A$2:$D$9,4,FALSE),0))</f>
        <v/>
      </c>
      <c r="O114" s="5" t="s">
        <v>531</v>
      </c>
      <c r="P114" s="5" t="s">
        <v>533</v>
      </c>
      <c r="Q114" s="5" t="s">
        <v>169</v>
      </c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  <c r="FS114" s="30"/>
      <c r="FT114" s="30"/>
      <c r="FU114" s="30"/>
      <c r="FV114" s="30"/>
      <c r="FW114" s="30"/>
      <c r="FX114" s="30"/>
      <c r="FY114" s="30"/>
      <c r="FZ114" s="30"/>
      <c r="GA114" s="30"/>
      <c r="GB114" s="30"/>
      <c r="GC114" s="30"/>
      <c r="GD114" s="30"/>
      <c r="GE114" s="30"/>
      <c r="GF114" s="30"/>
      <c r="GG114" s="30"/>
      <c r="GH114" s="30"/>
      <c r="GI114" s="30"/>
      <c r="GJ114" s="30"/>
      <c r="GK114" s="30"/>
      <c r="GL114" s="30"/>
      <c r="GM114" s="30"/>
      <c r="GN114" s="30"/>
      <c r="GO114" s="30"/>
      <c r="GP114" s="30"/>
      <c r="GQ114" s="30"/>
      <c r="GR114" s="30"/>
      <c r="GS114" s="30"/>
      <c r="GT114" s="30"/>
      <c r="GU114" s="30"/>
      <c r="GV114" s="30"/>
      <c r="GW114" s="30"/>
      <c r="GX114" s="30"/>
      <c r="GY114" s="30"/>
      <c r="GZ114" s="30"/>
      <c r="HA114" s="30"/>
      <c r="HB114" s="30"/>
      <c r="HC114" s="30"/>
      <c r="HD114" s="30"/>
      <c r="HE114" s="30"/>
      <c r="HF114" s="30"/>
      <c r="HG114" s="30"/>
      <c r="HH114" s="30"/>
      <c r="HI114" s="30"/>
      <c r="HJ114" s="30"/>
      <c r="HK114" s="30"/>
      <c r="HL114" s="30"/>
      <c r="HM114" s="30"/>
      <c r="HN114" s="30"/>
      <c r="HO114" s="30"/>
      <c r="HP114" s="30"/>
      <c r="HQ114" s="30"/>
      <c r="HR114" s="30"/>
      <c r="HS114" s="30"/>
      <c r="HT114" s="30"/>
      <c r="HU114" s="30"/>
      <c r="HV114" s="30"/>
      <c r="HW114" s="30"/>
      <c r="HX114" s="30"/>
      <c r="HY114" s="30"/>
      <c r="HZ114" s="30"/>
      <c r="IA114" s="30"/>
      <c r="IB114" s="30"/>
      <c r="IC114" s="30"/>
      <c r="ID114" s="30"/>
      <c r="IE114" s="30"/>
      <c r="IF114" s="30"/>
      <c r="IG114" s="30"/>
      <c r="IH114" s="30"/>
      <c r="II114" s="30"/>
      <c r="IJ114" s="30"/>
      <c r="IK114" s="30"/>
      <c r="IL114" s="30"/>
      <c r="IM114" s="30"/>
      <c r="IN114" s="30"/>
      <c r="IO114" s="30"/>
      <c r="IP114" s="30"/>
      <c r="IQ114" s="30"/>
      <c r="IR114" s="30"/>
      <c r="IS114" s="30"/>
      <c r="IT114" s="30"/>
      <c r="IU114" s="30"/>
      <c r="IV114" s="30"/>
      <c r="IW114" s="30"/>
      <c r="IX114" s="30"/>
      <c r="IY114" s="30"/>
      <c r="IZ114" s="30"/>
      <c r="JA114" s="30"/>
      <c r="JB114" s="30"/>
      <c r="JC114" s="30"/>
      <c r="JD114" s="30"/>
      <c r="JE114" s="30"/>
      <c r="JF114" s="30"/>
      <c r="JG114" s="30"/>
      <c r="JH114" s="30"/>
      <c r="JI114" s="30"/>
      <c r="JJ114" s="30"/>
      <c r="JK114" s="30"/>
      <c r="JL114" s="30"/>
      <c r="JM114" s="30"/>
      <c r="JN114" s="30"/>
      <c r="JO114" s="30"/>
      <c r="JP114" s="30"/>
      <c r="JQ114" s="30"/>
      <c r="JR114" s="30"/>
      <c r="JS114" s="30"/>
      <c r="JT114" s="30"/>
      <c r="JU114" s="30"/>
      <c r="JV114" s="30"/>
      <c r="JW114" s="30"/>
      <c r="JX114" s="30"/>
      <c r="JY114" s="30"/>
      <c r="JZ114" s="30"/>
      <c r="KA114" s="30"/>
      <c r="KB114" s="30"/>
      <c r="KC114" s="30"/>
      <c r="KD114" s="30"/>
      <c r="KE114" s="30"/>
      <c r="KF114" s="30"/>
      <c r="KG114" s="30"/>
      <c r="KH114" s="30"/>
      <c r="KI114" s="30"/>
      <c r="KJ114" s="30"/>
      <c r="KK114" s="30"/>
      <c r="KL114" s="30"/>
      <c r="KM114" s="30"/>
      <c r="KN114" s="30"/>
      <c r="KO114" s="30"/>
      <c r="KP114" s="30"/>
      <c r="KQ114" s="30"/>
      <c r="KR114" s="30"/>
      <c r="KS114" s="30"/>
      <c r="KT114" s="30"/>
      <c r="KU114" s="30"/>
      <c r="KV114" s="30"/>
      <c r="KW114" s="30"/>
      <c r="KX114" s="30"/>
      <c r="KY114" s="30"/>
      <c r="KZ114" s="30"/>
      <c r="LA114" s="30"/>
      <c r="LB114" s="30"/>
      <c r="LC114" s="30"/>
      <c r="LD114" s="30"/>
      <c r="LE114" s="30"/>
      <c r="LF114" s="30"/>
      <c r="LG114" s="30"/>
      <c r="LH114" s="30"/>
      <c r="LI114" s="30"/>
      <c r="LJ114" s="30"/>
      <c r="LK114" s="30"/>
      <c r="LL114" s="30"/>
      <c r="LM114" s="30"/>
      <c r="LN114" s="30"/>
      <c r="LO114" s="30"/>
      <c r="LP114" s="30"/>
      <c r="LQ114" s="30"/>
      <c r="LR114" s="30"/>
      <c r="LS114" s="30"/>
      <c r="LT114" s="30"/>
      <c r="LU114" s="30"/>
      <c r="LV114" s="30"/>
      <c r="LW114" s="30"/>
      <c r="LX114" s="30"/>
      <c r="LY114" s="30"/>
      <c r="LZ114" s="30"/>
      <c r="MA114" s="30"/>
      <c r="MB114" s="30"/>
      <c r="MC114" s="30"/>
      <c r="MD114" s="30"/>
      <c r="ME114" s="30"/>
      <c r="MF114" s="30"/>
      <c r="MG114" s="30"/>
      <c r="MH114" s="30"/>
      <c r="MI114" s="30"/>
      <c r="MJ114" s="30"/>
      <c r="MK114" s="30"/>
      <c r="ML114" s="30"/>
      <c r="MM114" s="30"/>
      <c r="MN114" s="30"/>
      <c r="MO114" s="30"/>
      <c r="MP114" s="30"/>
      <c r="MQ114" s="30"/>
      <c r="MR114" s="30"/>
      <c r="MS114" s="30"/>
      <c r="MT114" s="30"/>
      <c r="MU114" s="30"/>
      <c r="MV114" s="30"/>
      <c r="MW114" s="30"/>
      <c r="MX114" s="30"/>
      <c r="MY114" s="30"/>
      <c r="MZ114" s="30"/>
      <c r="NA114" s="30"/>
      <c r="NB114" s="30"/>
      <c r="NC114" s="30"/>
      <c r="ND114" s="30"/>
      <c r="NE114" s="30"/>
      <c r="NF114" s="30"/>
      <c r="NG114" s="30"/>
      <c r="NH114" s="30"/>
      <c r="NI114" s="30"/>
      <c r="NJ114" s="30"/>
      <c r="NK114" s="30"/>
      <c r="NL114" s="30"/>
      <c r="NM114" s="30"/>
      <c r="NN114" s="30"/>
      <c r="NO114" s="30"/>
      <c r="NP114" s="30"/>
      <c r="NQ114" s="30"/>
      <c r="NR114" s="30"/>
    </row>
    <row r="115" spans="1:382" s="3" customFormat="1" ht="20.100000000000001" customHeight="1" x14ac:dyDescent="0.4">
      <c r="A115" s="29">
        <v>2</v>
      </c>
      <c r="B115" s="5">
        <v>1882</v>
      </c>
      <c r="C115" s="5" t="s">
        <v>174</v>
      </c>
      <c r="D115" s="5" t="s">
        <v>168</v>
      </c>
      <c r="E115" s="5" t="s">
        <v>10</v>
      </c>
      <c r="F115" s="5" t="s">
        <v>32</v>
      </c>
      <c r="G115" s="5" t="s">
        <v>32</v>
      </c>
      <c r="H115" s="5" t="s">
        <v>32</v>
      </c>
      <c r="I115" s="8">
        <v>45687.625</v>
      </c>
      <c r="J115" s="8"/>
      <c r="K115" s="8" t="str">
        <f>IF(OR(J115="",E115=""),"",J115+IFERROR(VLOOKUP(E115,リードタイム!$A$2:$C$9,3,FALSE),0))</f>
        <v/>
      </c>
      <c r="L115" s="5" t="s">
        <v>531</v>
      </c>
      <c r="M115" s="8"/>
      <c r="N115" s="8" t="str">
        <f>IF(OR(M115="",E115=""),"",M115+IFERROR(VLOOKUP(E115,リードタイム!$A$2:$D$9,4,FALSE),0))</f>
        <v/>
      </c>
      <c r="O115" s="5" t="s">
        <v>531</v>
      </c>
      <c r="P115" s="5" t="s">
        <v>532</v>
      </c>
      <c r="Q115" s="5" t="s">
        <v>170</v>
      </c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  <c r="FS115" s="30"/>
      <c r="FT115" s="30"/>
      <c r="FU115" s="30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/>
      <c r="GO115" s="30"/>
      <c r="GP115" s="30"/>
      <c r="GQ115" s="30"/>
      <c r="GR115" s="30"/>
      <c r="GS115" s="30"/>
      <c r="GT115" s="30"/>
      <c r="GU115" s="30"/>
      <c r="GV115" s="30"/>
      <c r="GW115" s="30"/>
      <c r="GX115" s="30"/>
      <c r="GY115" s="30"/>
      <c r="GZ115" s="30"/>
      <c r="HA115" s="30"/>
      <c r="HB115" s="30"/>
      <c r="HC115" s="30"/>
      <c r="HD115" s="30"/>
      <c r="HE115" s="30"/>
      <c r="HF115" s="30"/>
      <c r="HG115" s="30"/>
      <c r="HH115" s="30"/>
      <c r="HI115" s="30"/>
      <c r="HJ115" s="30"/>
      <c r="HK115" s="30"/>
      <c r="HL115" s="30"/>
      <c r="HM115" s="30"/>
      <c r="HN115" s="30"/>
      <c r="HO115" s="30"/>
      <c r="HP115" s="30"/>
      <c r="HQ115" s="30"/>
      <c r="HR115" s="30"/>
      <c r="HS115" s="30"/>
      <c r="HT115" s="30"/>
      <c r="HU115" s="30"/>
      <c r="HV115" s="30"/>
      <c r="HW115" s="30"/>
      <c r="HX115" s="30"/>
      <c r="HY115" s="30"/>
      <c r="HZ115" s="30"/>
      <c r="IA115" s="30"/>
      <c r="IB115" s="30"/>
      <c r="IC115" s="30"/>
      <c r="ID115" s="30"/>
      <c r="IE115" s="30"/>
      <c r="IF115" s="30"/>
      <c r="IG115" s="30"/>
      <c r="IH115" s="30"/>
      <c r="II115" s="30"/>
      <c r="IJ115" s="30"/>
      <c r="IK115" s="30"/>
      <c r="IL115" s="30"/>
      <c r="IM115" s="30"/>
      <c r="IN115" s="30"/>
      <c r="IO115" s="30"/>
      <c r="IP115" s="30"/>
      <c r="IQ115" s="30"/>
      <c r="IR115" s="30"/>
      <c r="IS115" s="30"/>
      <c r="IT115" s="30"/>
      <c r="IU115" s="30"/>
      <c r="IV115" s="30"/>
      <c r="IW115" s="30"/>
      <c r="IX115" s="30"/>
      <c r="IY115" s="30"/>
      <c r="IZ115" s="30"/>
      <c r="JA115" s="30"/>
      <c r="JB115" s="30"/>
      <c r="JC115" s="30"/>
      <c r="JD115" s="30"/>
      <c r="JE115" s="30"/>
      <c r="JF115" s="30"/>
      <c r="JG115" s="30"/>
      <c r="JH115" s="30"/>
      <c r="JI115" s="30"/>
      <c r="JJ115" s="30"/>
      <c r="JK115" s="30"/>
      <c r="JL115" s="30"/>
      <c r="JM115" s="30"/>
      <c r="JN115" s="30"/>
      <c r="JO115" s="30"/>
      <c r="JP115" s="30"/>
      <c r="JQ115" s="30"/>
      <c r="JR115" s="30"/>
      <c r="JS115" s="30"/>
      <c r="JT115" s="30"/>
      <c r="JU115" s="30"/>
      <c r="JV115" s="30"/>
      <c r="JW115" s="30"/>
      <c r="JX115" s="30"/>
      <c r="JY115" s="30"/>
      <c r="JZ115" s="30"/>
      <c r="KA115" s="30"/>
      <c r="KB115" s="30"/>
      <c r="KC115" s="30"/>
      <c r="KD115" s="30"/>
      <c r="KE115" s="30"/>
      <c r="KF115" s="30"/>
      <c r="KG115" s="30"/>
      <c r="KH115" s="30"/>
      <c r="KI115" s="30"/>
      <c r="KJ115" s="30"/>
      <c r="KK115" s="30"/>
      <c r="KL115" s="30"/>
      <c r="KM115" s="30"/>
      <c r="KN115" s="30"/>
      <c r="KO115" s="30"/>
      <c r="KP115" s="30"/>
      <c r="KQ115" s="30"/>
      <c r="KR115" s="30"/>
      <c r="KS115" s="30"/>
      <c r="KT115" s="30"/>
      <c r="KU115" s="30"/>
      <c r="KV115" s="30"/>
      <c r="KW115" s="30"/>
      <c r="KX115" s="30"/>
      <c r="KY115" s="30"/>
      <c r="KZ115" s="30"/>
      <c r="LA115" s="30"/>
      <c r="LB115" s="30"/>
      <c r="LC115" s="30"/>
      <c r="LD115" s="30"/>
      <c r="LE115" s="30"/>
      <c r="LF115" s="30"/>
      <c r="LG115" s="30"/>
      <c r="LH115" s="30"/>
      <c r="LI115" s="30"/>
      <c r="LJ115" s="30"/>
      <c r="LK115" s="30"/>
      <c r="LL115" s="30"/>
      <c r="LM115" s="30"/>
      <c r="LN115" s="30"/>
      <c r="LO115" s="30"/>
      <c r="LP115" s="30"/>
      <c r="LQ115" s="30"/>
      <c r="LR115" s="30"/>
      <c r="LS115" s="30"/>
      <c r="LT115" s="30"/>
      <c r="LU115" s="30"/>
      <c r="LV115" s="30"/>
      <c r="LW115" s="30"/>
      <c r="LX115" s="30"/>
      <c r="LY115" s="30"/>
      <c r="LZ115" s="30"/>
      <c r="MA115" s="30"/>
      <c r="MB115" s="30"/>
      <c r="MC115" s="30"/>
      <c r="MD115" s="30"/>
      <c r="ME115" s="30"/>
      <c r="MF115" s="30"/>
      <c r="MG115" s="30"/>
      <c r="MH115" s="30"/>
      <c r="MI115" s="30"/>
      <c r="MJ115" s="30"/>
      <c r="MK115" s="30"/>
      <c r="ML115" s="30"/>
      <c r="MM115" s="30"/>
      <c r="MN115" s="30"/>
      <c r="MO115" s="30"/>
      <c r="MP115" s="30"/>
      <c r="MQ115" s="30"/>
      <c r="MR115" s="30"/>
      <c r="MS115" s="30"/>
      <c r="MT115" s="30"/>
      <c r="MU115" s="30"/>
      <c r="MV115" s="30"/>
      <c r="MW115" s="30"/>
      <c r="MX115" s="30"/>
      <c r="MY115" s="30"/>
      <c r="MZ115" s="30"/>
      <c r="NA115" s="30"/>
      <c r="NB115" s="30"/>
      <c r="NC115" s="30"/>
      <c r="ND115" s="30"/>
      <c r="NE115" s="30"/>
      <c r="NF115" s="30"/>
      <c r="NG115" s="30"/>
      <c r="NH115" s="30"/>
      <c r="NI115" s="30"/>
      <c r="NJ115" s="30"/>
      <c r="NK115" s="30"/>
      <c r="NL115" s="30"/>
      <c r="NM115" s="30"/>
      <c r="NN115" s="30"/>
      <c r="NO115" s="30"/>
      <c r="NP115" s="30"/>
      <c r="NQ115" s="30"/>
      <c r="NR115" s="30"/>
    </row>
    <row r="116" spans="1:382" s="3" customFormat="1" ht="20.100000000000001" customHeight="1" x14ac:dyDescent="0.4">
      <c r="A116" s="29">
        <v>3</v>
      </c>
      <c r="B116" s="5">
        <v>1935</v>
      </c>
      <c r="C116" s="5" t="s">
        <v>174</v>
      </c>
      <c r="D116" s="5" t="s">
        <v>168</v>
      </c>
      <c r="E116" s="5" t="s">
        <v>10</v>
      </c>
      <c r="F116" s="5" t="s">
        <v>32</v>
      </c>
      <c r="G116" s="5" t="s">
        <v>32</v>
      </c>
      <c r="H116" s="5" t="s">
        <v>32</v>
      </c>
      <c r="I116" s="8">
        <v>45687.625</v>
      </c>
      <c r="J116" s="8"/>
      <c r="K116" s="8" t="str">
        <f>IF(OR(J116="",E116=""),"",J116+IFERROR(VLOOKUP(E116,リードタイム!$A$2:$C$9,3,FALSE),0))</f>
        <v/>
      </c>
      <c r="L116" s="5" t="s">
        <v>531</v>
      </c>
      <c r="M116" s="8"/>
      <c r="N116" s="8" t="str">
        <f>IF(OR(M116="",E116=""),"",M116+IFERROR(VLOOKUP(E116,リードタイム!$A$2:$D$9,4,FALSE),0))</f>
        <v/>
      </c>
      <c r="O116" s="5" t="s">
        <v>531</v>
      </c>
      <c r="P116" s="5" t="s">
        <v>532</v>
      </c>
      <c r="Q116" s="5" t="s">
        <v>171</v>
      </c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  <c r="FS116" s="30"/>
      <c r="FT116" s="30"/>
      <c r="FU116" s="30"/>
      <c r="FV116" s="30"/>
      <c r="FW116" s="30"/>
      <c r="FX116" s="30"/>
      <c r="FY116" s="30"/>
      <c r="FZ116" s="30"/>
      <c r="GA116" s="30"/>
      <c r="GB116" s="30"/>
      <c r="GC116" s="30"/>
      <c r="GD116" s="30"/>
      <c r="GE116" s="30"/>
      <c r="GF116" s="30"/>
      <c r="GG116" s="30"/>
      <c r="GH116" s="30"/>
      <c r="GI116" s="30"/>
      <c r="GJ116" s="30"/>
      <c r="GK116" s="30"/>
      <c r="GL116" s="30"/>
      <c r="GM116" s="30"/>
      <c r="GN116" s="30"/>
      <c r="GO116" s="30"/>
      <c r="GP116" s="30"/>
      <c r="GQ116" s="30"/>
      <c r="GR116" s="30"/>
      <c r="GS116" s="30"/>
      <c r="GT116" s="30"/>
      <c r="GU116" s="30"/>
      <c r="GV116" s="30"/>
      <c r="GW116" s="30"/>
      <c r="GX116" s="30"/>
      <c r="GY116" s="30"/>
      <c r="GZ116" s="30"/>
      <c r="HA116" s="30"/>
      <c r="HB116" s="30"/>
      <c r="HC116" s="30"/>
      <c r="HD116" s="30"/>
      <c r="HE116" s="30"/>
      <c r="HF116" s="30"/>
      <c r="HG116" s="30"/>
      <c r="HH116" s="30"/>
      <c r="HI116" s="30"/>
      <c r="HJ116" s="30"/>
      <c r="HK116" s="30"/>
      <c r="HL116" s="30"/>
      <c r="HM116" s="30"/>
      <c r="HN116" s="30"/>
      <c r="HO116" s="30"/>
      <c r="HP116" s="30"/>
      <c r="HQ116" s="30"/>
      <c r="HR116" s="30"/>
      <c r="HS116" s="30"/>
      <c r="HT116" s="30"/>
      <c r="HU116" s="30"/>
      <c r="HV116" s="30"/>
      <c r="HW116" s="30"/>
      <c r="HX116" s="30"/>
      <c r="HY116" s="30"/>
      <c r="HZ116" s="30"/>
      <c r="IA116" s="30"/>
      <c r="IB116" s="30"/>
      <c r="IC116" s="30"/>
      <c r="ID116" s="30"/>
      <c r="IE116" s="30"/>
      <c r="IF116" s="30"/>
      <c r="IG116" s="30"/>
      <c r="IH116" s="30"/>
      <c r="II116" s="30"/>
      <c r="IJ116" s="30"/>
      <c r="IK116" s="30"/>
      <c r="IL116" s="30"/>
      <c r="IM116" s="30"/>
      <c r="IN116" s="30"/>
      <c r="IO116" s="30"/>
      <c r="IP116" s="30"/>
      <c r="IQ116" s="30"/>
      <c r="IR116" s="30"/>
      <c r="IS116" s="30"/>
      <c r="IT116" s="30"/>
      <c r="IU116" s="30"/>
      <c r="IV116" s="30"/>
      <c r="IW116" s="30"/>
      <c r="IX116" s="30"/>
      <c r="IY116" s="30"/>
      <c r="IZ116" s="30"/>
      <c r="JA116" s="30"/>
      <c r="JB116" s="30"/>
      <c r="JC116" s="30"/>
      <c r="JD116" s="30"/>
      <c r="JE116" s="30"/>
      <c r="JF116" s="30"/>
      <c r="JG116" s="30"/>
      <c r="JH116" s="30"/>
      <c r="JI116" s="30"/>
      <c r="JJ116" s="30"/>
      <c r="JK116" s="30"/>
      <c r="JL116" s="30"/>
      <c r="JM116" s="30"/>
      <c r="JN116" s="30"/>
      <c r="JO116" s="30"/>
      <c r="JP116" s="30"/>
      <c r="JQ116" s="30"/>
      <c r="JR116" s="30"/>
      <c r="JS116" s="30"/>
      <c r="JT116" s="30"/>
      <c r="JU116" s="30"/>
      <c r="JV116" s="30"/>
      <c r="JW116" s="30"/>
      <c r="JX116" s="30"/>
      <c r="JY116" s="30"/>
      <c r="JZ116" s="30"/>
      <c r="KA116" s="30"/>
      <c r="KB116" s="30"/>
      <c r="KC116" s="30"/>
      <c r="KD116" s="30"/>
      <c r="KE116" s="30"/>
      <c r="KF116" s="30"/>
      <c r="KG116" s="30"/>
      <c r="KH116" s="30"/>
      <c r="KI116" s="30"/>
      <c r="KJ116" s="30"/>
      <c r="KK116" s="30"/>
      <c r="KL116" s="30"/>
      <c r="KM116" s="30"/>
      <c r="KN116" s="30"/>
      <c r="KO116" s="30"/>
      <c r="KP116" s="30"/>
      <c r="KQ116" s="30"/>
      <c r="KR116" s="30"/>
      <c r="KS116" s="30"/>
      <c r="KT116" s="30"/>
      <c r="KU116" s="30"/>
      <c r="KV116" s="30"/>
      <c r="KW116" s="30"/>
      <c r="KX116" s="30"/>
      <c r="KY116" s="30"/>
      <c r="KZ116" s="30"/>
      <c r="LA116" s="30"/>
      <c r="LB116" s="30"/>
      <c r="LC116" s="30"/>
      <c r="LD116" s="30"/>
      <c r="LE116" s="30"/>
      <c r="LF116" s="30"/>
      <c r="LG116" s="30"/>
      <c r="LH116" s="30"/>
      <c r="LI116" s="30"/>
      <c r="LJ116" s="30"/>
      <c r="LK116" s="30"/>
      <c r="LL116" s="30"/>
      <c r="LM116" s="30"/>
      <c r="LN116" s="30"/>
      <c r="LO116" s="30"/>
      <c r="LP116" s="30"/>
      <c r="LQ116" s="30"/>
      <c r="LR116" s="30"/>
      <c r="LS116" s="30"/>
      <c r="LT116" s="30"/>
      <c r="LU116" s="30"/>
      <c r="LV116" s="30"/>
      <c r="LW116" s="30"/>
      <c r="LX116" s="30"/>
      <c r="LY116" s="30"/>
      <c r="LZ116" s="30"/>
      <c r="MA116" s="30"/>
      <c r="MB116" s="30"/>
      <c r="MC116" s="30"/>
      <c r="MD116" s="30"/>
      <c r="ME116" s="30"/>
      <c r="MF116" s="30"/>
      <c r="MG116" s="30"/>
      <c r="MH116" s="30"/>
      <c r="MI116" s="30"/>
      <c r="MJ116" s="30"/>
      <c r="MK116" s="30"/>
      <c r="ML116" s="30"/>
      <c r="MM116" s="30"/>
      <c r="MN116" s="30"/>
      <c r="MO116" s="30"/>
      <c r="MP116" s="30"/>
      <c r="MQ116" s="30"/>
      <c r="MR116" s="30"/>
      <c r="MS116" s="30"/>
      <c r="MT116" s="30"/>
      <c r="MU116" s="30"/>
      <c r="MV116" s="30"/>
      <c r="MW116" s="30"/>
      <c r="MX116" s="30"/>
      <c r="MY116" s="30"/>
      <c r="MZ116" s="30"/>
      <c r="NA116" s="30"/>
      <c r="NB116" s="30"/>
      <c r="NC116" s="30"/>
      <c r="ND116" s="30"/>
      <c r="NE116" s="30"/>
      <c r="NF116" s="30"/>
      <c r="NG116" s="30"/>
      <c r="NH116" s="30"/>
      <c r="NI116" s="30"/>
      <c r="NJ116" s="30"/>
      <c r="NK116" s="30"/>
      <c r="NL116" s="30"/>
      <c r="NM116" s="30"/>
      <c r="NN116" s="30"/>
      <c r="NO116" s="30"/>
      <c r="NP116" s="30"/>
      <c r="NQ116" s="30"/>
      <c r="NR116" s="30"/>
    </row>
    <row r="117" spans="1:382" s="3" customFormat="1" ht="20.100000000000001" customHeight="1" x14ac:dyDescent="0.4">
      <c r="A117" s="29">
        <v>4</v>
      </c>
      <c r="B117" s="5" t="s">
        <v>32</v>
      </c>
      <c r="C117" s="5" t="s">
        <v>174</v>
      </c>
      <c r="D117" s="5" t="s">
        <v>41</v>
      </c>
      <c r="E117" s="5" t="s">
        <v>6</v>
      </c>
      <c r="F117" s="5" t="s">
        <v>32</v>
      </c>
      <c r="G117" s="5" t="s">
        <v>32</v>
      </c>
      <c r="H117" s="5" t="s">
        <v>32</v>
      </c>
      <c r="I117" s="8"/>
      <c r="J117" s="8"/>
      <c r="K117" s="8" t="str">
        <f>IF(OR(J117="",E117=""),"",J117+IFERROR(VLOOKUP(E117,リードタイム!$A$2:$C$9,3,FALSE),0))</f>
        <v/>
      </c>
      <c r="L117" s="5" t="s">
        <v>530</v>
      </c>
      <c r="M117" s="8"/>
      <c r="N117" s="8" t="str">
        <f>IF(OR(M117="",E117=""),"",M117+IFERROR(VLOOKUP(E117,リードタイム!$A$2:$D$9,4,FALSE),0))</f>
        <v/>
      </c>
      <c r="O117" s="5" t="s">
        <v>530</v>
      </c>
      <c r="P117" s="5" t="s">
        <v>530</v>
      </c>
      <c r="Q117" s="5" t="s">
        <v>175</v>
      </c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  <c r="FS117" s="30"/>
      <c r="FT117" s="30"/>
      <c r="FU117" s="30"/>
      <c r="FV117" s="30"/>
      <c r="FW117" s="30"/>
      <c r="FX117" s="30"/>
      <c r="FY117" s="30"/>
      <c r="FZ117" s="30"/>
      <c r="GA117" s="30"/>
      <c r="GB117" s="30"/>
      <c r="GC117" s="30"/>
      <c r="GD117" s="30"/>
      <c r="GE117" s="30"/>
      <c r="GF117" s="30"/>
      <c r="GG117" s="30"/>
      <c r="GH117" s="30"/>
      <c r="GI117" s="30"/>
      <c r="GJ117" s="30"/>
      <c r="GK117" s="30"/>
      <c r="GL117" s="30"/>
      <c r="GM117" s="30"/>
      <c r="GN117" s="30"/>
      <c r="GO117" s="30"/>
      <c r="GP117" s="30"/>
      <c r="GQ117" s="30"/>
      <c r="GR117" s="30"/>
      <c r="GS117" s="30"/>
      <c r="GT117" s="30"/>
      <c r="GU117" s="30"/>
      <c r="GV117" s="30"/>
      <c r="GW117" s="30"/>
      <c r="GX117" s="30"/>
      <c r="GY117" s="30"/>
      <c r="GZ117" s="30"/>
      <c r="HA117" s="30"/>
      <c r="HB117" s="30"/>
      <c r="HC117" s="30"/>
      <c r="HD117" s="30"/>
      <c r="HE117" s="30"/>
      <c r="HF117" s="30"/>
      <c r="HG117" s="30"/>
      <c r="HH117" s="30"/>
      <c r="HI117" s="30"/>
      <c r="HJ117" s="30"/>
      <c r="HK117" s="30"/>
      <c r="HL117" s="30"/>
      <c r="HM117" s="30"/>
      <c r="HN117" s="30"/>
      <c r="HO117" s="30"/>
      <c r="HP117" s="30"/>
      <c r="HQ117" s="30"/>
      <c r="HR117" s="30"/>
      <c r="HS117" s="30"/>
      <c r="HT117" s="30"/>
      <c r="HU117" s="30"/>
      <c r="HV117" s="30"/>
      <c r="HW117" s="30"/>
      <c r="HX117" s="30"/>
      <c r="HY117" s="30"/>
      <c r="HZ117" s="30"/>
      <c r="IA117" s="30"/>
      <c r="IB117" s="30"/>
      <c r="IC117" s="30"/>
      <c r="ID117" s="30"/>
      <c r="IE117" s="30"/>
      <c r="IF117" s="30"/>
      <c r="IG117" s="30"/>
      <c r="IH117" s="30"/>
      <c r="II117" s="30"/>
      <c r="IJ117" s="30"/>
      <c r="IK117" s="30"/>
      <c r="IL117" s="30"/>
      <c r="IM117" s="30"/>
      <c r="IN117" s="30"/>
      <c r="IO117" s="30"/>
      <c r="IP117" s="30"/>
      <c r="IQ117" s="30"/>
      <c r="IR117" s="30"/>
      <c r="IS117" s="30"/>
      <c r="IT117" s="30"/>
      <c r="IU117" s="30"/>
      <c r="IV117" s="30"/>
      <c r="IW117" s="30"/>
      <c r="IX117" s="30"/>
      <c r="IY117" s="30"/>
      <c r="IZ117" s="30"/>
      <c r="JA117" s="30"/>
      <c r="JB117" s="30"/>
      <c r="JC117" s="30"/>
      <c r="JD117" s="30"/>
      <c r="JE117" s="30"/>
      <c r="JF117" s="30"/>
      <c r="JG117" s="30"/>
      <c r="JH117" s="30"/>
      <c r="JI117" s="30"/>
      <c r="JJ117" s="30"/>
      <c r="JK117" s="30"/>
      <c r="JL117" s="30"/>
      <c r="JM117" s="30"/>
      <c r="JN117" s="30"/>
      <c r="JO117" s="30"/>
      <c r="JP117" s="30"/>
      <c r="JQ117" s="30"/>
      <c r="JR117" s="30"/>
      <c r="JS117" s="30"/>
      <c r="JT117" s="30"/>
      <c r="JU117" s="30"/>
      <c r="JV117" s="30"/>
      <c r="JW117" s="30"/>
      <c r="JX117" s="30"/>
      <c r="JY117" s="30"/>
      <c r="JZ117" s="30"/>
      <c r="KA117" s="30"/>
      <c r="KB117" s="30"/>
      <c r="KC117" s="30"/>
      <c r="KD117" s="30"/>
      <c r="KE117" s="30"/>
      <c r="KF117" s="30"/>
      <c r="KG117" s="30"/>
      <c r="KH117" s="30"/>
      <c r="KI117" s="30"/>
      <c r="KJ117" s="30"/>
      <c r="KK117" s="30"/>
      <c r="KL117" s="30"/>
      <c r="KM117" s="30"/>
      <c r="KN117" s="30"/>
      <c r="KO117" s="30"/>
      <c r="KP117" s="30"/>
      <c r="KQ117" s="30"/>
      <c r="KR117" s="30"/>
      <c r="KS117" s="30"/>
      <c r="KT117" s="30"/>
      <c r="KU117" s="30"/>
      <c r="KV117" s="30"/>
      <c r="KW117" s="30"/>
      <c r="KX117" s="30"/>
      <c r="KY117" s="30"/>
      <c r="KZ117" s="30"/>
      <c r="LA117" s="30"/>
      <c r="LB117" s="30"/>
      <c r="LC117" s="30"/>
      <c r="LD117" s="30"/>
      <c r="LE117" s="30"/>
      <c r="LF117" s="30"/>
      <c r="LG117" s="30"/>
      <c r="LH117" s="30"/>
      <c r="LI117" s="30"/>
      <c r="LJ117" s="30"/>
      <c r="LK117" s="30"/>
      <c r="LL117" s="30"/>
      <c r="LM117" s="30"/>
      <c r="LN117" s="30"/>
      <c r="LO117" s="30"/>
      <c r="LP117" s="30"/>
      <c r="LQ117" s="30"/>
      <c r="LR117" s="30"/>
      <c r="LS117" s="30"/>
      <c r="LT117" s="30"/>
      <c r="LU117" s="30"/>
      <c r="LV117" s="30"/>
      <c r="LW117" s="30"/>
      <c r="LX117" s="30"/>
      <c r="LY117" s="30"/>
      <c r="LZ117" s="30"/>
      <c r="MA117" s="30"/>
      <c r="MB117" s="30"/>
      <c r="MC117" s="30"/>
      <c r="MD117" s="30"/>
      <c r="ME117" s="30"/>
      <c r="MF117" s="30"/>
      <c r="MG117" s="30"/>
      <c r="MH117" s="30"/>
      <c r="MI117" s="30"/>
      <c r="MJ117" s="30"/>
      <c r="MK117" s="30"/>
      <c r="ML117" s="30"/>
      <c r="MM117" s="30"/>
      <c r="MN117" s="30"/>
      <c r="MO117" s="30"/>
      <c r="MP117" s="30"/>
      <c r="MQ117" s="30"/>
      <c r="MR117" s="30"/>
      <c r="MS117" s="30"/>
      <c r="MT117" s="30"/>
      <c r="MU117" s="30"/>
      <c r="MV117" s="30"/>
      <c r="MW117" s="30"/>
      <c r="MX117" s="30"/>
      <c r="MY117" s="30"/>
      <c r="MZ117" s="30"/>
      <c r="NA117" s="30"/>
      <c r="NB117" s="30"/>
      <c r="NC117" s="30"/>
      <c r="ND117" s="30"/>
      <c r="NE117" s="30"/>
      <c r="NF117" s="30"/>
      <c r="NG117" s="30"/>
      <c r="NH117" s="30"/>
      <c r="NI117" s="30"/>
      <c r="NJ117" s="30"/>
      <c r="NK117" s="30"/>
      <c r="NL117" s="30"/>
      <c r="NM117" s="30"/>
      <c r="NN117" s="30"/>
      <c r="NO117" s="30"/>
      <c r="NP117" s="30"/>
      <c r="NQ117" s="30"/>
      <c r="NR117" s="30"/>
    </row>
    <row r="118" spans="1:382" s="3" customFormat="1" ht="20.100000000000001" customHeight="1" x14ac:dyDescent="0.4">
      <c r="A118" s="29">
        <v>5</v>
      </c>
      <c r="B118" s="5" t="s">
        <v>32</v>
      </c>
      <c r="C118" s="5" t="s">
        <v>174</v>
      </c>
      <c r="D118" s="5" t="s">
        <v>62</v>
      </c>
      <c r="E118" s="5" t="s">
        <v>8</v>
      </c>
      <c r="F118" s="5" t="s">
        <v>32</v>
      </c>
      <c r="G118" s="5" t="s">
        <v>32</v>
      </c>
      <c r="H118" s="5" t="s">
        <v>32</v>
      </c>
      <c r="I118" s="8"/>
      <c r="J118" s="8"/>
      <c r="K118" s="8" t="str">
        <f>IF(OR(J118="",E118=""),"",J118+IFERROR(VLOOKUP(E118,リードタイム!$A$2:$C$9,3,FALSE),0))</f>
        <v/>
      </c>
      <c r="L118" s="5" t="s">
        <v>530</v>
      </c>
      <c r="M118" s="8"/>
      <c r="N118" s="8" t="str">
        <f>IF(OR(M118="",E118=""),"",M118+IFERROR(VLOOKUP(E118,リードタイム!$A$2:$D$9,4,FALSE),0))</f>
        <v/>
      </c>
      <c r="O118" s="5" t="s">
        <v>530</v>
      </c>
      <c r="P118" s="5" t="s">
        <v>530</v>
      </c>
      <c r="Q118" s="5" t="s">
        <v>175</v>
      </c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  <c r="FS118" s="30"/>
      <c r="FT118" s="30"/>
      <c r="FU118" s="30"/>
      <c r="FV118" s="30"/>
      <c r="FW118" s="30"/>
      <c r="FX118" s="30"/>
      <c r="FY118" s="30"/>
      <c r="FZ118" s="30"/>
      <c r="GA118" s="30"/>
      <c r="GB118" s="30"/>
      <c r="GC118" s="30"/>
      <c r="GD118" s="30"/>
      <c r="GE118" s="30"/>
      <c r="GF118" s="30"/>
      <c r="GG118" s="30"/>
      <c r="GH118" s="30"/>
      <c r="GI118" s="30"/>
      <c r="GJ118" s="30"/>
      <c r="GK118" s="30"/>
      <c r="GL118" s="30"/>
      <c r="GM118" s="30"/>
      <c r="GN118" s="30"/>
      <c r="GO118" s="30"/>
      <c r="GP118" s="30"/>
      <c r="GQ118" s="30"/>
      <c r="GR118" s="30"/>
      <c r="GS118" s="30"/>
      <c r="GT118" s="30"/>
      <c r="GU118" s="30"/>
      <c r="GV118" s="30"/>
      <c r="GW118" s="30"/>
      <c r="GX118" s="30"/>
      <c r="GY118" s="30"/>
      <c r="GZ118" s="30"/>
      <c r="HA118" s="30"/>
      <c r="HB118" s="30"/>
      <c r="HC118" s="30"/>
      <c r="HD118" s="30"/>
      <c r="HE118" s="30"/>
      <c r="HF118" s="30"/>
      <c r="HG118" s="30"/>
      <c r="HH118" s="30"/>
      <c r="HI118" s="30"/>
      <c r="HJ118" s="30"/>
      <c r="HK118" s="30"/>
      <c r="HL118" s="30"/>
      <c r="HM118" s="30"/>
      <c r="HN118" s="30"/>
      <c r="HO118" s="30"/>
      <c r="HP118" s="30"/>
      <c r="HQ118" s="30"/>
      <c r="HR118" s="30"/>
      <c r="HS118" s="30"/>
      <c r="HT118" s="30"/>
      <c r="HU118" s="30"/>
      <c r="HV118" s="30"/>
      <c r="HW118" s="30"/>
      <c r="HX118" s="30"/>
      <c r="HY118" s="30"/>
      <c r="HZ118" s="30"/>
      <c r="IA118" s="30"/>
      <c r="IB118" s="30"/>
      <c r="IC118" s="30"/>
      <c r="ID118" s="30"/>
      <c r="IE118" s="30"/>
      <c r="IF118" s="30"/>
      <c r="IG118" s="30"/>
      <c r="IH118" s="30"/>
      <c r="II118" s="30"/>
      <c r="IJ118" s="30"/>
      <c r="IK118" s="30"/>
      <c r="IL118" s="30"/>
      <c r="IM118" s="30"/>
      <c r="IN118" s="30"/>
      <c r="IO118" s="30"/>
      <c r="IP118" s="30"/>
      <c r="IQ118" s="30"/>
      <c r="IR118" s="30"/>
      <c r="IS118" s="30"/>
      <c r="IT118" s="30"/>
      <c r="IU118" s="30"/>
      <c r="IV118" s="30"/>
      <c r="IW118" s="30"/>
      <c r="IX118" s="30"/>
      <c r="IY118" s="30"/>
      <c r="IZ118" s="30"/>
      <c r="JA118" s="30"/>
      <c r="JB118" s="30"/>
      <c r="JC118" s="30"/>
      <c r="JD118" s="30"/>
      <c r="JE118" s="30"/>
      <c r="JF118" s="30"/>
      <c r="JG118" s="30"/>
      <c r="JH118" s="30"/>
      <c r="JI118" s="30"/>
      <c r="JJ118" s="30"/>
      <c r="JK118" s="30"/>
      <c r="JL118" s="30"/>
      <c r="JM118" s="30"/>
      <c r="JN118" s="30"/>
      <c r="JO118" s="30"/>
      <c r="JP118" s="30"/>
      <c r="JQ118" s="30"/>
      <c r="JR118" s="30"/>
      <c r="JS118" s="30"/>
      <c r="JT118" s="30"/>
      <c r="JU118" s="30"/>
      <c r="JV118" s="30"/>
      <c r="JW118" s="30"/>
      <c r="JX118" s="30"/>
      <c r="JY118" s="30"/>
      <c r="JZ118" s="30"/>
      <c r="KA118" s="30"/>
      <c r="KB118" s="30"/>
      <c r="KC118" s="30"/>
      <c r="KD118" s="30"/>
      <c r="KE118" s="30"/>
      <c r="KF118" s="30"/>
      <c r="KG118" s="30"/>
      <c r="KH118" s="30"/>
      <c r="KI118" s="30"/>
      <c r="KJ118" s="30"/>
      <c r="KK118" s="30"/>
      <c r="KL118" s="30"/>
      <c r="KM118" s="30"/>
      <c r="KN118" s="30"/>
      <c r="KO118" s="30"/>
      <c r="KP118" s="30"/>
      <c r="KQ118" s="30"/>
      <c r="KR118" s="30"/>
      <c r="KS118" s="30"/>
      <c r="KT118" s="30"/>
      <c r="KU118" s="30"/>
      <c r="KV118" s="30"/>
      <c r="KW118" s="30"/>
      <c r="KX118" s="30"/>
      <c r="KY118" s="30"/>
      <c r="KZ118" s="30"/>
      <c r="LA118" s="30"/>
      <c r="LB118" s="30"/>
      <c r="LC118" s="30"/>
      <c r="LD118" s="30"/>
      <c r="LE118" s="30"/>
      <c r="LF118" s="30"/>
      <c r="LG118" s="30"/>
      <c r="LH118" s="30"/>
      <c r="LI118" s="30"/>
      <c r="LJ118" s="30"/>
      <c r="LK118" s="30"/>
      <c r="LL118" s="30"/>
      <c r="LM118" s="30"/>
      <c r="LN118" s="30"/>
      <c r="LO118" s="30"/>
      <c r="LP118" s="30"/>
      <c r="LQ118" s="30"/>
      <c r="LR118" s="30"/>
      <c r="LS118" s="30"/>
      <c r="LT118" s="30"/>
      <c r="LU118" s="30"/>
      <c r="LV118" s="30"/>
      <c r="LW118" s="30"/>
      <c r="LX118" s="30"/>
      <c r="LY118" s="30"/>
      <c r="LZ118" s="30"/>
      <c r="MA118" s="30"/>
      <c r="MB118" s="30"/>
      <c r="MC118" s="30"/>
      <c r="MD118" s="30"/>
      <c r="ME118" s="30"/>
      <c r="MF118" s="30"/>
      <c r="MG118" s="30"/>
      <c r="MH118" s="30"/>
      <c r="MI118" s="30"/>
      <c r="MJ118" s="30"/>
      <c r="MK118" s="30"/>
      <c r="ML118" s="30"/>
      <c r="MM118" s="30"/>
      <c r="MN118" s="30"/>
      <c r="MO118" s="30"/>
      <c r="MP118" s="30"/>
      <c r="MQ118" s="30"/>
      <c r="MR118" s="30"/>
      <c r="MS118" s="30"/>
      <c r="MT118" s="30"/>
      <c r="MU118" s="30"/>
      <c r="MV118" s="30"/>
      <c r="MW118" s="30"/>
      <c r="MX118" s="30"/>
      <c r="MY118" s="30"/>
      <c r="MZ118" s="30"/>
      <c r="NA118" s="30"/>
      <c r="NB118" s="30"/>
      <c r="NC118" s="30"/>
      <c r="ND118" s="30"/>
      <c r="NE118" s="30"/>
      <c r="NF118" s="30"/>
      <c r="NG118" s="30"/>
      <c r="NH118" s="30"/>
      <c r="NI118" s="30"/>
      <c r="NJ118" s="30"/>
      <c r="NK118" s="30"/>
      <c r="NL118" s="30"/>
      <c r="NM118" s="30"/>
      <c r="NN118" s="30"/>
      <c r="NO118" s="30"/>
      <c r="NP118" s="30"/>
      <c r="NQ118" s="30"/>
      <c r="NR118" s="30"/>
    </row>
    <row r="119" spans="1:382" s="3" customFormat="1" ht="20.100000000000001" customHeight="1" x14ac:dyDescent="0.4">
      <c r="A119" s="29">
        <v>1</v>
      </c>
      <c r="B119" s="5">
        <v>1948</v>
      </c>
      <c r="C119" s="5" t="s">
        <v>176</v>
      </c>
      <c r="D119" s="5" t="s">
        <v>177</v>
      </c>
      <c r="E119" s="5" t="s">
        <v>14</v>
      </c>
      <c r="F119" s="5" t="s">
        <v>32</v>
      </c>
      <c r="G119" s="5" t="s">
        <v>32</v>
      </c>
      <c r="H119" s="5" t="s">
        <v>32</v>
      </c>
      <c r="I119" s="8"/>
      <c r="J119" s="8"/>
      <c r="K119" s="8" t="str">
        <f>IF(OR(J119="",E119=""),"",J119+IFERROR(VLOOKUP(E119,リードタイム!$A$2:$C$9,3,FALSE),0))</f>
        <v/>
      </c>
      <c r="L119" s="5" t="s">
        <v>531</v>
      </c>
      <c r="M119" s="8"/>
      <c r="N119" s="8" t="str">
        <f>IF(OR(M119="",E119=""),"",M119+IFERROR(VLOOKUP(E119,リードタイム!$A$2:$D$9,4,FALSE),0))</f>
        <v/>
      </c>
      <c r="O119" s="5" t="s">
        <v>531</v>
      </c>
      <c r="P119" s="5" t="s">
        <v>533</v>
      </c>
      <c r="Q119" s="5" t="s">
        <v>32</v>
      </c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  <c r="FS119" s="30"/>
      <c r="FT119" s="30"/>
      <c r="FU119" s="30"/>
      <c r="FV119" s="30"/>
      <c r="FW119" s="30"/>
      <c r="FX119" s="30"/>
      <c r="FY119" s="30"/>
      <c r="FZ119" s="30"/>
      <c r="GA119" s="30"/>
      <c r="GB119" s="30"/>
      <c r="GC119" s="30"/>
      <c r="GD119" s="30"/>
      <c r="GE119" s="30"/>
      <c r="GF119" s="30"/>
      <c r="GG119" s="30"/>
      <c r="GH119" s="30"/>
      <c r="GI119" s="30"/>
      <c r="GJ119" s="30"/>
      <c r="GK119" s="30"/>
      <c r="GL119" s="30"/>
      <c r="GM119" s="30"/>
      <c r="GN119" s="30"/>
      <c r="GO119" s="30"/>
      <c r="GP119" s="30"/>
      <c r="GQ119" s="30"/>
      <c r="GR119" s="30"/>
      <c r="GS119" s="30"/>
      <c r="GT119" s="30"/>
      <c r="GU119" s="30"/>
      <c r="GV119" s="30"/>
      <c r="GW119" s="30"/>
      <c r="GX119" s="30"/>
      <c r="GY119" s="30"/>
      <c r="GZ119" s="30"/>
      <c r="HA119" s="30"/>
      <c r="HB119" s="30"/>
      <c r="HC119" s="30"/>
      <c r="HD119" s="30"/>
      <c r="HE119" s="30"/>
      <c r="HF119" s="30"/>
      <c r="HG119" s="30"/>
      <c r="HH119" s="30"/>
      <c r="HI119" s="30"/>
      <c r="HJ119" s="30"/>
      <c r="HK119" s="30"/>
      <c r="HL119" s="30"/>
      <c r="HM119" s="30"/>
      <c r="HN119" s="30"/>
      <c r="HO119" s="30"/>
      <c r="HP119" s="30"/>
      <c r="HQ119" s="30"/>
      <c r="HR119" s="30"/>
      <c r="HS119" s="30"/>
      <c r="HT119" s="30"/>
      <c r="HU119" s="30"/>
      <c r="HV119" s="30"/>
      <c r="HW119" s="30"/>
      <c r="HX119" s="30"/>
      <c r="HY119" s="30"/>
      <c r="HZ119" s="30"/>
      <c r="IA119" s="30"/>
      <c r="IB119" s="30"/>
      <c r="IC119" s="30"/>
      <c r="ID119" s="30"/>
      <c r="IE119" s="30"/>
      <c r="IF119" s="30"/>
      <c r="IG119" s="30"/>
      <c r="IH119" s="30"/>
      <c r="II119" s="30"/>
      <c r="IJ119" s="30"/>
      <c r="IK119" s="30"/>
      <c r="IL119" s="30"/>
      <c r="IM119" s="30"/>
      <c r="IN119" s="30"/>
      <c r="IO119" s="30"/>
      <c r="IP119" s="30"/>
      <c r="IQ119" s="30"/>
      <c r="IR119" s="30"/>
      <c r="IS119" s="30"/>
      <c r="IT119" s="30"/>
      <c r="IU119" s="30"/>
      <c r="IV119" s="30"/>
      <c r="IW119" s="30"/>
      <c r="IX119" s="30"/>
      <c r="IY119" s="30"/>
      <c r="IZ119" s="30"/>
      <c r="JA119" s="30"/>
      <c r="JB119" s="30"/>
      <c r="JC119" s="30"/>
      <c r="JD119" s="30"/>
      <c r="JE119" s="30"/>
      <c r="JF119" s="30"/>
      <c r="JG119" s="30"/>
      <c r="JH119" s="30"/>
      <c r="JI119" s="30"/>
      <c r="JJ119" s="30"/>
      <c r="JK119" s="30"/>
      <c r="JL119" s="30"/>
      <c r="JM119" s="30"/>
      <c r="JN119" s="30"/>
      <c r="JO119" s="30"/>
      <c r="JP119" s="30"/>
      <c r="JQ119" s="30"/>
      <c r="JR119" s="30"/>
      <c r="JS119" s="30"/>
      <c r="JT119" s="30"/>
      <c r="JU119" s="30"/>
      <c r="JV119" s="30"/>
      <c r="JW119" s="30"/>
      <c r="JX119" s="30"/>
      <c r="JY119" s="30"/>
      <c r="JZ119" s="30"/>
      <c r="KA119" s="30"/>
      <c r="KB119" s="30"/>
      <c r="KC119" s="30"/>
      <c r="KD119" s="30"/>
      <c r="KE119" s="30"/>
      <c r="KF119" s="30"/>
      <c r="KG119" s="30"/>
      <c r="KH119" s="30"/>
      <c r="KI119" s="30"/>
      <c r="KJ119" s="30"/>
      <c r="KK119" s="30"/>
      <c r="KL119" s="30"/>
      <c r="KM119" s="30"/>
      <c r="KN119" s="30"/>
      <c r="KO119" s="30"/>
      <c r="KP119" s="30"/>
      <c r="KQ119" s="30"/>
      <c r="KR119" s="30"/>
      <c r="KS119" s="30"/>
      <c r="KT119" s="30"/>
      <c r="KU119" s="30"/>
      <c r="KV119" s="30"/>
      <c r="KW119" s="30"/>
      <c r="KX119" s="30"/>
      <c r="KY119" s="30"/>
      <c r="KZ119" s="30"/>
      <c r="LA119" s="30"/>
      <c r="LB119" s="30"/>
      <c r="LC119" s="30"/>
      <c r="LD119" s="30"/>
      <c r="LE119" s="30"/>
      <c r="LF119" s="30"/>
      <c r="LG119" s="30"/>
      <c r="LH119" s="30"/>
      <c r="LI119" s="30"/>
      <c r="LJ119" s="30"/>
      <c r="LK119" s="30"/>
      <c r="LL119" s="30"/>
      <c r="LM119" s="30"/>
      <c r="LN119" s="30"/>
      <c r="LO119" s="30"/>
      <c r="LP119" s="30"/>
      <c r="LQ119" s="30"/>
      <c r="LR119" s="30"/>
      <c r="LS119" s="30"/>
      <c r="LT119" s="30"/>
      <c r="LU119" s="30"/>
      <c r="LV119" s="30"/>
      <c r="LW119" s="30"/>
      <c r="LX119" s="30"/>
      <c r="LY119" s="30"/>
      <c r="LZ119" s="30"/>
      <c r="MA119" s="30"/>
      <c r="MB119" s="30"/>
      <c r="MC119" s="30"/>
      <c r="MD119" s="30"/>
      <c r="ME119" s="30"/>
      <c r="MF119" s="30"/>
      <c r="MG119" s="30"/>
      <c r="MH119" s="30"/>
      <c r="MI119" s="30"/>
      <c r="MJ119" s="30"/>
      <c r="MK119" s="30"/>
      <c r="ML119" s="30"/>
      <c r="MM119" s="30"/>
      <c r="MN119" s="30"/>
      <c r="MO119" s="30"/>
      <c r="MP119" s="30"/>
      <c r="MQ119" s="30"/>
      <c r="MR119" s="30"/>
      <c r="MS119" s="30"/>
      <c r="MT119" s="30"/>
      <c r="MU119" s="30"/>
      <c r="MV119" s="30"/>
      <c r="MW119" s="30"/>
      <c r="MX119" s="30"/>
      <c r="MY119" s="30"/>
      <c r="MZ119" s="30"/>
      <c r="NA119" s="30"/>
      <c r="NB119" s="30"/>
      <c r="NC119" s="30"/>
      <c r="ND119" s="30"/>
      <c r="NE119" s="30"/>
      <c r="NF119" s="30"/>
      <c r="NG119" s="30"/>
      <c r="NH119" s="30"/>
      <c r="NI119" s="30"/>
      <c r="NJ119" s="30"/>
      <c r="NK119" s="30"/>
      <c r="NL119" s="30"/>
      <c r="NM119" s="30"/>
      <c r="NN119" s="30"/>
      <c r="NO119" s="30"/>
      <c r="NP119" s="30"/>
      <c r="NQ119" s="30"/>
      <c r="NR119" s="30"/>
    </row>
    <row r="120" spans="1:382" s="3" customFormat="1" ht="20.100000000000001" customHeight="1" x14ac:dyDescent="0.4">
      <c r="A120" s="29">
        <v>2</v>
      </c>
      <c r="B120" s="5">
        <v>1947</v>
      </c>
      <c r="C120" s="5" t="s">
        <v>176</v>
      </c>
      <c r="D120" s="5" t="s">
        <v>178</v>
      </c>
      <c r="E120" s="5" t="s">
        <v>14</v>
      </c>
      <c r="F120" s="5" t="s">
        <v>32</v>
      </c>
      <c r="G120" s="5" t="s">
        <v>32</v>
      </c>
      <c r="H120" s="5" t="s">
        <v>32</v>
      </c>
      <c r="I120" s="8"/>
      <c r="J120" s="8"/>
      <c r="K120" s="8" t="str">
        <f>IF(OR(J120="",E120=""),"",J120+IFERROR(VLOOKUP(E120,リードタイム!$A$2:$C$9,3,FALSE),0))</f>
        <v/>
      </c>
      <c r="L120" s="5" t="s">
        <v>531</v>
      </c>
      <c r="M120" s="8"/>
      <c r="N120" s="8" t="str">
        <f>IF(OR(M120="",E120=""),"",M120+IFERROR(VLOOKUP(E120,リードタイム!$A$2:$D$9,4,FALSE),0))</f>
        <v/>
      </c>
      <c r="O120" s="5" t="s">
        <v>531</v>
      </c>
      <c r="P120" s="5" t="s">
        <v>533</v>
      </c>
      <c r="Q120" s="5" t="s">
        <v>32</v>
      </c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  <c r="FS120" s="30"/>
      <c r="FT120" s="30"/>
      <c r="FU120" s="30"/>
      <c r="FV120" s="30"/>
      <c r="FW120" s="30"/>
      <c r="FX120" s="30"/>
      <c r="FY120" s="30"/>
      <c r="FZ120" s="30"/>
      <c r="GA120" s="30"/>
      <c r="GB120" s="30"/>
      <c r="GC120" s="30"/>
      <c r="GD120" s="30"/>
      <c r="GE120" s="30"/>
      <c r="GF120" s="30"/>
      <c r="GG120" s="30"/>
      <c r="GH120" s="30"/>
      <c r="GI120" s="30"/>
      <c r="GJ120" s="30"/>
      <c r="GK120" s="30"/>
      <c r="GL120" s="30"/>
      <c r="GM120" s="30"/>
      <c r="GN120" s="30"/>
      <c r="GO120" s="30"/>
      <c r="GP120" s="30"/>
      <c r="GQ120" s="30"/>
      <c r="GR120" s="30"/>
      <c r="GS120" s="30"/>
      <c r="GT120" s="30"/>
      <c r="GU120" s="30"/>
      <c r="GV120" s="30"/>
      <c r="GW120" s="30"/>
      <c r="GX120" s="30"/>
      <c r="GY120" s="30"/>
      <c r="GZ120" s="30"/>
      <c r="HA120" s="30"/>
      <c r="HB120" s="30"/>
      <c r="HC120" s="30"/>
      <c r="HD120" s="30"/>
      <c r="HE120" s="30"/>
      <c r="HF120" s="30"/>
      <c r="HG120" s="30"/>
      <c r="HH120" s="30"/>
      <c r="HI120" s="30"/>
      <c r="HJ120" s="30"/>
      <c r="HK120" s="30"/>
      <c r="HL120" s="30"/>
      <c r="HM120" s="30"/>
      <c r="HN120" s="30"/>
      <c r="HO120" s="30"/>
      <c r="HP120" s="30"/>
      <c r="HQ120" s="30"/>
      <c r="HR120" s="30"/>
      <c r="HS120" s="30"/>
      <c r="HT120" s="30"/>
      <c r="HU120" s="30"/>
      <c r="HV120" s="30"/>
      <c r="HW120" s="30"/>
      <c r="HX120" s="30"/>
      <c r="HY120" s="30"/>
      <c r="HZ120" s="30"/>
      <c r="IA120" s="30"/>
      <c r="IB120" s="30"/>
      <c r="IC120" s="30"/>
      <c r="ID120" s="30"/>
      <c r="IE120" s="30"/>
      <c r="IF120" s="30"/>
      <c r="IG120" s="30"/>
      <c r="IH120" s="30"/>
      <c r="II120" s="30"/>
      <c r="IJ120" s="30"/>
      <c r="IK120" s="30"/>
      <c r="IL120" s="30"/>
      <c r="IM120" s="30"/>
      <c r="IN120" s="30"/>
      <c r="IO120" s="30"/>
      <c r="IP120" s="30"/>
      <c r="IQ120" s="30"/>
      <c r="IR120" s="30"/>
      <c r="IS120" s="30"/>
      <c r="IT120" s="30"/>
      <c r="IU120" s="30"/>
      <c r="IV120" s="30"/>
      <c r="IW120" s="30"/>
      <c r="IX120" s="30"/>
      <c r="IY120" s="30"/>
      <c r="IZ120" s="30"/>
      <c r="JA120" s="30"/>
      <c r="JB120" s="30"/>
      <c r="JC120" s="30"/>
      <c r="JD120" s="30"/>
      <c r="JE120" s="30"/>
      <c r="JF120" s="30"/>
      <c r="JG120" s="30"/>
      <c r="JH120" s="30"/>
      <c r="JI120" s="30"/>
      <c r="JJ120" s="30"/>
      <c r="JK120" s="30"/>
      <c r="JL120" s="30"/>
      <c r="JM120" s="30"/>
      <c r="JN120" s="30"/>
      <c r="JO120" s="30"/>
      <c r="JP120" s="30"/>
      <c r="JQ120" s="30"/>
      <c r="JR120" s="30"/>
      <c r="JS120" s="30"/>
      <c r="JT120" s="30"/>
      <c r="JU120" s="30"/>
      <c r="JV120" s="30"/>
      <c r="JW120" s="30"/>
      <c r="JX120" s="30"/>
      <c r="JY120" s="30"/>
      <c r="JZ120" s="30"/>
      <c r="KA120" s="30"/>
      <c r="KB120" s="30"/>
      <c r="KC120" s="30"/>
      <c r="KD120" s="30"/>
      <c r="KE120" s="30"/>
      <c r="KF120" s="30"/>
      <c r="KG120" s="30"/>
      <c r="KH120" s="30"/>
      <c r="KI120" s="30"/>
      <c r="KJ120" s="30"/>
      <c r="KK120" s="30"/>
      <c r="KL120" s="30"/>
      <c r="KM120" s="30"/>
      <c r="KN120" s="30"/>
      <c r="KO120" s="30"/>
      <c r="KP120" s="30"/>
      <c r="KQ120" s="30"/>
      <c r="KR120" s="30"/>
      <c r="KS120" s="30"/>
      <c r="KT120" s="30"/>
      <c r="KU120" s="30"/>
      <c r="KV120" s="30"/>
      <c r="KW120" s="30"/>
      <c r="KX120" s="30"/>
      <c r="KY120" s="30"/>
      <c r="KZ120" s="30"/>
      <c r="LA120" s="30"/>
      <c r="LB120" s="30"/>
      <c r="LC120" s="30"/>
      <c r="LD120" s="30"/>
      <c r="LE120" s="30"/>
      <c r="LF120" s="30"/>
      <c r="LG120" s="30"/>
      <c r="LH120" s="30"/>
      <c r="LI120" s="30"/>
      <c r="LJ120" s="30"/>
      <c r="LK120" s="30"/>
      <c r="LL120" s="30"/>
      <c r="LM120" s="30"/>
      <c r="LN120" s="30"/>
      <c r="LO120" s="30"/>
      <c r="LP120" s="30"/>
      <c r="LQ120" s="30"/>
      <c r="LR120" s="30"/>
      <c r="LS120" s="30"/>
      <c r="LT120" s="30"/>
      <c r="LU120" s="30"/>
      <c r="LV120" s="30"/>
      <c r="LW120" s="30"/>
      <c r="LX120" s="30"/>
      <c r="LY120" s="30"/>
      <c r="LZ120" s="30"/>
      <c r="MA120" s="30"/>
      <c r="MB120" s="30"/>
      <c r="MC120" s="30"/>
      <c r="MD120" s="30"/>
      <c r="ME120" s="30"/>
      <c r="MF120" s="30"/>
      <c r="MG120" s="30"/>
      <c r="MH120" s="30"/>
      <c r="MI120" s="30"/>
      <c r="MJ120" s="30"/>
      <c r="MK120" s="30"/>
      <c r="ML120" s="30"/>
      <c r="MM120" s="30"/>
      <c r="MN120" s="30"/>
      <c r="MO120" s="30"/>
      <c r="MP120" s="30"/>
      <c r="MQ120" s="30"/>
      <c r="MR120" s="30"/>
      <c r="MS120" s="30"/>
      <c r="MT120" s="30"/>
      <c r="MU120" s="30"/>
      <c r="MV120" s="30"/>
      <c r="MW120" s="30"/>
      <c r="MX120" s="30"/>
      <c r="MY120" s="30"/>
      <c r="MZ120" s="30"/>
      <c r="NA120" s="30"/>
      <c r="NB120" s="30"/>
      <c r="NC120" s="30"/>
      <c r="ND120" s="30"/>
      <c r="NE120" s="30"/>
      <c r="NF120" s="30"/>
      <c r="NG120" s="30"/>
      <c r="NH120" s="30"/>
      <c r="NI120" s="30"/>
      <c r="NJ120" s="30"/>
      <c r="NK120" s="30"/>
      <c r="NL120" s="30"/>
      <c r="NM120" s="30"/>
      <c r="NN120" s="30"/>
      <c r="NO120" s="30"/>
      <c r="NP120" s="30"/>
      <c r="NQ120" s="30"/>
      <c r="NR120" s="30"/>
    </row>
    <row r="121" spans="1:382" s="3" customFormat="1" ht="20.100000000000001" customHeight="1" x14ac:dyDescent="0.4">
      <c r="A121" s="29">
        <v>3</v>
      </c>
      <c r="B121" s="5">
        <v>1944</v>
      </c>
      <c r="C121" s="5" t="s">
        <v>176</v>
      </c>
      <c r="D121" s="5" t="s">
        <v>179</v>
      </c>
      <c r="E121" s="5" t="s">
        <v>18</v>
      </c>
      <c r="F121" s="5" t="s">
        <v>32</v>
      </c>
      <c r="G121" s="5" t="s">
        <v>32</v>
      </c>
      <c r="H121" s="5" t="s">
        <v>32</v>
      </c>
      <c r="I121" s="8">
        <v>46051.625</v>
      </c>
      <c r="J121" s="8"/>
      <c r="K121" s="8" t="str">
        <f>IF(OR(J121="",E121=""),"",J121+IFERROR(VLOOKUP(E121,リードタイム!$A$2:$C$9,3,FALSE),0))</f>
        <v/>
      </c>
      <c r="L121" s="5" t="s">
        <v>531</v>
      </c>
      <c r="M121" s="8"/>
      <c r="N121" s="8" t="str">
        <f>IF(OR(M121="",E121=""),"",M121+IFERROR(VLOOKUP(E121,リードタイム!$A$2:$D$9,4,FALSE),0))</f>
        <v/>
      </c>
      <c r="O121" s="5" t="s">
        <v>531</v>
      </c>
      <c r="P121" s="5" t="s">
        <v>533</v>
      </c>
      <c r="Q121" s="5" t="s">
        <v>32</v>
      </c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  <c r="FS121" s="30"/>
      <c r="FT121" s="30"/>
      <c r="FU121" s="30"/>
      <c r="FV121" s="30"/>
      <c r="FW121" s="30"/>
      <c r="FX121" s="30"/>
      <c r="FY121" s="30"/>
      <c r="FZ121" s="30"/>
      <c r="GA121" s="30"/>
      <c r="GB121" s="30"/>
      <c r="GC121" s="30"/>
      <c r="GD121" s="30"/>
      <c r="GE121" s="30"/>
      <c r="GF121" s="30"/>
      <c r="GG121" s="30"/>
      <c r="GH121" s="30"/>
      <c r="GI121" s="30"/>
      <c r="GJ121" s="30"/>
      <c r="GK121" s="30"/>
      <c r="GL121" s="30"/>
      <c r="GM121" s="30"/>
      <c r="GN121" s="30"/>
      <c r="GO121" s="30"/>
      <c r="GP121" s="30"/>
      <c r="GQ121" s="30"/>
      <c r="GR121" s="30"/>
      <c r="GS121" s="30"/>
      <c r="GT121" s="30"/>
      <c r="GU121" s="30"/>
      <c r="GV121" s="30"/>
      <c r="GW121" s="30"/>
      <c r="GX121" s="30"/>
      <c r="GY121" s="30"/>
      <c r="GZ121" s="30"/>
      <c r="HA121" s="30"/>
      <c r="HB121" s="30"/>
      <c r="HC121" s="30"/>
      <c r="HD121" s="30"/>
      <c r="HE121" s="30"/>
      <c r="HF121" s="30"/>
      <c r="HG121" s="30"/>
      <c r="HH121" s="30"/>
      <c r="HI121" s="30"/>
      <c r="HJ121" s="30"/>
      <c r="HK121" s="30"/>
      <c r="HL121" s="30"/>
      <c r="HM121" s="30"/>
      <c r="HN121" s="30"/>
      <c r="HO121" s="30"/>
      <c r="HP121" s="30"/>
      <c r="HQ121" s="30"/>
      <c r="HR121" s="30"/>
      <c r="HS121" s="30"/>
      <c r="HT121" s="30"/>
      <c r="HU121" s="30"/>
      <c r="HV121" s="30"/>
      <c r="HW121" s="30"/>
      <c r="HX121" s="30"/>
      <c r="HY121" s="30"/>
      <c r="HZ121" s="30"/>
      <c r="IA121" s="30"/>
      <c r="IB121" s="30"/>
      <c r="IC121" s="30"/>
      <c r="ID121" s="30"/>
      <c r="IE121" s="30"/>
      <c r="IF121" s="30"/>
      <c r="IG121" s="30"/>
      <c r="IH121" s="30"/>
      <c r="II121" s="30"/>
      <c r="IJ121" s="30"/>
      <c r="IK121" s="30"/>
      <c r="IL121" s="30"/>
      <c r="IM121" s="30"/>
      <c r="IN121" s="30"/>
      <c r="IO121" s="30"/>
      <c r="IP121" s="30"/>
      <c r="IQ121" s="30"/>
      <c r="IR121" s="30"/>
      <c r="IS121" s="30"/>
      <c r="IT121" s="30"/>
      <c r="IU121" s="30"/>
      <c r="IV121" s="30"/>
      <c r="IW121" s="30"/>
      <c r="IX121" s="30"/>
      <c r="IY121" s="30"/>
      <c r="IZ121" s="30"/>
      <c r="JA121" s="30"/>
      <c r="JB121" s="30"/>
      <c r="JC121" s="30"/>
      <c r="JD121" s="30"/>
      <c r="JE121" s="30"/>
      <c r="JF121" s="30"/>
      <c r="JG121" s="30"/>
      <c r="JH121" s="30"/>
      <c r="JI121" s="30"/>
      <c r="JJ121" s="30"/>
      <c r="JK121" s="30"/>
      <c r="JL121" s="30"/>
      <c r="JM121" s="30"/>
      <c r="JN121" s="30"/>
      <c r="JO121" s="30"/>
      <c r="JP121" s="30"/>
      <c r="JQ121" s="30"/>
      <c r="JR121" s="30"/>
      <c r="JS121" s="30"/>
      <c r="JT121" s="30"/>
      <c r="JU121" s="30"/>
      <c r="JV121" s="30"/>
      <c r="JW121" s="30"/>
      <c r="JX121" s="30"/>
      <c r="JY121" s="30"/>
      <c r="JZ121" s="30"/>
      <c r="KA121" s="30"/>
      <c r="KB121" s="30"/>
      <c r="KC121" s="30"/>
      <c r="KD121" s="30"/>
      <c r="KE121" s="30"/>
      <c r="KF121" s="30"/>
      <c r="KG121" s="30"/>
      <c r="KH121" s="30"/>
      <c r="KI121" s="30"/>
      <c r="KJ121" s="30"/>
      <c r="KK121" s="30"/>
      <c r="KL121" s="30"/>
      <c r="KM121" s="30"/>
      <c r="KN121" s="30"/>
      <c r="KO121" s="30"/>
      <c r="KP121" s="30"/>
      <c r="KQ121" s="30"/>
      <c r="KR121" s="30"/>
      <c r="KS121" s="30"/>
      <c r="KT121" s="30"/>
      <c r="KU121" s="30"/>
      <c r="KV121" s="30"/>
      <c r="KW121" s="30"/>
      <c r="KX121" s="30"/>
      <c r="KY121" s="30"/>
      <c r="KZ121" s="30"/>
      <c r="LA121" s="30"/>
      <c r="LB121" s="30"/>
      <c r="LC121" s="30"/>
      <c r="LD121" s="30"/>
      <c r="LE121" s="30"/>
      <c r="LF121" s="30"/>
      <c r="LG121" s="30"/>
      <c r="LH121" s="30"/>
      <c r="LI121" s="30"/>
      <c r="LJ121" s="30"/>
      <c r="LK121" s="30"/>
      <c r="LL121" s="30"/>
      <c r="LM121" s="30"/>
      <c r="LN121" s="30"/>
      <c r="LO121" s="30"/>
      <c r="LP121" s="30"/>
      <c r="LQ121" s="30"/>
      <c r="LR121" s="30"/>
      <c r="LS121" s="30"/>
      <c r="LT121" s="30"/>
      <c r="LU121" s="30"/>
      <c r="LV121" s="30"/>
      <c r="LW121" s="30"/>
      <c r="LX121" s="30"/>
      <c r="LY121" s="30"/>
      <c r="LZ121" s="30"/>
      <c r="MA121" s="30"/>
      <c r="MB121" s="30"/>
      <c r="MC121" s="30"/>
      <c r="MD121" s="30"/>
      <c r="ME121" s="30"/>
      <c r="MF121" s="30"/>
      <c r="MG121" s="30"/>
      <c r="MH121" s="30"/>
      <c r="MI121" s="30"/>
      <c r="MJ121" s="30"/>
      <c r="MK121" s="30"/>
      <c r="ML121" s="30"/>
      <c r="MM121" s="30"/>
      <c r="MN121" s="30"/>
      <c r="MO121" s="30"/>
      <c r="MP121" s="30"/>
      <c r="MQ121" s="30"/>
      <c r="MR121" s="30"/>
      <c r="MS121" s="30"/>
      <c r="MT121" s="30"/>
      <c r="MU121" s="30"/>
      <c r="MV121" s="30"/>
      <c r="MW121" s="30"/>
      <c r="MX121" s="30"/>
      <c r="MY121" s="30"/>
      <c r="MZ121" s="30"/>
      <c r="NA121" s="30"/>
      <c r="NB121" s="30"/>
      <c r="NC121" s="30"/>
      <c r="ND121" s="30"/>
      <c r="NE121" s="30"/>
      <c r="NF121" s="30"/>
      <c r="NG121" s="30"/>
      <c r="NH121" s="30"/>
      <c r="NI121" s="30"/>
      <c r="NJ121" s="30"/>
      <c r="NK121" s="30"/>
      <c r="NL121" s="30"/>
      <c r="NM121" s="30"/>
      <c r="NN121" s="30"/>
      <c r="NO121" s="30"/>
      <c r="NP121" s="30"/>
      <c r="NQ121" s="30"/>
      <c r="NR121" s="30"/>
    </row>
    <row r="122" spans="1:382" s="3" customFormat="1" ht="20.100000000000001" customHeight="1" x14ac:dyDescent="0.4">
      <c r="A122" s="29">
        <v>4</v>
      </c>
      <c r="B122" s="5">
        <v>1945</v>
      </c>
      <c r="C122" s="5" t="s">
        <v>176</v>
      </c>
      <c r="D122" s="5" t="s">
        <v>180</v>
      </c>
      <c r="E122" s="5" t="s">
        <v>18</v>
      </c>
      <c r="F122" s="5" t="s">
        <v>32</v>
      </c>
      <c r="G122" s="5" t="s">
        <v>32</v>
      </c>
      <c r="H122" s="5" t="s">
        <v>32</v>
      </c>
      <c r="I122" s="8">
        <v>46051.625</v>
      </c>
      <c r="J122" s="8"/>
      <c r="K122" s="8" t="str">
        <f>IF(OR(J122="",E122=""),"",J122+IFERROR(VLOOKUP(E122,リードタイム!$A$2:$C$9,3,FALSE),0))</f>
        <v/>
      </c>
      <c r="L122" s="5" t="s">
        <v>531</v>
      </c>
      <c r="M122" s="8"/>
      <c r="N122" s="8" t="str">
        <f>IF(OR(M122="",E122=""),"",M122+IFERROR(VLOOKUP(E122,リードタイム!$A$2:$D$9,4,FALSE),0))</f>
        <v/>
      </c>
      <c r="O122" s="5" t="s">
        <v>531</v>
      </c>
      <c r="P122" s="5" t="s">
        <v>533</v>
      </c>
      <c r="Q122" s="5" t="s">
        <v>32</v>
      </c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  <c r="FS122" s="30"/>
      <c r="FT122" s="30"/>
      <c r="FU122" s="30"/>
      <c r="FV122" s="30"/>
      <c r="FW122" s="30"/>
      <c r="FX122" s="30"/>
      <c r="FY122" s="30"/>
      <c r="FZ122" s="30"/>
      <c r="GA122" s="30"/>
      <c r="GB122" s="30"/>
      <c r="GC122" s="30"/>
      <c r="GD122" s="30"/>
      <c r="GE122" s="30"/>
      <c r="GF122" s="30"/>
      <c r="GG122" s="30"/>
      <c r="GH122" s="30"/>
      <c r="GI122" s="30"/>
      <c r="GJ122" s="30"/>
      <c r="GK122" s="30"/>
      <c r="GL122" s="30"/>
      <c r="GM122" s="30"/>
      <c r="GN122" s="30"/>
      <c r="GO122" s="30"/>
      <c r="GP122" s="30"/>
      <c r="GQ122" s="30"/>
      <c r="GR122" s="30"/>
      <c r="GS122" s="30"/>
      <c r="GT122" s="30"/>
      <c r="GU122" s="30"/>
      <c r="GV122" s="30"/>
      <c r="GW122" s="30"/>
      <c r="GX122" s="30"/>
      <c r="GY122" s="30"/>
      <c r="GZ122" s="30"/>
      <c r="HA122" s="30"/>
      <c r="HB122" s="30"/>
      <c r="HC122" s="30"/>
      <c r="HD122" s="30"/>
      <c r="HE122" s="30"/>
      <c r="HF122" s="30"/>
      <c r="HG122" s="30"/>
      <c r="HH122" s="30"/>
      <c r="HI122" s="30"/>
      <c r="HJ122" s="30"/>
      <c r="HK122" s="30"/>
      <c r="HL122" s="30"/>
      <c r="HM122" s="30"/>
      <c r="HN122" s="30"/>
      <c r="HO122" s="30"/>
      <c r="HP122" s="30"/>
      <c r="HQ122" s="30"/>
      <c r="HR122" s="30"/>
      <c r="HS122" s="30"/>
      <c r="HT122" s="30"/>
      <c r="HU122" s="30"/>
      <c r="HV122" s="30"/>
      <c r="HW122" s="30"/>
      <c r="HX122" s="30"/>
      <c r="HY122" s="30"/>
      <c r="HZ122" s="30"/>
      <c r="IA122" s="30"/>
      <c r="IB122" s="30"/>
      <c r="IC122" s="30"/>
      <c r="ID122" s="30"/>
      <c r="IE122" s="30"/>
      <c r="IF122" s="30"/>
      <c r="IG122" s="30"/>
      <c r="IH122" s="30"/>
      <c r="II122" s="30"/>
      <c r="IJ122" s="30"/>
      <c r="IK122" s="30"/>
      <c r="IL122" s="30"/>
      <c r="IM122" s="30"/>
      <c r="IN122" s="30"/>
      <c r="IO122" s="30"/>
      <c r="IP122" s="30"/>
      <c r="IQ122" s="30"/>
      <c r="IR122" s="30"/>
      <c r="IS122" s="30"/>
      <c r="IT122" s="30"/>
      <c r="IU122" s="30"/>
      <c r="IV122" s="30"/>
      <c r="IW122" s="30"/>
      <c r="IX122" s="30"/>
      <c r="IY122" s="30"/>
      <c r="IZ122" s="30"/>
      <c r="JA122" s="30"/>
      <c r="JB122" s="30"/>
      <c r="JC122" s="30"/>
      <c r="JD122" s="30"/>
      <c r="JE122" s="30"/>
      <c r="JF122" s="30"/>
      <c r="JG122" s="30"/>
      <c r="JH122" s="30"/>
      <c r="JI122" s="30"/>
      <c r="JJ122" s="30"/>
      <c r="JK122" s="30"/>
      <c r="JL122" s="30"/>
      <c r="JM122" s="30"/>
      <c r="JN122" s="30"/>
      <c r="JO122" s="30"/>
      <c r="JP122" s="30"/>
      <c r="JQ122" s="30"/>
      <c r="JR122" s="30"/>
      <c r="JS122" s="30"/>
      <c r="JT122" s="30"/>
      <c r="JU122" s="30"/>
      <c r="JV122" s="30"/>
      <c r="JW122" s="30"/>
      <c r="JX122" s="30"/>
      <c r="JY122" s="30"/>
      <c r="JZ122" s="30"/>
      <c r="KA122" s="30"/>
      <c r="KB122" s="30"/>
      <c r="KC122" s="30"/>
      <c r="KD122" s="30"/>
      <c r="KE122" s="30"/>
      <c r="KF122" s="30"/>
      <c r="KG122" s="30"/>
      <c r="KH122" s="30"/>
      <c r="KI122" s="30"/>
      <c r="KJ122" s="30"/>
      <c r="KK122" s="30"/>
      <c r="KL122" s="30"/>
      <c r="KM122" s="30"/>
      <c r="KN122" s="30"/>
      <c r="KO122" s="30"/>
      <c r="KP122" s="30"/>
      <c r="KQ122" s="30"/>
      <c r="KR122" s="30"/>
      <c r="KS122" s="30"/>
      <c r="KT122" s="30"/>
      <c r="KU122" s="30"/>
      <c r="KV122" s="30"/>
      <c r="KW122" s="30"/>
      <c r="KX122" s="30"/>
      <c r="KY122" s="30"/>
      <c r="KZ122" s="30"/>
      <c r="LA122" s="30"/>
      <c r="LB122" s="30"/>
      <c r="LC122" s="30"/>
      <c r="LD122" s="30"/>
      <c r="LE122" s="30"/>
      <c r="LF122" s="30"/>
      <c r="LG122" s="30"/>
      <c r="LH122" s="30"/>
      <c r="LI122" s="30"/>
      <c r="LJ122" s="30"/>
      <c r="LK122" s="30"/>
      <c r="LL122" s="30"/>
      <c r="LM122" s="30"/>
      <c r="LN122" s="30"/>
      <c r="LO122" s="30"/>
      <c r="LP122" s="30"/>
      <c r="LQ122" s="30"/>
      <c r="LR122" s="30"/>
      <c r="LS122" s="30"/>
      <c r="LT122" s="30"/>
      <c r="LU122" s="30"/>
      <c r="LV122" s="30"/>
      <c r="LW122" s="30"/>
      <c r="LX122" s="30"/>
      <c r="LY122" s="30"/>
      <c r="LZ122" s="30"/>
      <c r="MA122" s="30"/>
      <c r="MB122" s="30"/>
      <c r="MC122" s="30"/>
      <c r="MD122" s="30"/>
      <c r="ME122" s="30"/>
      <c r="MF122" s="30"/>
      <c r="MG122" s="30"/>
      <c r="MH122" s="30"/>
      <c r="MI122" s="30"/>
      <c r="MJ122" s="30"/>
      <c r="MK122" s="30"/>
      <c r="ML122" s="30"/>
      <c r="MM122" s="30"/>
      <c r="MN122" s="30"/>
      <c r="MO122" s="30"/>
      <c r="MP122" s="30"/>
      <c r="MQ122" s="30"/>
      <c r="MR122" s="30"/>
      <c r="MS122" s="30"/>
      <c r="MT122" s="30"/>
      <c r="MU122" s="30"/>
      <c r="MV122" s="30"/>
      <c r="MW122" s="30"/>
      <c r="MX122" s="30"/>
      <c r="MY122" s="30"/>
      <c r="MZ122" s="30"/>
      <c r="NA122" s="30"/>
      <c r="NB122" s="30"/>
      <c r="NC122" s="30"/>
      <c r="ND122" s="30"/>
      <c r="NE122" s="30"/>
      <c r="NF122" s="30"/>
      <c r="NG122" s="30"/>
      <c r="NH122" s="30"/>
      <c r="NI122" s="30"/>
      <c r="NJ122" s="30"/>
      <c r="NK122" s="30"/>
      <c r="NL122" s="30"/>
      <c r="NM122" s="30"/>
      <c r="NN122" s="30"/>
      <c r="NO122" s="30"/>
      <c r="NP122" s="30"/>
      <c r="NQ122" s="30"/>
      <c r="NR122" s="30"/>
    </row>
    <row r="123" spans="1:382" s="3" customFormat="1" ht="20.100000000000001" customHeight="1" x14ac:dyDescent="0.4">
      <c r="A123" s="29">
        <v>5</v>
      </c>
      <c r="B123" s="5">
        <v>1953</v>
      </c>
      <c r="C123" s="5" t="s">
        <v>176</v>
      </c>
      <c r="D123" s="5" t="s">
        <v>181</v>
      </c>
      <c r="E123" s="5" t="s">
        <v>14</v>
      </c>
      <c r="F123" s="5" t="s">
        <v>32</v>
      </c>
      <c r="G123" s="5" t="s">
        <v>32</v>
      </c>
      <c r="H123" s="5" t="s">
        <v>32</v>
      </c>
      <c r="I123" s="8"/>
      <c r="J123" s="8"/>
      <c r="K123" s="8" t="str">
        <f>IF(OR(J123="",E123=""),"",J123+IFERROR(VLOOKUP(E123,リードタイム!$A$2:$C$9,3,FALSE),0))</f>
        <v/>
      </c>
      <c r="L123" s="5" t="s">
        <v>531</v>
      </c>
      <c r="M123" s="8"/>
      <c r="N123" s="8" t="str">
        <f>IF(OR(M123="",E123=""),"",M123+IFERROR(VLOOKUP(E123,リードタイム!$A$2:$D$9,4,FALSE),0))</f>
        <v/>
      </c>
      <c r="O123" s="5" t="s">
        <v>531</v>
      </c>
      <c r="P123" s="5" t="s">
        <v>533</v>
      </c>
      <c r="Q123" s="5" t="s">
        <v>32</v>
      </c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  <c r="FS123" s="30"/>
      <c r="FT123" s="30"/>
      <c r="FU123" s="30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/>
      <c r="GH123" s="30"/>
      <c r="GI123" s="30"/>
      <c r="GJ123" s="30"/>
      <c r="GK123" s="30"/>
      <c r="GL123" s="30"/>
      <c r="GM123" s="30"/>
      <c r="GN123" s="30"/>
      <c r="GO123" s="30"/>
      <c r="GP123" s="30"/>
      <c r="GQ123" s="30"/>
      <c r="GR123" s="30"/>
      <c r="GS123" s="30"/>
      <c r="GT123" s="30"/>
      <c r="GU123" s="30"/>
      <c r="GV123" s="30"/>
      <c r="GW123" s="30"/>
      <c r="GX123" s="30"/>
      <c r="GY123" s="30"/>
      <c r="GZ123" s="30"/>
      <c r="HA123" s="30"/>
      <c r="HB123" s="30"/>
      <c r="HC123" s="30"/>
      <c r="HD123" s="30"/>
      <c r="HE123" s="30"/>
      <c r="HF123" s="30"/>
      <c r="HG123" s="30"/>
      <c r="HH123" s="30"/>
      <c r="HI123" s="30"/>
      <c r="HJ123" s="30"/>
      <c r="HK123" s="30"/>
      <c r="HL123" s="30"/>
      <c r="HM123" s="30"/>
      <c r="HN123" s="30"/>
      <c r="HO123" s="30"/>
      <c r="HP123" s="30"/>
      <c r="HQ123" s="30"/>
      <c r="HR123" s="30"/>
      <c r="HS123" s="30"/>
      <c r="HT123" s="30"/>
      <c r="HU123" s="30"/>
      <c r="HV123" s="30"/>
      <c r="HW123" s="30"/>
      <c r="HX123" s="30"/>
      <c r="HY123" s="30"/>
      <c r="HZ123" s="30"/>
      <c r="IA123" s="30"/>
      <c r="IB123" s="30"/>
      <c r="IC123" s="30"/>
      <c r="ID123" s="30"/>
      <c r="IE123" s="30"/>
      <c r="IF123" s="30"/>
      <c r="IG123" s="30"/>
      <c r="IH123" s="30"/>
      <c r="II123" s="30"/>
      <c r="IJ123" s="30"/>
      <c r="IK123" s="30"/>
      <c r="IL123" s="30"/>
      <c r="IM123" s="30"/>
      <c r="IN123" s="30"/>
      <c r="IO123" s="30"/>
      <c r="IP123" s="30"/>
      <c r="IQ123" s="30"/>
      <c r="IR123" s="30"/>
      <c r="IS123" s="30"/>
      <c r="IT123" s="30"/>
      <c r="IU123" s="30"/>
      <c r="IV123" s="30"/>
      <c r="IW123" s="30"/>
      <c r="IX123" s="30"/>
      <c r="IY123" s="30"/>
      <c r="IZ123" s="30"/>
      <c r="JA123" s="30"/>
      <c r="JB123" s="30"/>
      <c r="JC123" s="30"/>
      <c r="JD123" s="30"/>
      <c r="JE123" s="30"/>
      <c r="JF123" s="30"/>
      <c r="JG123" s="30"/>
      <c r="JH123" s="30"/>
      <c r="JI123" s="30"/>
      <c r="JJ123" s="30"/>
      <c r="JK123" s="30"/>
      <c r="JL123" s="30"/>
      <c r="JM123" s="30"/>
      <c r="JN123" s="30"/>
      <c r="JO123" s="30"/>
      <c r="JP123" s="30"/>
      <c r="JQ123" s="30"/>
      <c r="JR123" s="30"/>
      <c r="JS123" s="30"/>
      <c r="JT123" s="30"/>
      <c r="JU123" s="30"/>
      <c r="JV123" s="30"/>
      <c r="JW123" s="30"/>
      <c r="JX123" s="30"/>
      <c r="JY123" s="30"/>
      <c r="JZ123" s="30"/>
      <c r="KA123" s="30"/>
      <c r="KB123" s="30"/>
      <c r="KC123" s="30"/>
      <c r="KD123" s="30"/>
      <c r="KE123" s="30"/>
      <c r="KF123" s="30"/>
      <c r="KG123" s="30"/>
      <c r="KH123" s="30"/>
      <c r="KI123" s="30"/>
      <c r="KJ123" s="30"/>
      <c r="KK123" s="30"/>
      <c r="KL123" s="30"/>
      <c r="KM123" s="30"/>
      <c r="KN123" s="30"/>
      <c r="KO123" s="30"/>
      <c r="KP123" s="30"/>
      <c r="KQ123" s="30"/>
      <c r="KR123" s="30"/>
      <c r="KS123" s="30"/>
      <c r="KT123" s="30"/>
      <c r="KU123" s="30"/>
      <c r="KV123" s="30"/>
      <c r="KW123" s="30"/>
      <c r="KX123" s="30"/>
      <c r="KY123" s="30"/>
      <c r="KZ123" s="30"/>
      <c r="LA123" s="30"/>
      <c r="LB123" s="30"/>
      <c r="LC123" s="30"/>
      <c r="LD123" s="30"/>
      <c r="LE123" s="30"/>
      <c r="LF123" s="30"/>
      <c r="LG123" s="30"/>
      <c r="LH123" s="30"/>
      <c r="LI123" s="30"/>
      <c r="LJ123" s="30"/>
      <c r="LK123" s="30"/>
      <c r="LL123" s="30"/>
      <c r="LM123" s="30"/>
      <c r="LN123" s="30"/>
      <c r="LO123" s="30"/>
      <c r="LP123" s="30"/>
      <c r="LQ123" s="30"/>
      <c r="LR123" s="30"/>
      <c r="LS123" s="30"/>
      <c r="LT123" s="30"/>
      <c r="LU123" s="30"/>
      <c r="LV123" s="30"/>
      <c r="LW123" s="30"/>
      <c r="LX123" s="30"/>
      <c r="LY123" s="30"/>
      <c r="LZ123" s="30"/>
      <c r="MA123" s="30"/>
      <c r="MB123" s="30"/>
      <c r="MC123" s="30"/>
      <c r="MD123" s="30"/>
      <c r="ME123" s="30"/>
      <c r="MF123" s="30"/>
      <c r="MG123" s="30"/>
      <c r="MH123" s="30"/>
      <c r="MI123" s="30"/>
      <c r="MJ123" s="30"/>
      <c r="MK123" s="30"/>
      <c r="ML123" s="30"/>
      <c r="MM123" s="30"/>
      <c r="MN123" s="30"/>
      <c r="MO123" s="30"/>
      <c r="MP123" s="30"/>
      <c r="MQ123" s="30"/>
      <c r="MR123" s="30"/>
      <c r="MS123" s="30"/>
      <c r="MT123" s="30"/>
      <c r="MU123" s="30"/>
      <c r="MV123" s="30"/>
      <c r="MW123" s="30"/>
      <c r="MX123" s="30"/>
      <c r="MY123" s="30"/>
      <c r="MZ123" s="30"/>
      <c r="NA123" s="30"/>
      <c r="NB123" s="30"/>
      <c r="NC123" s="30"/>
      <c r="ND123" s="30"/>
      <c r="NE123" s="30"/>
      <c r="NF123" s="30"/>
      <c r="NG123" s="30"/>
      <c r="NH123" s="30"/>
      <c r="NI123" s="30"/>
      <c r="NJ123" s="30"/>
      <c r="NK123" s="30"/>
      <c r="NL123" s="30"/>
      <c r="NM123" s="30"/>
      <c r="NN123" s="30"/>
      <c r="NO123" s="30"/>
      <c r="NP123" s="30"/>
      <c r="NQ123" s="30"/>
      <c r="NR123" s="30"/>
    </row>
    <row r="124" spans="1:382" s="3" customFormat="1" ht="20.100000000000001" customHeight="1" x14ac:dyDescent="0.4">
      <c r="A124" s="29">
        <v>6</v>
      </c>
      <c r="B124" s="5">
        <v>1883</v>
      </c>
      <c r="C124" s="5" t="s">
        <v>176</v>
      </c>
      <c r="D124" s="5" t="s">
        <v>182</v>
      </c>
      <c r="E124" s="5" t="s">
        <v>10</v>
      </c>
      <c r="F124" s="5" t="s">
        <v>32</v>
      </c>
      <c r="G124" s="5" t="s">
        <v>32</v>
      </c>
      <c r="H124" s="5" t="s">
        <v>32</v>
      </c>
      <c r="I124" s="8"/>
      <c r="J124" s="8"/>
      <c r="K124" s="8" t="str">
        <f>IF(OR(J124="",E124=""),"",J124+IFERROR(VLOOKUP(E124,リードタイム!$A$2:$C$9,3,FALSE),0))</f>
        <v/>
      </c>
      <c r="L124" s="5" t="s">
        <v>531</v>
      </c>
      <c r="M124" s="8"/>
      <c r="N124" s="8" t="str">
        <f>IF(OR(M124="",E124=""),"",M124+IFERROR(VLOOKUP(E124,リードタイム!$A$2:$D$9,4,FALSE),0))</f>
        <v/>
      </c>
      <c r="O124" s="5" t="s">
        <v>531</v>
      </c>
      <c r="P124" s="5" t="s">
        <v>533</v>
      </c>
      <c r="Q124" s="5" t="s">
        <v>32</v>
      </c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0"/>
      <c r="GT124" s="30"/>
      <c r="GU124" s="30"/>
      <c r="GV124" s="30"/>
      <c r="GW124" s="30"/>
      <c r="GX124" s="30"/>
      <c r="GY124" s="30"/>
      <c r="GZ124" s="30"/>
      <c r="HA124" s="30"/>
      <c r="HB124" s="30"/>
      <c r="HC124" s="30"/>
      <c r="HD124" s="30"/>
      <c r="HE124" s="30"/>
      <c r="HF124" s="30"/>
      <c r="HG124" s="30"/>
      <c r="HH124" s="30"/>
      <c r="HI124" s="30"/>
      <c r="HJ124" s="30"/>
      <c r="HK124" s="30"/>
      <c r="HL124" s="30"/>
      <c r="HM124" s="30"/>
      <c r="HN124" s="30"/>
      <c r="HO124" s="30"/>
      <c r="HP124" s="30"/>
      <c r="HQ124" s="30"/>
      <c r="HR124" s="30"/>
      <c r="HS124" s="30"/>
      <c r="HT124" s="30"/>
      <c r="HU124" s="30"/>
      <c r="HV124" s="30"/>
      <c r="HW124" s="30"/>
      <c r="HX124" s="30"/>
      <c r="HY124" s="30"/>
      <c r="HZ124" s="30"/>
      <c r="IA124" s="30"/>
      <c r="IB124" s="30"/>
      <c r="IC124" s="30"/>
      <c r="ID124" s="30"/>
      <c r="IE124" s="30"/>
      <c r="IF124" s="30"/>
      <c r="IG124" s="30"/>
      <c r="IH124" s="30"/>
      <c r="II124" s="30"/>
      <c r="IJ124" s="30"/>
      <c r="IK124" s="30"/>
      <c r="IL124" s="30"/>
      <c r="IM124" s="30"/>
      <c r="IN124" s="30"/>
      <c r="IO124" s="30"/>
      <c r="IP124" s="30"/>
      <c r="IQ124" s="30"/>
      <c r="IR124" s="30"/>
      <c r="IS124" s="30"/>
      <c r="IT124" s="30"/>
      <c r="IU124" s="30"/>
      <c r="IV124" s="30"/>
      <c r="IW124" s="30"/>
      <c r="IX124" s="30"/>
      <c r="IY124" s="30"/>
      <c r="IZ124" s="30"/>
      <c r="JA124" s="30"/>
      <c r="JB124" s="30"/>
      <c r="JC124" s="30"/>
      <c r="JD124" s="30"/>
      <c r="JE124" s="30"/>
      <c r="JF124" s="30"/>
      <c r="JG124" s="30"/>
      <c r="JH124" s="30"/>
      <c r="JI124" s="30"/>
      <c r="JJ124" s="30"/>
      <c r="JK124" s="30"/>
      <c r="JL124" s="30"/>
      <c r="JM124" s="30"/>
      <c r="JN124" s="30"/>
      <c r="JO124" s="30"/>
      <c r="JP124" s="30"/>
      <c r="JQ124" s="30"/>
      <c r="JR124" s="30"/>
      <c r="JS124" s="30"/>
      <c r="JT124" s="30"/>
      <c r="JU124" s="30"/>
      <c r="JV124" s="30"/>
      <c r="JW124" s="30"/>
      <c r="JX124" s="30"/>
      <c r="JY124" s="30"/>
      <c r="JZ124" s="30"/>
      <c r="KA124" s="30"/>
      <c r="KB124" s="30"/>
      <c r="KC124" s="30"/>
      <c r="KD124" s="30"/>
      <c r="KE124" s="30"/>
      <c r="KF124" s="30"/>
      <c r="KG124" s="30"/>
      <c r="KH124" s="30"/>
      <c r="KI124" s="30"/>
      <c r="KJ124" s="30"/>
      <c r="KK124" s="30"/>
      <c r="KL124" s="30"/>
      <c r="KM124" s="30"/>
      <c r="KN124" s="30"/>
      <c r="KO124" s="30"/>
      <c r="KP124" s="30"/>
      <c r="KQ124" s="30"/>
      <c r="KR124" s="30"/>
      <c r="KS124" s="30"/>
      <c r="KT124" s="30"/>
      <c r="KU124" s="30"/>
      <c r="KV124" s="30"/>
      <c r="KW124" s="30"/>
      <c r="KX124" s="30"/>
      <c r="KY124" s="30"/>
      <c r="KZ124" s="30"/>
      <c r="LA124" s="30"/>
      <c r="LB124" s="30"/>
      <c r="LC124" s="30"/>
      <c r="LD124" s="30"/>
      <c r="LE124" s="30"/>
      <c r="LF124" s="30"/>
      <c r="LG124" s="30"/>
      <c r="LH124" s="30"/>
      <c r="LI124" s="30"/>
      <c r="LJ124" s="30"/>
      <c r="LK124" s="30"/>
      <c r="LL124" s="30"/>
      <c r="LM124" s="30"/>
      <c r="LN124" s="30"/>
      <c r="LO124" s="30"/>
      <c r="LP124" s="30"/>
      <c r="LQ124" s="30"/>
      <c r="LR124" s="30"/>
      <c r="LS124" s="30"/>
      <c r="LT124" s="30"/>
      <c r="LU124" s="30"/>
      <c r="LV124" s="30"/>
      <c r="LW124" s="30"/>
      <c r="LX124" s="30"/>
      <c r="LY124" s="30"/>
      <c r="LZ124" s="30"/>
      <c r="MA124" s="30"/>
      <c r="MB124" s="30"/>
      <c r="MC124" s="30"/>
      <c r="MD124" s="30"/>
      <c r="ME124" s="30"/>
      <c r="MF124" s="30"/>
      <c r="MG124" s="30"/>
      <c r="MH124" s="30"/>
      <c r="MI124" s="30"/>
      <c r="MJ124" s="30"/>
      <c r="MK124" s="30"/>
      <c r="ML124" s="30"/>
      <c r="MM124" s="30"/>
      <c r="MN124" s="30"/>
      <c r="MO124" s="30"/>
      <c r="MP124" s="30"/>
      <c r="MQ124" s="30"/>
      <c r="MR124" s="30"/>
      <c r="MS124" s="30"/>
      <c r="MT124" s="30"/>
      <c r="MU124" s="30"/>
      <c r="MV124" s="30"/>
      <c r="MW124" s="30"/>
      <c r="MX124" s="30"/>
      <c r="MY124" s="30"/>
      <c r="MZ124" s="30"/>
      <c r="NA124" s="30"/>
      <c r="NB124" s="30"/>
      <c r="NC124" s="30"/>
      <c r="ND124" s="30"/>
      <c r="NE124" s="30"/>
      <c r="NF124" s="30"/>
      <c r="NG124" s="30"/>
      <c r="NH124" s="30"/>
      <c r="NI124" s="30"/>
      <c r="NJ124" s="30"/>
      <c r="NK124" s="30"/>
      <c r="NL124" s="30"/>
      <c r="NM124" s="30"/>
      <c r="NN124" s="30"/>
      <c r="NO124" s="30"/>
      <c r="NP124" s="30"/>
      <c r="NQ124" s="30"/>
      <c r="NR124" s="30"/>
    </row>
    <row r="125" spans="1:382" s="3" customFormat="1" ht="20.100000000000001" customHeight="1" x14ac:dyDescent="0.4">
      <c r="A125" s="29">
        <v>7</v>
      </c>
      <c r="B125" s="5">
        <v>1884</v>
      </c>
      <c r="C125" s="5" t="s">
        <v>176</v>
      </c>
      <c r="D125" s="5" t="s">
        <v>182</v>
      </c>
      <c r="E125" s="5" t="s">
        <v>10</v>
      </c>
      <c r="F125" s="5" t="s">
        <v>32</v>
      </c>
      <c r="G125" s="5" t="s">
        <v>32</v>
      </c>
      <c r="H125" s="5" t="s">
        <v>32</v>
      </c>
      <c r="I125" s="8"/>
      <c r="J125" s="8"/>
      <c r="K125" s="8" t="str">
        <f>IF(OR(J125="",E125=""),"",J125+IFERROR(VLOOKUP(E125,リードタイム!$A$2:$C$9,3,FALSE),0))</f>
        <v/>
      </c>
      <c r="L125" s="5" t="s">
        <v>531</v>
      </c>
      <c r="M125" s="8"/>
      <c r="N125" s="8" t="str">
        <f>IF(OR(M125="",E125=""),"",M125+IFERROR(VLOOKUP(E125,リードタイム!$A$2:$D$9,4,FALSE),0))</f>
        <v/>
      </c>
      <c r="O125" s="5" t="s">
        <v>531</v>
      </c>
      <c r="P125" s="5" t="s">
        <v>533</v>
      </c>
      <c r="Q125" s="5" t="s">
        <v>32</v>
      </c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  <c r="FS125" s="30"/>
      <c r="FT125" s="30"/>
      <c r="FU125" s="30"/>
      <c r="FV125" s="30"/>
      <c r="FW125" s="30"/>
      <c r="FX125" s="30"/>
      <c r="FY125" s="30"/>
      <c r="FZ125" s="30"/>
      <c r="GA125" s="30"/>
      <c r="GB125" s="30"/>
      <c r="GC125" s="30"/>
      <c r="GD125" s="30"/>
      <c r="GE125" s="30"/>
      <c r="GF125" s="30"/>
      <c r="GG125" s="30"/>
      <c r="GH125" s="30"/>
      <c r="GI125" s="30"/>
      <c r="GJ125" s="30"/>
      <c r="GK125" s="30"/>
      <c r="GL125" s="30"/>
      <c r="GM125" s="30"/>
      <c r="GN125" s="30"/>
      <c r="GO125" s="30"/>
      <c r="GP125" s="30"/>
      <c r="GQ125" s="30"/>
      <c r="GR125" s="30"/>
      <c r="GS125" s="30"/>
      <c r="GT125" s="30"/>
      <c r="GU125" s="30"/>
      <c r="GV125" s="30"/>
      <c r="GW125" s="30"/>
      <c r="GX125" s="30"/>
      <c r="GY125" s="30"/>
      <c r="GZ125" s="30"/>
      <c r="HA125" s="30"/>
      <c r="HB125" s="30"/>
      <c r="HC125" s="30"/>
      <c r="HD125" s="30"/>
      <c r="HE125" s="30"/>
      <c r="HF125" s="30"/>
      <c r="HG125" s="30"/>
      <c r="HH125" s="30"/>
      <c r="HI125" s="30"/>
      <c r="HJ125" s="30"/>
      <c r="HK125" s="30"/>
      <c r="HL125" s="30"/>
      <c r="HM125" s="30"/>
      <c r="HN125" s="30"/>
      <c r="HO125" s="30"/>
      <c r="HP125" s="30"/>
      <c r="HQ125" s="30"/>
      <c r="HR125" s="30"/>
      <c r="HS125" s="30"/>
      <c r="HT125" s="30"/>
      <c r="HU125" s="30"/>
      <c r="HV125" s="30"/>
      <c r="HW125" s="30"/>
      <c r="HX125" s="30"/>
      <c r="HY125" s="30"/>
      <c r="HZ125" s="30"/>
      <c r="IA125" s="30"/>
      <c r="IB125" s="30"/>
      <c r="IC125" s="30"/>
      <c r="ID125" s="30"/>
      <c r="IE125" s="30"/>
      <c r="IF125" s="30"/>
      <c r="IG125" s="30"/>
      <c r="IH125" s="30"/>
      <c r="II125" s="30"/>
      <c r="IJ125" s="30"/>
      <c r="IK125" s="30"/>
      <c r="IL125" s="30"/>
      <c r="IM125" s="30"/>
      <c r="IN125" s="30"/>
      <c r="IO125" s="30"/>
      <c r="IP125" s="30"/>
      <c r="IQ125" s="30"/>
      <c r="IR125" s="30"/>
      <c r="IS125" s="30"/>
      <c r="IT125" s="30"/>
      <c r="IU125" s="30"/>
      <c r="IV125" s="30"/>
      <c r="IW125" s="30"/>
      <c r="IX125" s="30"/>
      <c r="IY125" s="30"/>
      <c r="IZ125" s="30"/>
      <c r="JA125" s="30"/>
      <c r="JB125" s="30"/>
      <c r="JC125" s="30"/>
      <c r="JD125" s="30"/>
      <c r="JE125" s="30"/>
      <c r="JF125" s="30"/>
      <c r="JG125" s="30"/>
      <c r="JH125" s="30"/>
      <c r="JI125" s="30"/>
      <c r="JJ125" s="30"/>
      <c r="JK125" s="30"/>
      <c r="JL125" s="30"/>
      <c r="JM125" s="30"/>
      <c r="JN125" s="30"/>
      <c r="JO125" s="30"/>
      <c r="JP125" s="30"/>
      <c r="JQ125" s="30"/>
      <c r="JR125" s="30"/>
      <c r="JS125" s="30"/>
      <c r="JT125" s="30"/>
      <c r="JU125" s="30"/>
      <c r="JV125" s="30"/>
      <c r="JW125" s="30"/>
      <c r="JX125" s="30"/>
      <c r="JY125" s="30"/>
      <c r="JZ125" s="30"/>
      <c r="KA125" s="30"/>
      <c r="KB125" s="30"/>
      <c r="KC125" s="30"/>
      <c r="KD125" s="30"/>
      <c r="KE125" s="30"/>
      <c r="KF125" s="30"/>
      <c r="KG125" s="30"/>
      <c r="KH125" s="30"/>
      <c r="KI125" s="30"/>
      <c r="KJ125" s="30"/>
      <c r="KK125" s="30"/>
      <c r="KL125" s="30"/>
      <c r="KM125" s="30"/>
      <c r="KN125" s="30"/>
      <c r="KO125" s="30"/>
      <c r="KP125" s="30"/>
      <c r="KQ125" s="30"/>
      <c r="KR125" s="30"/>
      <c r="KS125" s="30"/>
      <c r="KT125" s="30"/>
      <c r="KU125" s="30"/>
      <c r="KV125" s="30"/>
      <c r="KW125" s="30"/>
      <c r="KX125" s="30"/>
      <c r="KY125" s="30"/>
      <c r="KZ125" s="30"/>
      <c r="LA125" s="30"/>
      <c r="LB125" s="30"/>
      <c r="LC125" s="30"/>
      <c r="LD125" s="30"/>
      <c r="LE125" s="30"/>
      <c r="LF125" s="30"/>
      <c r="LG125" s="30"/>
      <c r="LH125" s="30"/>
      <c r="LI125" s="30"/>
      <c r="LJ125" s="30"/>
      <c r="LK125" s="30"/>
      <c r="LL125" s="30"/>
      <c r="LM125" s="30"/>
      <c r="LN125" s="30"/>
      <c r="LO125" s="30"/>
      <c r="LP125" s="30"/>
      <c r="LQ125" s="30"/>
      <c r="LR125" s="30"/>
      <c r="LS125" s="30"/>
      <c r="LT125" s="30"/>
      <c r="LU125" s="30"/>
      <c r="LV125" s="30"/>
      <c r="LW125" s="30"/>
      <c r="LX125" s="30"/>
      <c r="LY125" s="30"/>
      <c r="LZ125" s="30"/>
      <c r="MA125" s="30"/>
      <c r="MB125" s="30"/>
      <c r="MC125" s="30"/>
      <c r="MD125" s="30"/>
      <c r="ME125" s="30"/>
      <c r="MF125" s="30"/>
      <c r="MG125" s="30"/>
      <c r="MH125" s="30"/>
      <c r="MI125" s="30"/>
      <c r="MJ125" s="30"/>
      <c r="MK125" s="30"/>
      <c r="ML125" s="30"/>
      <c r="MM125" s="30"/>
      <c r="MN125" s="30"/>
      <c r="MO125" s="30"/>
      <c r="MP125" s="30"/>
      <c r="MQ125" s="30"/>
      <c r="MR125" s="30"/>
      <c r="MS125" s="30"/>
      <c r="MT125" s="30"/>
      <c r="MU125" s="30"/>
      <c r="MV125" s="30"/>
      <c r="MW125" s="30"/>
      <c r="MX125" s="30"/>
      <c r="MY125" s="30"/>
      <c r="MZ125" s="30"/>
      <c r="NA125" s="30"/>
      <c r="NB125" s="30"/>
      <c r="NC125" s="30"/>
      <c r="ND125" s="30"/>
      <c r="NE125" s="30"/>
      <c r="NF125" s="30"/>
      <c r="NG125" s="30"/>
      <c r="NH125" s="30"/>
      <c r="NI125" s="30"/>
      <c r="NJ125" s="30"/>
      <c r="NK125" s="30"/>
      <c r="NL125" s="30"/>
      <c r="NM125" s="30"/>
      <c r="NN125" s="30"/>
      <c r="NO125" s="30"/>
      <c r="NP125" s="30"/>
      <c r="NQ125" s="30"/>
      <c r="NR125" s="30"/>
    </row>
    <row r="126" spans="1:382" s="3" customFormat="1" ht="20.100000000000001" customHeight="1" x14ac:dyDescent="0.4">
      <c r="A126" s="29">
        <v>8</v>
      </c>
      <c r="B126" s="5">
        <v>1936</v>
      </c>
      <c r="C126" s="5" t="s">
        <v>176</v>
      </c>
      <c r="D126" s="5" t="s">
        <v>182</v>
      </c>
      <c r="E126" s="5" t="s">
        <v>10</v>
      </c>
      <c r="F126" s="5" t="s">
        <v>32</v>
      </c>
      <c r="G126" s="5" t="s">
        <v>32</v>
      </c>
      <c r="H126" s="5" t="s">
        <v>32</v>
      </c>
      <c r="I126" s="8"/>
      <c r="J126" s="8"/>
      <c r="K126" s="8" t="str">
        <f>IF(OR(J126="",E126=""),"",J126+IFERROR(VLOOKUP(E126,リードタイム!$A$2:$C$9,3,FALSE),0))</f>
        <v/>
      </c>
      <c r="L126" s="5" t="s">
        <v>531</v>
      </c>
      <c r="M126" s="8"/>
      <c r="N126" s="8" t="str">
        <f>IF(OR(M126="",E126=""),"",M126+IFERROR(VLOOKUP(E126,リードタイム!$A$2:$D$9,4,FALSE),0))</f>
        <v/>
      </c>
      <c r="O126" s="5" t="s">
        <v>531</v>
      </c>
      <c r="P126" s="5" t="s">
        <v>533</v>
      </c>
      <c r="Q126" s="5" t="s">
        <v>32</v>
      </c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0"/>
      <c r="GS126" s="30"/>
      <c r="GT126" s="30"/>
      <c r="GU126" s="30"/>
      <c r="GV126" s="30"/>
      <c r="GW126" s="30"/>
      <c r="GX126" s="30"/>
      <c r="GY126" s="30"/>
      <c r="GZ126" s="30"/>
      <c r="HA126" s="30"/>
      <c r="HB126" s="30"/>
      <c r="HC126" s="30"/>
      <c r="HD126" s="30"/>
      <c r="HE126" s="30"/>
      <c r="HF126" s="30"/>
      <c r="HG126" s="30"/>
      <c r="HH126" s="30"/>
      <c r="HI126" s="30"/>
      <c r="HJ126" s="30"/>
      <c r="HK126" s="30"/>
      <c r="HL126" s="30"/>
      <c r="HM126" s="30"/>
      <c r="HN126" s="30"/>
      <c r="HO126" s="30"/>
      <c r="HP126" s="30"/>
      <c r="HQ126" s="30"/>
      <c r="HR126" s="30"/>
      <c r="HS126" s="30"/>
      <c r="HT126" s="30"/>
      <c r="HU126" s="30"/>
      <c r="HV126" s="30"/>
      <c r="HW126" s="30"/>
      <c r="HX126" s="30"/>
      <c r="HY126" s="30"/>
      <c r="HZ126" s="30"/>
      <c r="IA126" s="30"/>
      <c r="IB126" s="30"/>
      <c r="IC126" s="30"/>
      <c r="ID126" s="30"/>
      <c r="IE126" s="30"/>
      <c r="IF126" s="30"/>
      <c r="IG126" s="30"/>
      <c r="IH126" s="30"/>
      <c r="II126" s="30"/>
      <c r="IJ126" s="30"/>
      <c r="IK126" s="30"/>
      <c r="IL126" s="30"/>
      <c r="IM126" s="30"/>
      <c r="IN126" s="30"/>
      <c r="IO126" s="30"/>
      <c r="IP126" s="30"/>
      <c r="IQ126" s="30"/>
      <c r="IR126" s="30"/>
      <c r="IS126" s="30"/>
      <c r="IT126" s="30"/>
      <c r="IU126" s="30"/>
      <c r="IV126" s="30"/>
      <c r="IW126" s="30"/>
      <c r="IX126" s="30"/>
      <c r="IY126" s="30"/>
      <c r="IZ126" s="30"/>
      <c r="JA126" s="30"/>
      <c r="JB126" s="30"/>
      <c r="JC126" s="30"/>
      <c r="JD126" s="30"/>
      <c r="JE126" s="30"/>
      <c r="JF126" s="30"/>
      <c r="JG126" s="30"/>
      <c r="JH126" s="30"/>
      <c r="JI126" s="30"/>
      <c r="JJ126" s="30"/>
      <c r="JK126" s="30"/>
      <c r="JL126" s="30"/>
      <c r="JM126" s="30"/>
      <c r="JN126" s="30"/>
      <c r="JO126" s="30"/>
      <c r="JP126" s="30"/>
      <c r="JQ126" s="30"/>
      <c r="JR126" s="30"/>
      <c r="JS126" s="30"/>
      <c r="JT126" s="30"/>
      <c r="JU126" s="30"/>
      <c r="JV126" s="30"/>
      <c r="JW126" s="30"/>
      <c r="JX126" s="30"/>
      <c r="JY126" s="30"/>
      <c r="JZ126" s="30"/>
      <c r="KA126" s="30"/>
      <c r="KB126" s="30"/>
      <c r="KC126" s="30"/>
      <c r="KD126" s="30"/>
      <c r="KE126" s="30"/>
      <c r="KF126" s="30"/>
      <c r="KG126" s="30"/>
      <c r="KH126" s="30"/>
      <c r="KI126" s="30"/>
      <c r="KJ126" s="30"/>
      <c r="KK126" s="30"/>
      <c r="KL126" s="30"/>
      <c r="KM126" s="30"/>
      <c r="KN126" s="30"/>
      <c r="KO126" s="30"/>
      <c r="KP126" s="30"/>
      <c r="KQ126" s="30"/>
      <c r="KR126" s="30"/>
      <c r="KS126" s="30"/>
      <c r="KT126" s="30"/>
      <c r="KU126" s="30"/>
      <c r="KV126" s="30"/>
      <c r="KW126" s="30"/>
      <c r="KX126" s="30"/>
      <c r="KY126" s="30"/>
      <c r="KZ126" s="30"/>
      <c r="LA126" s="30"/>
      <c r="LB126" s="30"/>
      <c r="LC126" s="30"/>
      <c r="LD126" s="30"/>
      <c r="LE126" s="30"/>
      <c r="LF126" s="30"/>
      <c r="LG126" s="30"/>
      <c r="LH126" s="30"/>
      <c r="LI126" s="30"/>
      <c r="LJ126" s="30"/>
      <c r="LK126" s="30"/>
      <c r="LL126" s="30"/>
      <c r="LM126" s="30"/>
      <c r="LN126" s="30"/>
      <c r="LO126" s="30"/>
      <c r="LP126" s="30"/>
      <c r="LQ126" s="30"/>
      <c r="LR126" s="30"/>
      <c r="LS126" s="30"/>
      <c r="LT126" s="30"/>
      <c r="LU126" s="30"/>
      <c r="LV126" s="30"/>
      <c r="LW126" s="30"/>
      <c r="LX126" s="30"/>
      <c r="LY126" s="30"/>
      <c r="LZ126" s="30"/>
      <c r="MA126" s="30"/>
      <c r="MB126" s="30"/>
      <c r="MC126" s="30"/>
      <c r="MD126" s="30"/>
      <c r="ME126" s="30"/>
      <c r="MF126" s="30"/>
      <c r="MG126" s="30"/>
      <c r="MH126" s="30"/>
      <c r="MI126" s="30"/>
      <c r="MJ126" s="30"/>
      <c r="MK126" s="30"/>
      <c r="ML126" s="30"/>
      <c r="MM126" s="30"/>
      <c r="MN126" s="30"/>
      <c r="MO126" s="30"/>
      <c r="MP126" s="30"/>
      <c r="MQ126" s="30"/>
      <c r="MR126" s="30"/>
      <c r="MS126" s="30"/>
      <c r="MT126" s="30"/>
      <c r="MU126" s="30"/>
      <c r="MV126" s="30"/>
      <c r="MW126" s="30"/>
      <c r="MX126" s="30"/>
      <c r="MY126" s="30"/>
      <c r="MZ126" s="30"/>
      <c r="NA126" s="30"/>
      <c r="NB126" s="30"/>
      <c r="NC126" s="30"/>
      <c r="ND126" s="30"/>
      <c r="NE126" s="30"/>
      <c r="NF126" s="30"/>
      <c r="NG126" s="30"/>
      <c r="NH126" s="30"/>
      <c r="NI126" s="30"/>
      <c r="NJ126" s="30"/>
      <c r="NK126" s="30"/>
      <c r="NL126" s="30"/>
      <c r="NM126" s="30"/>
      <c r="NN126" s="30"/>
      <c r="NO126" s="30"/>
      <c r="NP126" s="30"/>
      <c r="NQ126" s="30"/>
      <c r="NR126" s="30"/>
    </row>
    <row r="127" spans="1:382" s="3" customFormat="1" ht="20.100000000000001" customHeight="1" x14ac:dyDescent="0.4">
      <c r="A127" s="29">
        <v>9</v>
      </c>
      <c r="B127" s="5">
        <v>1884</v>
      </c>
      <c r="C127" s="5" t="s">
        <v>176</v>
      </c>
      <c r="D127" s="5" t="s">
        <v>149</v>
      </c>
      <c r="E127" s="5" t="s">
        <v>10</v>
      </c>
      <c r="F127" s="5" t="s">
        <v>32</v>
      </c>
      <c r="G127" s="5" t="s">
        <v>32</v>
      </c>
      <c r="H127" s="5" t="s">
        <v>32</v>
      </c>
      <c r="I127" s="8"/>
      <c r="J127" s="8"/>
      <c r="K127" s="8" t="str">
        <f>IF(OR(J127="",E127=""),"",J127+IFERROR(VLOOKUP(E127,リードタイム!$A$2:$C$9,3,FALSE),0))</f>
        <v/>
      </c>
      <c r="L127" s="5" t="s">
        <v>530</v>
      </c>
      <c r="M127" s="8"/>
      <c r="N127" s="8" t="str">
        <f>IF(OR(M127="",E127=""),"",M127+IFERROR(VLOOKUP(E127,リードタイム!$A$2:$D$9,4,FALSE),0))</f>
        <v/>
      </c>
      <c r="O127" s="5" t="s">
        <v>530</v>
      </c>
      <c r="P127" s="5" t="s">
        <v>530</v>
      </c>
      <c r="Q127" s="5" t="s">
        <v>32</v>
      </c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  <c r="FS127" s="30"/>
      <c r="FT127" s="30"/>
      <c r="FU127" s="30"/>
      <c r="FV127" s="30"/>
      <c r="FW127" s="30"/>
      <c r="FX127" s="30"/>
      <c r="FY127" s="30"/>
      <c r="FZ127" s="30"/>
      <c r="GA127" s="30"/>
      <c r="GB127" s="30"/>
      <c r="GC127" s="30"/>
      <c r="GD127" s="30"/>
      <c r="GE127" s="30"/>
      <c r="GF127" s="30"/>
      <c r="GG127" s="30"/>
      <c r="GH127" s="30"/>
      <c r="GI127" s="30"/>
      <c r="GJ127" s="30"/>
      <c r="GK127" s="30"/>
      <c r="GL127" s="30"/>
      <c r="GM127" s="30"/>
      <c r="GN127" s="30"/>
      <c r="GO127" s="30"/>
      <c r="GP127" s="30"/>
      <c r="GQ127" s="30"/>
      <c r="GR127" s="30"/>
      <c r="GS127" s="30"/>
      <c r="GT127" s="30"/>
      <c r="GU127" s="30"/>
      <c r="GV127" s="30"/>
      <c r="GW127" s="30"/>
      <c r="GX127" s="30"/>
      <c r="GY127" s="30"/>
      <c r="GZ127" s="30"/>
      <c r="HA127" s="30"/>
      <c r="HB127" s="30"/>
      <c r="HC127" s="30"/>
      <c r="HD127" s="30"/>
      <c r="HE127" s="30"/>
      <c r="HF127" s="30"/>
      <c r="HG127" s="30"/>
      <c r="HH127" s="30"/>
      <c r="HI127" s="30"/>
      <c r="HJ127" s="30"/>
      <c r="HK127" s="30"/>
      <c r="HL127" s="30"/>
      <c r="HM127" s="30"/>
      <c r="HN127" s="30"/>
      <c r="HO127" s="30"/>
      <c r="HP127" s="30"/>
      <c r="HQ127" s="30"/>
      <c r="HR127" s="30"/>
      <c r="HS127" s="30"/>
      <c r="HT127" s="30"/>
      <c r="HU127" s="30"/>
      <c r="HV127" s="30"/>
      <c r="HW127" s="30"/>
      <c r="HX127" s="30"/>
      <c r="HY127" s="30"/>
      <c r="HZ127" s="30"/>
      <c r="IA127" s="30"/>
      <c r="IB127" s="30"/>
      <c r="IC127" s="30"/>
      <c r="ID127" s="30"/>
      <c r="IE127" s="30"/>
      <c r="IF127" s="30"/>
      <c r="IG127" s="30"/>
      <c r="IH127" s="30"/>
      <c r="II127" s="30"/>
      <c r="IJ127" s="30"/>
      <c r="IK127" s="30"/>
      <c r="IL127" s="30"/>
      <c r="IM127" s="30"/>
      <c r="IN127" s="30"/>
      <c r="IO127" s="30"/>
      <c r="IP127" s="30"/>
      <c r="IQ127" s="30"/>
      <c r="IR127" s="30"/>
      <c r="IS127" s="30"/>
      <c r="IT127" s="30"/>
      <c r="IU127" s="30"/>
      <c r="IV127" s="30"/>
      <c r="IW127" s="30"/>
      <c r="IX127" s="30"/>
      <c r="IY127" s="30"/>
      <c r="IZ127" s="30"/>
      <c r="JA127" s="30"/>
      <c r="JB127" s="30"/>
      <c r="JC127" s="30"/>
      <c r="JD127" s="30"/>
      <c r="JE127" s="30"/>
      <c r="JF127" s="30"/>
      <c r="JG127" s="30"/>
      <c r="JH127" s="30"/>
      <c r="JI127" s="30"/>
      <c r="JJ127" s="30"/>
      <c r="JK127" s="30"/>
      <c r="JL127" s="30"/>
      <c r="JM127" s="30"/>
      <c r="JN127" s="30"/>
      <c r="JO127" s="30"/>
      <c r="JP127" s="30"/>
      <c r="JQ127" s="30"/>
      <c r="JR127" s="30"/>
      <c r="JS127" s="30"/>
      <c r="JT127" s="30"/>
      <c r="JU127" s="30"/>
      <c r="JV127" s="30"/>
      <c r="JW127" s="30"/>
      <c r="JX127" s="30"/>
      <c r="JY127" s="30"/>
      <c r="JZ127" s="30"/>
      <c r="KA127" s="30"/>
      <c r="KB127" s="30"/>
      <c r="KC127" s="30"/>
      <c r="KD127" s="30"/>
      <c r="KE127" s="30"/>
      <c r="KF127" s="30"/>
      <c r="KG127" s="30"/>
      <c r="KH127" s="30"/>
      <c r="KI127" s="30"/>
      <c r="KJ127" s="30"/>
      <c r="KK127" s="30"/>
      <c r="KL127" s="30"/>
      <c r="KM127" s="30"/>
      <c r="KN127" s="30"/>
      <c r="KO127" s="30"/>
      <c r="KP127" s="30"/>
      <c r="KQ127" s="30"/>
      <c r="KR127" s="30"/>
      <c r="KS127" s="30"/>
      <c r="KT127" s="30"/>
      <c r="KU127" s="30"/>
      <c r="KV127" s="30"/>
      <c r="KW127" s="30"/>
      <c r="KX127" s="30"/>
      <c r="KY127" s="30"/>
      <c r="KZ127" s="30"/>
      <c r="LA127" s="30"/>
      <c r="LB127" s="30"/>
      <c r="LC127" s="30"/>
      <c r="LD127" s="30"/>
      <c r="LE127" s="30"/>
      <c r="LF127" s="30"/>
      <c r="LG127" s="30"/>
      <c r="LH127" s="30"/>
      <c r="LI127" s="30"/>
      <c r="LJ127" s="30"/>
      <c r="LK127" s="30"/>
      <c r="LL127" s="30"/>
      <c r="LM127" s="30"/>
      <c r="LN127" s="30"/>
      <c r="LO127" s="30"/>
      <c r="LP127" s="30"/>
      <c r="LQ127" s="30"/>
      <c r="LR127" s="30"/>
      <c r="LS127" s="30"/>
      <c r="LT127" s="30"/>
      <c r="LU127" s="30"/>
      <c r="LV127" s="30"/>
      <c r="LW127" s="30"/>
      <c r="LX127" s="30"/>
      <c r="LY127" s="30"/>
      <c r="LZ127" s="30"/>
      <c r="MA127" s="30"/>
      <c r="MB127" s="30"/>
      <c r="MC127" s="30"/>
      <c r="MD127" s="30"/>
      <c r="ME127" s="30"/>
      <c r="MF127" s="30"/>
      <c r="MG127" s="30"/>
      <c r="MH127" s="30"/>
      <c r="MI127" s="30"/>
      <c r="MJ127" s="30"/>
      <c r="MK127" s="30"/>
      <c r="ML127" s="30"/>
      <c r="MM127" s="30"/>
      <c r="MN127" s="30"/>
      <c r="MO127" s="30"/>
      <c r="MP127" s="30"/>
      <c r="MQ127" s="30"/>
      <c r="MR127" s="30"/>
      <c r="MS127" s="30"/>
      <c r="MT127" s="30"/>
      <c r="MU127" s="30"/>
      <c r="MV127" s="30"/>
      <c r="MW127" s="30"/>
      <c r="MX127" s="30"/>
      <c r="MY127" s="30"/>
      <c r="MZ127" s="30"/>
      <c r="NA127" s="30"/>
      <c r="NB127" s="30"/>
      <c r="NC127" s="30"/>
      <c r="ND127" s="30"/>
      <c r="NE127" s="30"/>
      <c r="NF127" s="30"/>
      <c r="NG127" s="30"/>
      <c r="NH127" s="30"/>
      <c r="NI127" s="30"/>
      <c r="NJ127" s="30"/>
      <c r="NK127" s="30"/>
      <c r="NL127" s="30"/>
      <c r="NM127" s="30"/>
      <c r="NN127" s="30"/>
      <c r="NO127" s="30"/>
      <c r="NP127" s="30"/>
      <c r="NQ127" s="30"/>
      <c r="NR127" s="30"/>
    </row>
    <row r="128" spans="1:382" s="3" customFormat="1" ht="20.100000000000001" customHeight="1" x14ac:dyDescent="0.4">
      <c r="A128" s="29">
        <v>1</v>
      </c>
      <c r="B128" s="5">
        <v>1970</v>
      </c>
      <c r="C128" s="5" t="s">
        <v>183</v>
      </c>
      <c r="D128" s="5" t="s">
        <v>179</v>
      </c>
      <c r="E128" s="5" t="s">
        <v>18</v>
      </c>
      <c r="F128" s="5" t="s">
        <v>32</v>
      </c>
      <c r="G128" s="5" t="s">
        <v>32</v>
      </c>
      <c r="H128" s="5" t="s">
        <v>32</v>
      </c>
      <c r="I128" s="8"/>
      <c r="J128" s="8"/>
      <c r="K128" s="8" t="str">
        <f>IF(OR(J128="",E128=""),"",J128+IFERROR(VLOOKUP(E128,リードタイム!$A$2:$C$9,3,FALSE),0))</f>
        <v/>
      </c>
      <c r="L128" s="5" t="s">
        <v>531</v>
      </c>
      <c r="M128" s="8"/>
      <c r="N128" s="8" t="str">
        <f>IF(OR(M128="",E128=""),"",M128+IFERROR(VLOOKUP(E128,リードタイム!$A$2:$D$9,4,FALSE),0))</f>
        <v/>
      </c>
      <c r="O128" s="5" t="s">
        <v>531</v>
      </c>
      <c r="P128" s="5" t="s">
        <v>533</v>
      </c>
      <c r="Q128" s="5" t="s">
        <v>32</v>
      </c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30"/>
      <c r="HJ128" s="30"/>
      <c r="HK128" s="30"/>
      <c r="HL128" s="30"/>
      <c r="HM128" s="30"/>
      <c r="HN128" s="30"/>
      <c r="HO128" s="30"/>
      <c r="HP128" s="30"/>
      <c r="HQ128" s="30"/>
      <c r="HR128" s="30"/>
      <c r="HS128" s="30"/>
      <c r="HT128" s="30"/>
      <c r="HU128" s="30"/>
      <c r="HV128" s="30"/>
      <c r="HW128" s="30"/>
      <c r="HX128" s="30"/>
      <c r="HY128" s="30"/>
      <c r="HZ128" s="30"/>
      <c r="IA128" s="30"/>
      <c r="IB128" s="30"/>
      <c r="IC128" s="30"/>
      <c r="ID128" s="30"/>
      <c r="IE128" s="30"/>
      <c r="IF128" s="30"/>
      <c r="IG128" s="30"/>
      <c r="IH128" s="30"/>
      <c r="II128" s="30"/>
      <c r="IJ128" s="30"/>
      <c r="IK128" s="30"/>
      <c r="IL128" s="30"/>
      <c r="IM128" s="30"/>
      <c r="IN128" s="30"/>
      <c r="IO128" s="30"/>
      <c r="IP128" s="30"/>
      <c r="IQ128" s="30"/>
      <c r="IR128" s="30"/>
      <c r="IS128" s="30"/>
      <c r="IT128" s="30"/>
      <c r="IU128" s="30"/>
      <c r="IV128" s="30"/>
      <c r="IW128" s="30"/>
      <c r="IX128" s="30"/>
      <c r="IY128" s="30"/>
      <c r="IZ128" s="30"/>
      <c r="JA128" s="30"/>
      <c r="JB128" s="30"/>
      <c r="JC128" s="30"/>
      <c r="JD128" s="30"/>
      <c r="JE128" s="30"/>
      <c r="JF128" s="30"/>
      <c r="JG128" s="30"/>
      <c r="JH128" s="30"/>
      <c r="JI128" s="30"/>
      <c r="JJ128" s="30"/>
      <c r="JK128" s="30"/>
      <c r="JL128" s="30"/>
      <c r="JM128" s="30"/>
      <c r="JN128" s="30"/>
      <c r="JO128" s="30"/>
      <c r="JP128" s="30"/>
      <c r="JQ128" s="30"/>
      <c r="JR128" s="30"/>
      <c r="JS128" s="30"/>
      <c r="JT128" s="30"/>
      <c r="JU128" s="30"/>
      <c r="JV128" s="30"/>
      <c r="JW128" s="30"/>
      <c r="JX128" s="30"/>
      <c r="JY128" s="30"/>
      <c r="JZ128" s="30"/>
      <c r="KA128" s="30"/>
      <c r="KB128" s="30"/>
      <c r="KC128" s="30"/>
      <c r="KD128" s="30"/>
      <c r="KE128" s="30"/>
      <c r="KF128" s="30"/>
      <c r="KG128" s="30"/>
      <c r="KH128" s="30"/>
      <c r="KI128" s="30"/>
      <c r="KJ128" s="30"/>
      <c r="KK128" s="30"/>
      <c r="KL128" s="30"/>
      <c r="KM128" s="30"/>
      <c r="KN128" s="30"/>
      <c r="KO128" s="30"/>
      <c r="KP128" s="30"/>
      <c r="KQ128" s="30"/>
      <c r="KR128" s="30"/>
      <c r="KS128" s="30"/>
      <c r="KT128" s="30"/>
      <c r="KU128" s="30"/>
      <c r="KV128" s="30"/>
      <c r="KW128" s="30"/>
      <c r="KX128" s="30"/>
      <c r="KY128" s="30"/>
      <c r="KZ128" s="30"/>
      <c r="LA128" s="30"/>
      <c r="LB128" s="30"/>
      <c r="LC128" s="30"/>
      <c r="LD128" s="30"/>
      <c r="LE128" s="30"/>
      <c r="LF128" s="30"/>
      <c r="LG128" s="30"/>
      <c r="LH128" s="30"/>
      <c r="LI128" s="30"/>
      <c r="LJ128" s="30"/>
      <c r="LK128" s="30"/>
      <c r="LL128" s="30"/>
      <c r="LM128" s="30"/>
      <c r="LN128" s="30"/>
      <c r="LO128" s="30"/>
      <c r="LP128" s="30"/>
      <c r="LQ128" s="30"/>
      <c r="LR128" s="30"/>
      <c r="LS128" s="30"/>
      <c r="LT128" s="30"/>
      <c r="LU128" s="30"/>
      <c r="LV128" s="30"/>
      <c r="LW128" s="30"/>
      <c r="LX128" s="30"/>
      <c r="LY128" s="30"/>
      <c r="LZ128" s="30"/>
      <c r="MA128" s="30"/>
      <c r="MB128" s="30"/>
      <c r="MC128" s="30"/>
      <c r="MD128" s="30"/>
      <c r="ME128" s="30"/>
      <c r="MF128" s="30"/>
      <c r="MG128" s="30"/>
      <c r="MH128" s="30"/>
      <c r="MI128" s="30"/>
      <c r="MJ128" s="30"/>
      <c r="MK128" s="30"/>
      <c r="ML128" s="30"/>
      <c r="MM128" s="30"/>
      <c r="MN128" s="30"/>
      <c r="MO128" s="30"/>
      <c r="MP128" s="30"/>
      <c r="MQ128" s="30"/>
      <c r="MR128" s="30"/>
      <c r="MS128" s="30"/>
      <c r="MT128" s="30"/>
      <c r="MU128" s="30"/>
      <c r="MV128" s="30"/>
      <c r="MW128" s="30"/>
      <c r="MX128" s="30"/>
      <c r="MY128" s="30"/>
      <c r="MZ128" s="30"/>
      <c r="NA128" s="30"/>
      <c r="NB128" s="30"/>
      <c r="NC128" s="30"/>
      <c r="ND128" s="30"/>
      <c r="NE128" s="30"/>
      <c r="NF128" s="30"/>
      <c r="NG128" s="30"/>
      <c r="NH128" s="30"/>
      <c r="NI128" s="30"/>
      <c r="NJ128" s="30"/>
      <c r="NK128" s="30"/>
      <c r="NL128" s="30"/>
      <c r="NM128" s="30"/>
      <c r="NN128" s="30"/>
      <c r="NO128" s="30"/>
      <c r="NP128" s="30"/>
      <c r="NQ128" s="30"/>
      <c r="NR128" s="30"/>
    </row>
    <row r="129" spans="1:382" s="3" customFormat="1" ht="20.100000000000001" customHeight="1" x14ac:dyDescent="0.4">
      <c r="A129" s="29">
        <v>2</v>
      </c>
      <c r="B129" s="5">
        <v>1971</v>
      </c>
      <c r="C129" s="5" t="s">
        <v>183</v>
      </c>
      <c r="D129" s="5" t="s">
        <v>180</v>
      </c>
      <c r="E129" s="5" t="s">
        <v>18</v>
      </c>
      <c r="F129" s="5" t="s">
        <v>32</v>
      </c>
      <c r="G129" s="5" t="s">
        <v>32</v>
      </c>
      <c r="H129" s="5" t="s">
        <v>32</v>
      </c>
      <c r="I129" s="8"/>
      <c r="J129" s="8"/>
      <c r="K129" s="8" t="str">
        <f>IF(OR(J129="",E129=""),"",J129+IFERROR(VLOOKUP(E129,リードタイム!$A$2:$C$9,3,FALSE),0))</f>
        <v/>
      </c>
      <c r="L129" s="5" t="s">
        <v>531</v>
      </c>
      <c r="M129" s="8"/>
      <c r="N129" s="8" t="str">
        <f>IF(OR(M129="",E129=""),"",M129+IFERROR(VLOOKUP(E129,リードタイム!$A$2:$D$9,4,FALSE),0))</f>
        <v/>
      </c>
      <c r="O129" s="5" t="s">
        <v>531</v>
      </c>
      <c r="P129" s="5" t="s">
        <v>533</v>
      </c>
      <c r="Q129" s="5" t="s">
        <v>32</v>
      </c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  <c r="FS129" s="30"/>
      <c r="FT129" s="30"/>
      <c r="FU129" s="30"/>
      <c r="FV129" s="30"/>
      <c r="FW129" s="30"/>
      <c r="FX129" s="30"/>
      <c r="FY129" s="30"/>
      <c r="FZ129" s="30"/>
      <c r="GA129" s="30"/>
      <c r="GB129" s="30"/>
      <c r="GC129" s="30"/>
      <c r="GD129" s="30"/>
      <c r="GE129" s="30"/>
      <c r="GF129" s="30"/>
      <c r="GG129" s="30"/>
      <c r="GH129" s="30"/>
      <c r="GI129" s="30"/>
      <c r="GJ129" s="30"/>
      <c r="GK129" s="30"/>
      <c r="GL129" s="30"/>
      <c r="GM129" s="30"/>
      <c r="GN129" s="30"/>
      <c r="GO129" s="30"/>
      <c r="GP129" s="30"/>
      <c r="GQ129" s="30"/>
      <c r="GR129" s="30"/>
      <c r="GS129" s="30"/>
      <c r="GT129" s="30"/>
      <c r="GU129" s="30"/>
      <c r="GV129" s="30"/>
      <c r="GW129" s="30"/>
      <c r="GX129" s="30"/>
      <c r="GY129" s="30"/>
      <c r="GZ129" s="30"/>
      <c r="HA129" s="30"/>
      <c r="HB129" s="30"/>
      <c r="HC129" s="30"/>
      <c r="HD129" s="30"/>
      <c r="HE129" s="30"/>
      <c r="HF129" s="30"/>
      <c r="HG129" s="30"/>
      <c r="HH129" s="30"/>
      <c r="HI129" s="30"/>
      <c r="HJ129" s="30"/>
      <c r="HK129" s="30"/>
      <c r="HL129" s="30"/>
      <c r="HM129" s="30"/>
      <c r="HN129" s="30"/>
      <c r="HO129" s="30"/>
      <c r="HP129" s="30"/>
      <c r="HQ129" s="30"/>
      <c r="HR129" s="30"/>
      <c r="HS129" s="30"/>
      <c r="HT129" s="30"/>
      <c r="HU129" s="30"/>
      <c r="HV129" s="30"/>
      <c r="HW129" s="30"/>
      <c r="HX129" s="30"/>
      <c r="HY129" s="30"/>
      <c r="HZ129" s="30"/>
      <c r="IA129" s="30"/>
      <c r="IB129" s="30"/>
      <c r="IC129" s="30"/>
      <c r="ID129" s="30"/>
      <c r="IE129" s="30"/>
      <c r="IF129" s="30"/>
      <c r="IG129" s="30"/>
      <c r="IH129" s="30"/>
      <c r="II129" s="30"/>
      <c r="IJ129" s="30"/>
      <c r="IK129" s="30"/>
      <c r="IL129" s="30"/>
      <c r="IM129" s="30"/>
      <c r="IN129" s="30"/>
      <c r="IO129" s="30"/>
      <c r="IP129" s="30"/>
      <c r="IQ129" s="30"/>
      <c r="IR129" s="30"/>
      <c r="IS129" s="30"/>
      <c r="IT129" s="30"/>
      <c r="IU129" s="30"/>
      <c r="IV129" s="30"/>
      <c r="IW129" s="30"/>
      <c r="IX129" s="30"/>
      <c r="IY129" s="30"/>
      <c r="IZ129" s="30"/>
      <c r="JA129" s="30"/>
      <c r="JB129" s="30"/>
      <c r="JC129" s="30"/>
      <c r="JD129" s="30"/>
      <c r="JE129" s="30"/>
      <c r="JF129" s="30"/>
      <c r="JG129" s="30"/>
      <c r="JH129" s="30"/>
      <c r="JI129" s="30"/>
      <c r="JJ129" s="30"/>
      <c r="JK129" s="30"/>
      <c r="JL129" s="30"/>
      <c r="JM129" s="30"/>
      <c r="JN129" s="30"/>
      <c r="JO129" s="30"/>
      <c r="JP129" s="30"/>
      <c r="JQ129" s="30"/>
      <c r="JR129" s="30"/>
      <c r="JS129" s="30"/>
      <c r="JT129" s="30"/>
      <c r="JU129" s="30"/>
      <c r="JV129" s="30"/>
      <c r="JW129" s="30"/>
      <c r="JX129" s="30"/>
      <c r="JY129" s="30"/>
      <c r="JZ129" s="30"/>
      <c r="KA129" s="30"/>
      <c r="KB129" s="30"/>
      <c r="KC129" s="30"/>
      <c r="KD129" s="30"/>
      <c r="KE129" s="30"/>
      <c r="KF129" s="30"/>
      <c r="KG129" s="30"/>
      <c r="KH129" s="30"/>
      <c r="KI129" s="30"/>
      <c r="KJ129" s="30"/>
      <c r="KK129" s="30"/>
      <c r="KL129" s="30"/>
      <c r="KM129" s="30"/>
      <c r="KN129" s="30"/>
      <c r="KO129" s="30"/>
      <c r="KP129" s="30"/>
      <c r="KQ129" s="30"/>
      <c r="KR129" s="30"/>
      <c r="KS129" s="30"/>
      <c r="KT129" s="30"/>
      <c r="KU129" s="30"/>
      <c r="KV129" s="30"/>
      <c r="KW129" s="30"/>
      <c r="KX129" s="30"/>
      <c r="KY129" s="30"/>
      <c r="KZ129" s="30"/>
      <c r="LA129" s="30"/>
      <c r="LB129" s="30"/>
      <c r="LC129" s="30"/>
      <c r="LD129" s="30"/>
      <c r="LE129" s="30"/>
      <c r="LF129" s="30"/>
      <c r="LG129" s="30"/>
      <c r="LH129" s="30"/>
      <c r="LI129" s="30"/>
      <c r="LJ129" s="30"/>
      <c r="LK129" s="30"/>
      <c r="LL129" s="30"/>
      <c r="LM129" s="30"/>
      <c r="LN129" s="30"/>
      <c r="LO129" s="30"/>
      <c r="LP129" s="30"/>
      <c r="LQ129" s="30"/>
      <c r="LR129" s="30"/>
      <c r="LS129" s="30"/>
      <c r="LT129" s="30"/>
      <c r="LU129" s="30"/>
      <c r="LV129" s="30"/>
      <c r="LW129" s="30"/>
      <c r="LX129" s="30"/>
      <c r="LY129" s="30"/>
      <c r="LZ129" s="30"/>
      <c r="MA129" s="30"/>
      <c r="MB129" s="30"/>
      <c r="MC129" s="30"/>
      <c r="MD129" s="30"/>
      <c r="ME129" s="30"/>
      <c r="MF129" s="30"/>
      <c r="MG129" s="30"/>
      <c r="MH129" s="30"/>
      <c r="MI129" s="30"/>
      <c r="MJ129" s="30"/>
      <c r="MK129" s="30"/>
      <c r="ML129" s="30"/>
      <c r="MM129" s="30"/>
      <c r="MN129" s="30"/>
      <c r="MO129" s="30"/>
      <c r="MP129" s="30"/>
      <c r="MQ129" s="30"/>
      <c r="MR129" s="30"/>
      <c r="MS129" s="30"/>
      <c r="MT129" s="30"/>
      <c r="MU129" s="30"/>
      <c r="MV129" s="30"/>
      <c r="MW129" s="30"/>
      <c r="MX129" s="30"/>
      <c r="MY129" s="30"/>
      <c r="MZ129" s="30"/>
      <c r="NA129" s="30"/>
      <c r="NB129" s="30"/>
      <c r="NC129" s="30"/>
      <c r="ND129" s="30"/>
      <c r="NE129" s="30"/>
      <c r="NF129" s="30"/>
      <c r="NG129" s="30"/>
      <c r="NH129" s="30"/>
      <c r="NI129" s="30"/>
      <c r="NJ129" s="30"/>
      <c r="NK129" s="30"/>
      <c r="NL129" s="30"/>
      <c r="NM129" s="30"/>
      <c r="NN129" s="30"/>
      <c r="NO129" s="30"/>
      <c r="NP129" s="30"/>
      <c r="NQ129" s="30"/>
      <c r="NR129" s="30"/>
    </row>
    <row r="130" spans="1:382" s="3" customFormat="1" ht="20.100000000000001" customHeight="1" x14ac:dyDescent="0.4">
      <c r="A130" s="29">
        <v>3</v>
      </c>
      <c r="B130" s="5">
        <v>1984</v>
      </c>
      <c r="C130" s="5" t="s">
        <v>183</v>
      </c>
      <c r="D130" s="5" t="s">
        <v>177</v>
      </c>
      <c r="E130" s="5" t="s">
        <v>14</v>
      </c>
      <c r="F130" s="5" t="s">
        <v>32</v>
      </c>
      <c r="G130" s="5" t="s">
        <v>32</v>
      </c>
      <c r="H130" s="5" t="s">
        <v>32</v>
      </c>
      <c r="I130" s="8">
        <v>46111.625</v>
      </c>
      <c r="J130" s="8"/>
      <c r="K130" s="8" t="str">
        <f>IF(OR(J130="",E130=""),"",J130+IFERROR(VLOOKUP(E130,リードタイム!$A$2:$C$9,3,FALSE),0))</f>
        <v/>
      </c>
      <c r="L130" s="5" t="s">
        <v>531</v>
      </c>
      <c r="M130" s="8"/>
      <c r="N130" s="8" t="str">
        <f>IF(OR(M130="",E130=""),"",M130+IFERROR(VLOOKUP(E130,リードタイム!$A$2:$D$9,4,FALSE),0))</f>
        <v/>
      </c>
      <c r="O130" s="5" t="s">
        <v>531</v>
      </c>
      <c r="P130" s="5" t="s">
        <v>532</v>
      </c>
      <c r="Q130" s="5" t="s">
        <v>32</v>
      </c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  <c r="FS130" s="30"/>
      <c r="FT130" s="30"/>
      <c r="FU130" s="30"/>
      <c r="FV130" s="30"/>
      <c r="FW130" s="30"/>
      <c r="FX130" s="30"/>
      <c r="FY130" s="30"/>
      <c r="FZ130" s="30"/>
      <c r="GA130" s="30"/>
      <c r="GB130" s="30"/>
      <c r="GC130" s="30"/>
      <c r="GD130" s="30"/>
      <c r="GE130" s="30"/>
      <c r="GF130" s="30"/>
      <c r="GG130" s="30"/>
      <c r="GH130" s="30"/>
      <c r="GI130" s="30"/>
      <c r="GJ130" s="30"/>
      <c r="GK130" s="30"/>
      <c r="GL130" s="30"/>
      <c r="GM130" s="30"/>
      <c r="GN130" s="30"/>
      <c r="GO130" s="30"/>
      <c r="GP130" s="30"/>
      <c r="GQ130" s="30"/>
      <c r="GR130" s="30"/>
      <c r="GS130" s="30"/>
      <c r="GT130" s="30"/>
      <c r="GU130" s="30"/>
      <c r="GV130" s="30"/>
      <c r="GW130" s="30"/>
      <c r="GX130" s="30"/>
      <c r="GY130" s="30"/>
      <c r="GZ130" s="30"/>
      <c r="HA130" s="30"/>
      <c r="HB130" s="30"/>
      <c r="HC130" s="30"/>
      <c r="HD130" s="30"/>
      <c r="HE130" s="30"/>
      <c r="HF130" s="30"/>
      <c r="HG130" s="30"/>
      <c r="HH130" s="30"/>
      <c r="HI130" s="30"/>
      <c r="HJ130" s="30"/>
      <c r="HK130" s="30"/>
      <c r="HL130" s="30"/>
      <c r="HM130" s="30"/>
      <c r="HN130" s="30"/>
      <c r="HO130" s="30"/>
      <c r="HP130" s="30"/>
      <c r="HQ130" s="30"/>
      <c r="HR130" s="30"/>
      <c r="HS130" s="30"/>
      <c r="HT130" s="30"/>
      <c r="HU130" s="30"/>
      <c r="HV130" s="30"/>
      <c r="HW130" s="30"/>
      <c r="HX130" s="30"/>
      <c r="HY130" s="30"/>
      <c r="HZ130" s="30"/>
      <c r="IA130" s="30"/>
      <c r="IB130" s="30"/>
      <c r="IC130" s="30"/>
      <c r="ID130" s="30"/>
      <c r="IE130" s="30"/>
      <c r="IF130" s="30"/>
      <c r="IG130" s="30"/>
      <c r="IH130" s="30"/>
      <c r="II130" s="30"/>
      <c r="IJ130" s="30"/>
      <c r="IK130" s="30"/>
      <c r="IL130" s="30"/>
      <c r="IM130" s="30"/>
      <c r="IN130" s="30"/>
      <c r="IO130" s="30"/>
      <c r="IP130" s="30"/>
      <c r="IQ130" s="30"/>
      <c r="IR130" s="30"/>
      <c r="IS130" s="30"/>
      <c r="IT130" s="30"/>
      <c r="IU130" s="30"/>
      <c r="IV130" s="30"/>
      <c r="IW130" s="30"/>
      <c r="IX130" s="30"/>
      <c r="IY130" s="30"/>
      <c r="IZ130" s="30"/>
      <c r="JA130" s="30"/>
      <c r="JB130" s="30"/>
      <c r="JC130" s="30"/>
      <c r="JD130" s="30"/>
      <c r="JE130" s="30"/>
      <c r="JF130" s="30"/>
      <c r="JG130" s="30"/>
      <c r="JH130" s="30"/>
      <c r="JI130" s="30"/>
      <c r="JJ130" s="30"/>
      <c r="JK130" s="30"/>
      <c r="JL130" s="30"/>
      <c r="JM130" s="30"/>
      <c r="JN130" s="30"/>
      <c r="JO130" s="30"/>
      <c r="JP130" s="30"/>
      <c r="JQ130" s="30"/>
      <c r="JR130" s="30"/>
      <c r="JS130" s="30"/>
      <c r="JT130" s="30"/>
      <c r="JU130" s="30"/>
      <c r="JV130" s="30"/>
      <c r="JW130" s="30"/>
      <c r="JX130" s="30"/>
      <c r="JY130" s="30"/>
      <c r="JZ130" s="30"/>
      <c r="KA130" s="30"/>
      <c r="KB130" s="30"/>
      <c r="KC130" s="30"/>
      <c r="KD130" s="30"/>
      <c r="KE130" s="30"/>
      <c r="KF130" s="30"/>
      <c r="KG130" s="30"/>
      <c r="KH130" s="30"/>
      <c r="KI130" s="30"/>
      <c r="KJ130" s="30"/>
      <c r="KK130" s="30"/>
      <c r="KL130" s="30"/>
      <c r="KM130" s="30"/>
      <c r="KN130" s="30"/>
      <c r="KO130" s="30"/>
      <c r="KP130" s="30"/>
      <c r="KQ130" s="30"/>
      <c r="KR130" s="30"/>
      <c r="KS130" s="30"/>
      <c r="KT130" s="30"/>
      <c r="KU130" s="30"/>
      <c r="KV130" s="30"/>
      <c r="KW130" s="30"/>
      <c r="KX130" s="30"/>
      <c r="KY130" s="30"/>
      <c r="KZ130" s="30"/>
      <c r="LA130" s="30"/>
      <c r="LB130" s="30"/>
      <c r="LC130" s="30"/>
      <c r="LD130" s="30"/>
      <c r="LE130" s="30"/>
      <c r="LF130" s="30"/>
      <c r="LG130" s="30"/>
      <c r="LH130" s="30"/>
      <c r="LI130" s="30"/>
      <c r="LJ130" s="30"/>
      <c r="LK130" s="30"/>
      <c r="LL130" s="30"/>
      <c r="LM130" s="30"/>
      <c r="LN130" s="30"/>
      <c r="LO130" s="30"/>
      <c r="LP130" s="30"/>
      <c r="LQ130" s="30"/>
      <c r="LR130" s="30"/>
      <c r="LS130" s="30"/>
      <c r="LT130" s="30"/>
      <c r="LU130" s="30"/>
      <c r="LV130" s="30"/>
      <c r="LW130" s="30"/>
      <c r="LX130" s="30"/>
      <c r="LY130" s="30"/>
      <c r="LZ130" s="30"/>
      <c r="MA130" s="30"/>
      <c r="MB130" s="30"/>
      <c r="MC130" s="30"/>
      <c r="MD130" s="30"/>
      <c r="ME130" s="30"/>
      <c r="MF130" s="30"/>
      <c r="MG130" s="30"/>
      <c r="MH130" s="30"/>
      <c r="MI130" s="30"/>
      <c r="MJ130" s="30"/>
      <c r="MK130" s="30"/>
      <c r="ML130" s="30"/>
      <c r="MM130" s="30"/>
      <c r="MN130" s="30"/>
      <c r="MO130" s="30"/>
      <c r="MP130" s="30"/>
      <c r="MQ130" s="30"/>
      <c r="MR130" s="30"/>
      <c r="MS130" s="30"/>
      <c r="MT130" s="30"/>
      <c r="MU130" s="30"/>
      <c r="MV130" s="30"/>
      <c r="MW130" s="30"/>
      <c r="MX130" s="30"/>
      <c r="MY130" s="30"/>
      <c r="MZ130" s="30"/>
      <c r="NA130" s="30"/>
      <c r="NB130" s="30"/>
      <c r="NC130" s="30"/>
      <c r="ND130" s="30"/>
      <c r="NE130" s="30"/>
      <c r="NF130" s="30"/>
      <c r="NG130" s="30"/>
      <c r="NH130" s="30"/>
      <c r="NI130" s="30"/>
      <c r="NJ130" s="30"/>
      <c r="NK130" s="30"/>
      <c r="NL130" s="30"/>
      <c r="NM130" s="30"/>
      <c r="NN130" s="30"/>
      <c r="NO130" s="30"/>
      <c r="NP130" s="30"/>
      <c r="NQ130" s="30"/>
      <c r="NR130" s="30"/>
    </row>
    <row r="131" spans="1:382" s="3" customFormat="1" ht="20.100000000000001" customHeight="1" x14ac:dyDescent="0.4">
      <c r="A131" s="29">
        <v>4</v>
      </c>
      <c r="B131" s="5">
        <v>1983</v>
      </c>
      <c r="C131" s="5" t="s">
        <v>183</v>
      </c>
      <c r="D131" s="5" t="s">
        <v>184</v>
      </c>
      <c r="E131" s="5" t="s">
        <v>14</v>
      </c>
      <c r="F131" s="5" t="s">
        <v>32</v>
      </c>
      <c r="G131" s="5" t="s">
        <v>32</v>
      </c>
      <c r="H131" s="5" t="s">
        <v>32</v>
      </c>
      <c r="I131" s="8">
        <v>46111.625</v>
      </c>
      <c r="J131" s="8"/>
      <c r="K131" s="8" t="str">
        <f>IF(OR(J131="",E131=""),"",J131+IFERROR(VLOOKUP(E131,リードタイム!$A$2:$C$9,3,FALSE),0))</f>
        <v/>
      </c>
      <c r="L131" s="5" t="s">
        <v>531</v>
      </c>
      <c r="M131" s="8"/>
      <c r="N131" s="8" t="str">
        <f>IF(OR(M131="",E131=""),"",M131+IFERROR(VLOOKUP(E131,リードタイム!$A$2:$D$9,4,FALSE),0))</f>
        <v/>
      </c>
      <c r="O131" s="5" t="s">
        <v>531</v>
      </c>
      <c r="P131" s="5" t="s">
        <v>532</v>
      </c>
      <c r="Q131" s="5" t="s">
        <v>32</v>
      </c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0"/>
      <c r="GW131" s="30"/>
      <c r="GX131" s="30"/>
      <c r="GY131" s="30"/>
      <c r="GZ131" s="30"/>
      <c r="HA131" s="30"/>
      <c r="HB131" s="30"/>
      <c r="HC131" s="30"/>
      <c r="HD131" s="30"/>
      <c r="HE131" s="30"/>
      <c r="HF131" s="30"/>
      <c r="HG131" s="30"/>
      <c r="HH131" s="30"/>
      <c r="HI131" s="30"/>
      <c r="HJ131" s="30"/>
      <c r="HK131" s="30"/>
      <c r="HL131" s="30"/>
      <c r="HM131" s="30"/>
      <c r="HN131" s="30"/>
      <c r="HO131" s="30"/>
      <c r="HP131" s="30"/>
      <c r="HQ131" s="30"/>
      <c r="HR131" s="30"/>
      <c r="HS131" s="30"/>
      <c r="HT131" s="30"/>
      <c r="HU131" s="30"/>
      <c r="HV131" s="30"/>
      <c r="HW131" s="30"/>
      <c r="HX131" s="30"/>
      <c r="HY131" s="30"/>
      <c r="HZ131" s="30"/>
      <c r="IA131" s="30"/>
      <c r="IB131" s="30"/>
      <c r="IC131" s="30"/>
      <c r="ID131" s="30"/>
      <c r="IE131" s="30"/>
      <c r="IF131" s="30"/>
      <c r="IG131" s="30"/>
      <c r="IH131" s="30"/>
      <c r="II131" s="30"/>
      <c r="IJ131" s="30"/>
      <c r="IK131" s="30"/>
      <c r="IL131" s="30"/>
      <c r="IM131" s="30"/>
      <c r="IN131" s="30"/>
      <c r="IO131" s="30"/>
      <c r="IP131" s="30"/>
      <c r="IQ131" s="30"/>
      <c r="IR131" s="30"/>
      <c r="IS131" s="30"/>
      <c r="IT131" s="30"/>
      <c r="IU131" s="30"/>
      <c r="IV131" s="30"/>
      <c r="IW131" s="30"/>
      <c r="IX131" s="30"/>
      <c r="IY131" s="30"/>
      <c r="IZ131" s="30"/>
      <c r="JA131" s="30"/>
      <c r="JB131" s="30"/>
      <c r="JC131" s="30"/>
      <c r="JD131" s="30"/>
      <c r="JE131" s="30"/>
      <c r="JF131" s="30"/>
      <c r="JG131" s="30"/>
      <c r="JH131" s="30"/>
      <c r="JI131" s="30"/>
      <c r="JJ131" s="30"/>
      <c r="JK131" s="30"/>
      <c r="JL131" s="30"/>
      <c r="JM131" s="30"/>
      <c r="JN131" s="30"/>
      <c r="JO131" s="30"/>
      <c r="JP131" s="30"/>
      <c r="JQ131" s="30"/>
      <c r="JR131" s="30"/>
      <c r="JS131" s="30"/>
      <c r="JT131" s="30"/>
      <c r="JU131" s="30"/>
      <c r="JV131" s="30"/>
      <c r="JW131" s="30"/>
      <c r="JX131" s="30"/>
      <c r="JY131" s="30"/>
      <c r="JZ131" s="30"/>
      <c r="KA131" s="30"/>
      <c r="KB131" s="30"/>
      <c r="KC131" s="30"/>
      <c r="KD131" s="30"/>
      <c r="KE131" s="30"/>
      <c r="KF131" s="30"/>
      <c r="KG131" s="30"/>
      <c r="KH131" s="30"/>
      <c r="KI131" s="30"/>
      <c r="KJ131" s="30"/>
      <c r="KK131" s="30"/>
      <c r="KL131" s="30"/>
      <c r="KM131" s="30"/>
      <c r="KN131" s="30"/>
      <c r="KO131" s="30"/>
      <c r="KP131" s="30"/>
      <c r="KQ131" s="30"/>
      <c r="KR131" s="30"/>
      <c r="KS131" s="30"/>
      <c r="KT131" s="30"/>
      <c r="KU131" s="30"/>
      <c r="KV131" s="30"/>
      <c r="KW131" s="30"/>
      <c r="KX131" s="30"/>
      <c r="KY131" s="30"/>
      <c r="KZ131" s="30"/>
      <c r="LA131" s="30"/>
      <c r="LB131" s="30"/>
      <c r="LC131" s="30"/>
      <c r="LD131" s="30"/>
      <c r="LE131" s="30"/>
      <c r="LF131" s="30"/>
      <c r="LG131" s="30"/>
      <c r="LH131" s="30"/>
      <c r="LI131" s="30"/>
      <c r="LJ131" s="30"/>
      <c r="LK131" s="30"/>
      <c r="LL131" s="30"/>
      <c r="LM131" s="30"/>
      <c r="LN131" s="30"/>
      <c r="LO131" s="30"/>
      <c r="LP131" s="30"/>
      <c r="LQ131" s="30"/>
      <c r="LR131" s="30"/>
      <c r="LS131" s="30"/>
      <c r="LT131" s="30"/>
      <c r="LU131" s="30"/>
      <c r="LV131" s="30"/>
      <c r="LW131" s="30"/>
      <c r="LX131" s="30"/>
      <c r="LY131" s="30"/>
      <c r="LZ131" s="30"/>
      <c r="MA131" s="30"/>
      <c r="MB131" s="30"/>
      <c r="MC131" s="30"/>
      <c r="MD131" s="30"/>
      <c r="ME131" s="30"/>
      <c r="MF131" s="30"/>
      <c r="MG131" s="30"/>
      <c r="MH131" s="30"/>
      <c r="MI131" s="30"/>
      <c r="MJ131" s="30"/>
      <c r="MK131" s="30"/>
      <c r="ML131" s="30"/>
      <c r="MM131" s="30"/>
      <c r="MN131" s="30"/>
      <c r="MO131" s="30"/>
      <c r="MP131" s="30"/>
      <c r="MQ131" s="30"/>
      <c r="MR131" s="30"/>
      <c r="MS131" s="30"/>
      <c r="MT131" s="30"/>
      <c r="MU131" s="30"/>
      <c r="MV131" s="30"/>
      <c r="MW131" s="30"/>
      <c r="MX131" s="30"/>
      <c r="MY131" s="30"/>
      <c r="MZ131" s="30"/>
      <c r="NA131" s="30"/>
      <c r="NB131" s="30"/>
      <c r="NC131" s="30"/>
      <c r="ND131" s="30"/>
      <c r="NE131" s="30"/>
      <c r="NF131" s="30"/>
      <c r="NG131" s="30"/>
      <c r="NH131" s="30"/>
      <c r="NI131" s="30"/>
      <c r="NJ131" s="30"/>
      <c r="NK131" s="30"/>
      <c r="NL131" s="30"/>
      <c r="NM131" s="30"/>
      <c r="NN131" s="30"/>
      <c r="NO131" s="30"/>
      <c r="NP131" s="30"/>
      <c r="NQ131" s="30"/>
      <c r="NR131" s="30"/>
    </row>
    <row r="132" spans="1:382" s="3" customFormat="1" ht="20.100000000000001" customHeight="1" x14ac:dyDescent="0.4">
      <c r="A132" s="29">
        <v>1</v>
      </c>
      <c r="B132" s="5">
        <v>1899</v>
      </c>
      <c r="C132" s="5" t="s">
        <v>185</v>
      </c>
      <c r="D132" s="5" t="s">
        <v>186</v>
      </c>
      <c r="E132" s="5" t="s">
        <v>18</v>
      </c>
      <c r="F132" s="5" t="s">
        <v>32</v>
      </c>
      <c r="G132" s="5" t="s">
        <v>32</v>
      </c>
      <c r="H132" s="5" t="s">
        <v>32</v>
      </c>
      <c r="I132" s="8">
        <v>45914.625</v>
      </c>
      <c r="J132" s="8"/>
      <c r="K132" s="8" t="str">
        <f>IF(OR(J132="",E132=""),"",J132+IFERROR(VLOOKUP(E132,リードタイム!$A$2:$C$9,3,FALSE),0))</f>
        <v/>
      </c>
      <c r="L132" s="5" t="s">
        <v>531</v>
      </c>
      <c r="M132" s="8"/>
      <c r="N132" s="8" t="str">
        <f>IF(OR(M132="",E132=""),"",M132+IFERROR(VLOOKUP(E132,リードタイム!$A$2:$D$9,4,FALSE),0))</f>
        <v/>
      </c>
      <c r="O132" s="5" t="s">
        <v>531</v>
      </c>
      <c r="P132" s="5" t="s">
        <v>533</v>
      </c>
      <c r="Q132" s="5" t="s">
        <v>32</v>
      </c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0"/>
      <c r="GU132" s="30"/>
      <c r="GV132" s="30"/>
      <c r="GW132" s="30"/>
      <c r="GX132" s="30"/>
      <c r="GY132" s="30"/>
      <c r="GZ132" s="30"/>
      <c r="HA132" s="30"/>
      <c r="HB132" s="30"/>
      <c r="HC132" s="30"/>
      <c r="HD132" s="30"/>
      <c r="HE132" s="30"/>
      <c r="HF132" s="30"/>
      <c r="HG132" s="30"/>
      <c r="HH132" s="30"/>
      <c r="HI132" s="30"/>
      <c r="HJ132" s="30"/>
      <c r="HK132" s="30"/>
      <c r="HL132" s="30"/>
      <c r="HM132" s="30"/>
      <c r="HN132" s="30"/>
      <c r="HO132" s="30"/>
      <c r="HP132" s="30"/>
      <c r="HQ132" s="30"/>
      <c r="HR132" s="30"/>
      <c r="HS132" s="30"/>
      <c r="HT132" s="30"/>
      <c r="HU132" s="30"/>
      <c r="HV132" s="30"/>
      <c r="HW132" s="30"/>
      <c r="HX132" s="30"/>
      <c r="HY132" s="30"/>
      <c r="HZ132" s="30"/>
      <c r="IA132" s="30"/>
      <c r="IB132" s="30"/>
      <c r="IC132" s="30"/>
      <c r="ID132" s="30"/>
      <c r="IE132" s="30"/>
      <c r="IF132" s="30"/>
      <c r="IG132" s="30"/>
      <c r="IH132" s="30"/>
      <c r="II132" s="30"/>
      <c r="IJ132" s="30"/>
      <c r="IK132" s="30"/>
      <c r="IL132" s="30"/>
      <c r="IM132" s="30"/>
      <c r="IN132" s="30"/>
      <c r="IO132" s="30"/>
      <c r="IP132" s="30"/>
      <c r="IQ132" s="30"/>
      <c r="IR132" s="30"/>
      <c r="IS132" s="30"/>
      <c r="IT132" s="30"/>
      <c r="IU132" s="30"/>
      <c r="IV132" s="30"/>
      <c r="IW132" s="30"/>
      <c r="IX132" s="30"/>
      <c r="IY132" s="30"/>
      <c r="IZ132" s="30"/>
      <c r="JA132" s="30"/>
      <c r="JB132" s="30"/>
      <c r="JC132" s="30"/>
      <c r="JD132" s="30"/>
      <c r="JE132" s="30"/>
      <c r="JF132" s="30"/>
      <c r="JG132" s="30"/>
      <c r="JH132" s="30"/>
      <c r="JI132" s="30"/>
      <c r="JJ132" s="30"/>
      <c r="JK132" s="30"/>
      <c r="JL132" s="30"/>
      <c r="JM132" s="30"/>
      <c r="JN132" s="30"/>
      <c r="JO132" s="30"/>
      <c r="JP132" s="30"/>
      <c r="JQ132" s="30"/>
      <c r="JR132" s="30"/>
      <c r="JS132" s="30"/>
      <c r="JT132" s="30"/>
      <c r="JU132" s="30"/>
      <c r="JV132" s="30"/>
      <c r="JW132" s="30"/>
      <c r="JX132" s="30"/>
      <c r="JY132" s="30"/>
      <c r="JZ132" s="30"/>
      <c r="KA132" s="30"/>
      <c r="KB132" s="30"/>
      <c r="KC132" s="30"/>
      <c r="KD132" s="30"/>
      <c r="KE132" s="30"/>
      <c r="KF132" s="30"/>
      <c r="KG132" s="30"/>
      <c r="KH132" s="30"/>
      <c r="KI132" s="30"/>
      <c r="KJ132" s="30"/>
      <c r="KK132" s="30"/>
      <c r="KL132" s="30"/>
      <c r="KM132" s="30"/>
      <c r="KN132" s="30"/>
      <c r="KO132" s="30"/>
      <c r="KP132" s="30"/>
      <c r="KQ132" s="30"/>
      <c r="KR132" s="30"/>
      <c r="KS132" s="30"/>
      <c r="KT132" s="30"/>
      <c r="KU132" s="30"/>
      <c r="KV132" s="30"/>
      <c r="KW132" s="30"/>
      <c r="KX132" s="30"/>
      <c r="KY132" s="30"/>
      <c r="KZ132" s="30"/>
      <c r="LA132" s="30"/>
      <c r="LB132" s="30"/>
      <c r="LC132" s="30"/>
      <c r="LD132" s="30"/>
      <c r="LE132" s="30"/>
      <c r="LF132" s="30"/>
      <c r="LG132" s="30"/>
      <c r="LH132" s="30"/>
      <c r="LI132" s="30"/>
      <c r="LJ132" s="30"/>
      <c r="LK132" s="30"/>
      <c r="LL132" s="30"/>
      <c r="LM132" s="30"/>
      <c r="LN132" s="30"/>
      <c r="LO132" s="30"/>
      <c r="LP132" s="30"/>
      <c r="LQ132" s="30"/>
      <c r="LR132" s="30"/>
      <c r="LS132" s="30"/>
      <c r="LT132" s="30"/>
      <c r="LU132" s="30"/>
      <c r="LV132" s="30"/>
      <c r="LW132" s="30"/>
      <c r="LX132" s="30"/>
      <c r="LY132" s="30"/>
      <c r="LZ132" s="30"/>
      <c r="MA132" s="30"/>
      <c r="MB132" s="30"/>
      <c r="MC132" s="30"/>
      <c r="MD132" s="30"/>
      <c r="ME132" s="30"/>
      <c r="MF132" s="30"/>
      <c r="MG132" s="30"/>
      <c r="MH132" s="30"/>
      <c r="MI132" s="30"/>
      <c r="MJ132" s="30"/>
      <c r="MK132" s="30"/>
      <c r="ML132" s="30"/>
      <c r="MM132" s="30"/>
      <c r="MN132" s="30"/>
      <c r="MO132" s="30"/>
      <c r="MP132" s="30"/>
      <c r="MQ132" s="30"/>
      <c r="MR132" s="30"/>
      <c r="MS132" s="30"/>
      <c r="MT132" s="30"/>
      <c r="MU132" s="30"/>
      <c r="MV132" s="30"/>
      <c r="MW132" s="30"/>
      <c r="MX132" s="30"/>
      <c r="MY132" s="30"/>
      <c r="MZ132" s="30"/>
      <c r="NA132" s="30"/>
      <c r="NB132" s="30"/>
      <c r="NC132" s="30"/>
      <c r="ND132" s="30"/>
      <c r="NE132" s="30"/>
      <c r="NF132" s="30"/>
      <c r="NG132" s="30"/>
      <c r="NH132" s="30"/>
      <c r="NI132" s="30"/>
      <c r="NJ132" s="30"/>
      <c r="NK132" s="30"/>
      <c r="NL132" s="30"/>
      <c r="NM132" s="30"/>
      <c r="NN132" s="30"/>
      <c r="NO132" s="30"/>
      <c r="NP132" s="30"/>
      <c r="NQ132" s="30"/>
      <c r="NR132" s="30"/>
    </row>
    <row r="133" spans="1:382" s="3" customFormat="1" ht="20.100000000000001" customHeight="1" x14ac:dyDescent="0.4">
      <c r="A133" s="29">
        <v>1</v>
      </c>
      <c r="B133" s="5">
        <v>1623</v>
      </c>
      <c r="C133" s="5" t="s">
        <v>187</v>
      </c>
      <c r="D133" s="5" t="s">
        <v>188</v>
      </c>
      <c r="E133" s="5" t="s">
        <v>4</v>
      </c>
      <c r="F133" s="5" t="s">
        <v>32</v>
      </c>
      <c r="G133" s="5" t="s">
        <v>32</v>
      </c>
      <c r="H133" s="5" t="s">
        <v>32</v>
      </c>
      <c r="I133" s="8"/>
      <c r="J133" s="8"/>
      <c r="K133" s="8" t="str">
        <f>IF(OR(J133="",E133=""),"",J133+IFERROR(VLOOKUP(E133,リードタイム!$A$2:$C$9,3,FALSE),0))</f>
        <v/>
      </c>
      <c r="L133" s="5" t="s">
        <v>530</v>
      </c>
      <c r="M133" s="8"/>
      <c r="N133" s="8" t="str">
        <f>IF(OR(M133="",E133=""),"",M133+IFERROR(VLOOKUP(E133,リードタイム!$A$2:$D$9,4,FALSE),0))</f>
        <v/>
      </c>
      <c r="O133" s="5" t="s">
        <v>530</v>
      </c>
      <c r="P133" s="5" t="s">
        <v>530</v>
      </c>
      <c r="Q133" s="5" t="s">
        <v>189</v>
      </c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30"/>
      <c r="GX133" s="30"/>
      <c r="GY133" s="30"/>
      <c r="GZ133" s="30"/>
      <c r="HA133" s="30"/>
      <c r="HB133" s="30"/>
      <c r="HC133" s="30"/>
      <c r="HD133" s="30"/>
      <c r="HE133" s="30"/>
      <c r="HF133" s="30"/>
      <c r="HG133" s="30"/>
      <c r="HH133" s="30"/>
      <c r="HI133" s="30"/>
      <c r="HJ133" s="30"/>
      <c r="HK133" s="30"/>
      <c r="HL133" s="30"/>
      <c r="HM133" s="30"/>
      <c r="HN133" s="30"/>
      <c r="HO133" s="30"/>
      <c r="HP133" s="30"/>
      <c r="HQ133" s="30"/>
      <c r="HR133" s="30"/>
      <c r="HS133" s="30"/>
      <c r="HT133" s="30"/>
      <c r="HU133" s="30"/>
      <c r="HV133" s="30"/>
      <c r="HW133" s="30"/>
      <c r="HX133" s="30"/>
      <c r="HY133" s="30"/>
      <c r="HZ133" s="30"/>
      <c r="IA133" s="30"/>
      <c r="IB133" s="30"/>
      <c r="IC133" s="30"/>
      <c r="ID133" s="30"/>
      <c r="IE133" s="30"/>
      <c r="IF133" s="30"/>
      <c r="IG133" s="30"/>
      <c r="IH133" s="30"/>
      <c r="II133" s="30"/>
      <c r="IJ133" s="30"/>
      <c r="IK133" s="30"/>
      <c r="IL133" s="30"/>
      <c r="IM133" s="30"/>
      <c r="IN133" s="30"/>
      <c r="IO133" s="30"/>
      <c r="IP133" s="30"/>
      <c r="IQ133" s="30"/>
      <c r="IR133" s="30"/>
      <c r="IS133" s="30"/>
      <c r="IT133" s="30"/>
      <c r="IU133" s="30"/>
      <c r="IV133" s="30"/>
      <c r="IW133" s="30"/>
      <c r="IX133" s="30"/>
      <c r="IY133" s="30"/>
      <c r="IZ133" s="30"/>
      <c r="JA133" s="30"/>
      <c r="JB133" s="30"/>
      <c r="JC133" s="30"/>
      <c r="JD133" s="30"/>
      <c r="JE133" s="30"/>
      <c r="JF133" s="30"/>
      <c r="JG133" s="30"/>
      <c r="JH133" s="30"/>
      <c r="JI133" s="30"/>
      <c r="JJ133" s="30"/>
      <c r="JK133" s="30"/>
      <c r="JL133" s="30"/>
      <c r="JM133" s="30"/>
      <c r="JN133" s="30"/>
      <c r="JO133" s="30"/>
      <c r="JP133" s="30"/>
      <c r="JQ133" s="30"/>
      <c r="JR133" s="30"/>
      <c r="JS133" s="30"/>
      <c r="JT133" s="30"/>
      <c r="JU133" s="30"/>
      <c r="JV133" s="30"/>
      <c r="JW133" s="30"/>
      <c r="JX133" s="30"/>
      <c r="JY133" s="30"/>
      <c r="JZ133" s="30"/>
      <c r="KA133" s="30"/>
      <c r="KB133" s="30"/>
      <c r="KC133" s="30"/>
      <c r="KD133" s="30"/>
      <c r="KE133" s="30"/>
      <c r="KF133" s="30"/>
      <c r="KG133" s="30"/>
      <c r="KH133" s="30"/>
      <c r="KI133" s="30"/>
      <c r="KJ133" s="30"/>
      <c r="KK133" s="30"/>
      <c r="KL133" s="30"/>
      <c r="KM133" s="30"/>
      <c r="KN133" s="30"/>
      <c r="KO133" s="30"/>
      <c r="KP133" s="30"/>
      <c r="KQ133" s="30"/>
      <c r="KR133" s="30"/>
      <c r="KS133" s="30"/>
      <c r="KT133" s="30"/>
      <c r="KU133" s="30"/>
      <c r="KV133" s="30"/>
      <c r="KW133" s="30"/>
      <c r="KX133" s="30"/>
      <c r="KY133" s="30"/>
      <c r="KZ133" s="30"/>
      <c r="LA133" s="30"/>
      <c r="LB133" s="30"/>
      <c r="LC133" s="30"/>
      <c r="LD133" s="30"/>
      <c r="LE133" s="30"/>
      <c r="LF133" s="30"/>
      <c r="LG133" s="30"/>
      <c r="LH133" s="30"/>
      <c r="LI133" s="30"/>
      <c r="LJ133" s="30"/>
      <c r="LK133" s="30"/>
      <c r="LL133" s="30"/>
      <c r="LM133" s="30"/>
      <c r="LN133" s="30"/>
      <c r="LO133" s="30"/>
      <c r="LP133" s="30"/>
      <c r="LQ133" s="30"/>
      <c r="LR133" s="30"/>
      <c r="LS133" s="30"/>
      <c r="LT133" s="30"/>
      <c r="LU133" s="30"/>
      <c r="LV133" s="30"/>
      <c r="LW133" s="30"/>
      <c r="LX133" s="30"/>
      <c r="LY133" s="30"/>
      <c r="LZ133" s="30"/>
      <c r="MA133" s="30"/>
      <c r="MB133" s="30"/>
      <c r="MC133" s="30"/>
      <c r="MD133" s="30"/>
      <c r="ME133" s="30"/>
      <c r="MF133" s="30"/>
      <c r="MG133" s="30"/>
      <c r="MH133" s="30"/>
      <c r="MI133" s="30"/>
      <c r="MJ133" s="30"/>
      <c r="MK133" s="30"/>
      <c r="ML133" s="30"/>
      <c r="MM133" s="30"/>
      <c r="MN133" s="30"/>
      <c r="MO133" s="30"/>
      <c r="MP133" s="30"/>
      <c r="MQ133" s="30"/>
      <c r="MR133" s="30"/>
      <c r="MS133" s="30"/>
      <c r="MT133" s="30"/>
      <c r="MU133" s="30"/>
      <c r="MV133" s="30"/>
      <c r="MW133" s="30"/>
      <c r="MX133" s="30"/>
      <c r="MY133" s="30"/>
      <c r="MZ133" s="30"/>
      <c r="NA133" s="30"/>
      <c r="NB133" s="30"/>
      <c r="NC133" s="30"/>
      <c r="ND133" s="30"/>
      <c r="NE133" s="30"/>
      <c r="NF133" s="30"/>
      <c r="NG133" s="30"/>
      <c r="NH133" s="30"/>
      <c r="NI133" s="30"/>
      <c r="NJ133" s="30"/>
      <c r="NK133" s="30"/>
      <c r="NL133" s="30"/>
      <c r="NM133" s="30"/>
      <c r="NN133" s="30"/>
      <c r="NO133" s="30"/>
      <c r="NP133" s="30"/>
      <c r="NQ133" s="30"/>
      <c r="NR133" s="30"/>
    </row>
    <row r="134" spans="1:382" s="3" customFormat="1" ht="20.100000000000001" customHeight="1" x14ac:dyDescent="0.4">
      <c r="A134" s="29">
        <v>1</v>
      </c>
      <c r="B134" s="5">
        <v>744</v>
      </c>
      <c r="C134" s="5" t="s">
        <v>190</v>
      </c>
      <c r="D134" s="5" t="s">
        <v>114</v>
      </c>
      <c r="E134" s="5" t="s">
        <v>6</v>
      </c>
      <c r="F134" s="5" t="s">
        <v>32</v>
      </c>
      <c r="G134" s="5" t="s">
        <v>32</v>
      </c>
      <c r="H134" s="5" t="s">
        <v>32</v>
      </c>
      <c r="I134" s="8">
        <v>45932.625</v>
      </c>
      <c r="J134" s="8"/>
      <c r="K134" s="8" t="str">
        <f>IF(OR(J134="",E134=""),"",J134+IFERROR(VLOOKUP(E134,リードタイム!$A$2:$C$9,3,FALSE),0))</f>
        <v/>
      </c>
      <c r="L134" s="5" t="s">
        <v>531</v>
      </c>
      <c r="M134" s="8"/>
      <c r="N134" s="8" t="str">
        <f>IF(OR(M134="",E134=""),"",M134+IFERROR(VLOOKUP(E134,リードタイム!$A$2:$D$9,4,FALSE),0))</f>
        <v/>
      </c>
      <c r="O134" s="5" t="s">
        <v>531</v>
      </c>
      <c r="P134" s="5" t="s">
        <v>533</v>
      </c>
      <c r="Q134" s="5" t="s">
        <v>191</v>
      </c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/>
      <c r="GT134" s="30"/>
      <c r="GU134" s="30"/>
      <c r="GV134" s="30"/>
      <c r="GW134" s="30"/>
      <c r="GX134" s="30"/>
      <c r="GY134" s="30"/>
      <c r="GZ134" s="30"/>
      <c r="HA134" s="30"/>
      <c r="HB134" s="30"/>
      <c r="HC134" s="30"/>
      <c r="HD134" s="30"/>
      <c r="HE134" s="30"/>
      <c r="HF134" s="30"/>
      <c r="HG134" s="30"/>
      <c r="HH134" s="30"/>
      <c r="HI134" s="30"/>
      <c r="HJ134" s="30"/>
      <c r="HK134" s="30"/>
      <c r="HL134" s="30"/>
      <c r="HM134" s="30"/>
      <c r="HN134" s="30"/>
      <c r="HO134" s="30"/>
      <c r="HP134" s="30"/>
      <c r="HQ134" s="30"/>
      <c r="HR134" s="30"/>
      <c r="HS134" s="30"/>
      <c r="HT134" s="30"/>
      <c r="HU134" s="30"/>
      <c r="HV134" s="30"/>
      <c r="HW134" s="30"/>
      <c r="HX134" s="30"/>
      <c r="HY134" s="30"/>
      <c r="HZ134" s="30"/>
      <c r="IA134" s="30"/>
      <c r="IB134" s="30"/>
      <c r="IC134" s="30"/>
      <c r="ID134" s="30"/>
      <c r="IE134" s="30"/>
      <c r="IF134" s="30"/>
      <c r="IG134" s="30"/>
      <c r="IH134" s="30"/>
      <c r="II134" s="30"/>
      <c r="IJ134" s="30"/>
      <c r="IK134" s="30"/>
      <c r="IL134" s="30"/>
      <c r="IM134" s="30"/>
      <c r="IN134" s="30"/>
      <c r="IO134" s="30"/>
      <c r="IP134" s="30"/>
      <c r="IQ134" s="30"/>
      <c r="IR134" s="30"/>
      <c r="IS134" s="30"/>
      <c r="IT134" s="30"/>
      <c r="IU134" s="30"/>
      <c r="IV134" s="30"/>
      <c r="IW134" s="30"/>
      <c r="IX134" s="30"/>
      <c r="IY134" s="30"/>
      <c r="IZ134" s="30"/>
      <c r="JA134" s="30"/>
      <c r="JB134" s="30"/>
      <c r="JC134" s="30"/>
      <c r="JD134" s="30"/>
      <c r="JE134" s="30"/>
      <c r="JF134" s="30"/>
      <c r="JG134" s="30"/>
      <c r="JH134" s="30"/>
      <c r="JI134" s="30"/>
      <c r="JJ134" s="30"/>
      <c r="JK134" s="30"/>
      <c r="JL134" s="30"/>
      <c r="JM134" s="30"/>
      <c r="JN134" s="30"/>
      <c r="JO134" s="30"/>
      <c r="JP134" s="30"/>
      <c r="JQ134" s="30"/>
      <c r="JR134" s="30"/>
      <c r="JS134" s="30"/>
      <c r="JT134" s="30"/>
      <c r="JU134" s="30"/>
      <c r="JV134" s="30"/>
      <c r="JW134" s="30"/>
      <c r="JX134" s="30"/>
      <c r="JY134" s="30"/>
      <c r="JZ134" s="30"/>
      <c r="KA134" s="30"/>
      <c r="KB134" s="30"/>
      <c r="KC134" s="30"/>
      <c r="KD134" s="30"/>
      <c r="KE134" s="30"/>
      <c r="KF134" s="30"/>
      <c r="KG134" s="30"/>
      <c r="KH134" s="30"/>
      <c r="KI134" s="30"/>
      <c r="KJ134" s="30"/>
      <c r="KK134" s="30"/>
      <c r="KL134" s="30"/>
      <c r="KM134" s="30"/>
      <c r="KN134" s="30"/>
      <c r="KO134" s="30"/>
      <c r="KP134" s="30"/>
      <c r="KQ134" s="30"/>
      <c r="KR134" s="30"/>
      <c r="KS134" s="30"/>
      <c r="KT134" s="30"/>
      <c r="KU134" s="30"/>
      <c r="KV134" s="30"/>
      <c r="KW134" s="30"/>
      <c r="KX134" s="30"/>
      <c r="KY134" s="30"/>
      <c r="KZ134" s="30"/>
      <c r="LA134" s="30"/>
      <c r="LB134" s="30"/>
      <c r="LC134" s="30"/>
      <c r="LD134" s="30"/>
      <c r="LE134" s="30"/>
      <c r="LF134" s="30"/>
      <c r="LG134" s="30"/>
      <c r="LH134" s="30"/>
      <c r="LI134" s="30"/>
      <c r="LJ134" s="30"/>
      <c r="LK134" s="30"/>
      <c r="LL134" s="30"/>
      <c r="LM134" s="30"/>
      <c r="LN134" s="30"/>
      <c r="LO134" s="30"/>
      <c r="LP134" s="30"/>
      <c r="LQ134" s="30"/>
      <c r="LR134" s="30"/>
      <c r="LS134" s="30"/>
      <c r="LT134" s="30"/>
      <c r="LU134" s="30"/>
      <c r="LV134" s="30"/>
      <c r="LW134" s="30"/>
      <c r="LX134" s="30"/>
      <c r="LY134" s="30"/>
      <c r="LZ134" s="30"/>
      <c r="MA134" s="30"/>
      <c r="MB134" s="30"/>
      <c r="MC134" s="30"/>
      <c r="MD134" s="30"/>
      <c r="ME134" s="30"/>
      <c r="MF134" s="30"/>
      <c r="MG134" s="30"/>
      <c r="MH134" s="30"/>
      <c r="MI134" s="30"/>
      <c r="MJ134" s="30"/>
      <c r="MK134" s="30"/>
      <c r="ML134" s="30"/>
      <c r="MM134" s="30"/>
      <c r="MN134" s="30"/>
      <c r="MO134" s="30"/>
      <c r="MP134" s="30"/>
      <c r="MQ134" s="30"/>
      <c r="MR134" s="30"/>
      <c r="MS134" s="30"/>
      <c r="MT134" s="30"/>
      <c r="MU134" s="30"/>
      <c r="MV134" s="30"/>
      <c r="MW134" s="30"/>
      <c r="MX134" s="30"/>
      <c r="MY134" s="30"/>
      <c r="MZ134" s="30"/>
      <c r="NA134" s="30"/>
      <c r="NB134" s="30"/>
      <c r="NC134" s="30"/>
      <c r="ND134" s="30"/>
      <c r="NE134" s="30"/>
      <c r="NF134" s="30"/>
      <c r="NG134" s="30"/>
      <c r="NH134" s="30"/>
      <c r="NI134" s="30"/>
      <c r="NJ134" s="30"/>
      <c r="NK134" s="30"/>
      <c r="NL134" s="30"/>
      <c r="NM134" s="30"/>
      <c r="NN134" s="30"/>
      <c r="NO134" s="30"/>
      <c r="NP134" s="30"/>
      <c r="NQ134" s="30"/>
      <c r="NR134" s="30"/>
    </row>
    <row r="135" spans="1:382" s="3" customFormat="1" ht="20.100000000000001" customHeight="1" x14ac:dyDescent="0.4">
      <c r="A135" s="29">
        <v>1</v>
      </c>
      <c r="B135" s="5">
        <v>1043</v>
      </c>
      <c r="C135" s="5" t="s">
        <v>192</v>
      </c>
      <c r="D135" s="5" t="s">
        <v>193</v>
      </c>
      <c r="E135" s="5" t="s">
        <v>6</v>
      </c>
      <c r="F135" s="5" t="s">
        <v>32</v>
      </c>
      <c r="G135" s="5" t="s">
        <v>32</v>
      </c>
      <c r="H135" s="5" t="s">
        <v>32</v>
      </c>
      <c r="I135" s="8">
        <v>45918.625</v>
      </c>
      <c r="J135" s="8"/>
      <c r="K135" s="8" t="str">
        <f>IF(OR(J135="",E135=""),"",J135+IFERROR(VLOOKUP(E135,リードタイム!$A$2:$C$9,3,FALSE),0))</f>
        <v/>
      </c>
      <c r="L135" s="5" t="s">
        <v>531</v>
      </c>
      <c r="M135" s="8"/>
      <c r="N135" s="8" t="str">
        <f>IF(OR(M135="",E135=""),"",M135+IFERROR(VLOOKUP(E135,リードタイム!$A$2:$D$9,4,FALSE),0))</f>
        <v/>
      </c>
      <c r="O135" s="5" t="s">
        <v>531</v>
      </c>
      <c r="P135" s="5" t="s">
        <v>533</v>
      </c>
      <c r="Q135" s="5" t="s">
        <v>32</v>
      </c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30"/>
      <c r="GX135" s="30"/>
      <c r="GY135" s="30"/>
      <c r="GZ135" s="30"/>
      <c r="HA135" s="30"/>
      <c r="HB135" s="30"/>
      <c r="HC135" s="30"/>
      <c r="HD135" s="30"/>
      <c r="HE135" s="30"/>
      <c r="HF135" s="30"/>
      <c r="HG135" s="30"/>
      <c r="HH135" s="30"/>
      <c r="HI135" s="30"/>
      <c r="HJ135" s="30"/>
      <c r="HK135" s="30"/>
      <c r="HL135" s="30"/>
      <c r="HM135" s="30"/>
      <c r="HN135" s="30"/>
      <c r="HO135" s="30"/>
      <c r="HP135" s="30"/>
      <c r="HQ135" s="30"/>
      <c r="HR135" s="30"/>
      <c r="HS135" s="30"/>
      <c r="HT135" s="30"/>
      <c r="HU135" s="30"/>
      <c r="HV135" s="30"/>
      <c r="HW135" s="30"/>
      <c r="HX135" s="30"/>
      <c r="HY135" s="30"/>
      <c r="HZ135" s="30"/>
      <c r="IA135" s="30"/>
      <c r="IB135" s="30"/>
      <c r="IC135" s="30"/>
      <c r="ID135" s="30"/>
      <c r="IE135" s="30"/>
      <c r="IF135" s="30"/>
      <c r="IG135" s="30"/>
      <c r="IH135" s="30"/>
      <c r="II135" s="30"/>
      <c r="IJ135" s="30"/>
      <c r="IK135" s="30"/>
      <c r="IL135" s="30"/>
      <c r="IM135" s="30"/>
      <c r="IN135" s="30"/>
      <c r="IO135" s="30"/>
      <c r="IP135" s="30"/>
      <c r="IQ135" s="30"/>
      <c r="IR135" s="30"/>
      <c r="IS135" s="30"/>
      <c r="IT135" s="30"/>
      <c r="IU135" s="30"/>
      <c r="IV135" s="30"/>
      <c r="IW135" s="30"/>
      <c r="IX135" s="30"/>
      <c r="IY135" s="30"/>
      <c r="IZ135" s="30"/>
      <c r="JA135" s="30"/>
      <c r="JB135" s="30"/>
      <c r="JC135" s="30"/>
      <c r="JD135" s="30"/>
      <c r="JE135" s="30"/>
      <c r="JF135" s="30"/>
      <c r="JG135" s="30"/>
      <c r="JH135" s="30"/>
      <c r="JI135" s="30"/>
      <c r="JJ135" s="30"/>
      <c r="JK135" s="30"/>
      <c r="JL135" s="30"/>
      <c r="JM135" s="30"/>
      <c r="JN135" s="30"/>
      <c r="JO135" s="30"/>
      <c r="JP135" s="30"/>
      <c r="JQ135" s="30"/>
      <c r="JR135" s="30"/>
      <c r="JS135" s="30"/>
      <c r="JT135" s="30"/>
      <c r="JU135" s="30"/>
      <c r="JV135" s="30"/>
      <c r="JW135" s="30"/>
      <c r="JX135" s="30"/>
      <c r="JY135" s="30"/>
      <c r="JZ135" s="30"/>
      <c r="KA135" s="30"/>
      <c r="KB135" s="30"/>
      <c r="KC135" s="30"/>
      <c r="KD135" s="30"/>
      <c r="KE135" s="30"/>
      <c r="KF135" s="30"/>
      <c r="KG135" s="30"/>
      <c r="KH135" s="30"/>
      <c r="KI135" s="30"/>
      <c r="KJ135" s="30"/>
      <c r="KK135" s="30"/>
      <c r="KL135" s="30"/>
      <c r="KM135" s="30"/>
      <c r="KN135" s="30"/>
      <c r="KO135" s="30"/>
      <c r="KP135" s="30"/>
      <c r="KQ135" s="30"/>
      <c r="KR135" s="30"/>
      <c r="KS135" s="30"/>
      <c r="KT135" s="30"/>
      <c r="KU135" s="30"/>
      <c r="KV135" s="30"/>
      <c r="KW135" s="30"/>
      <c r="KX135" s="30"/>
      <c r="KY135" s="30"/>
      <c r="KZ135" s="30"/>
      <c r="LA135" s="30"/>
      <c r="LB135" s="30"/>
      <c r="LC135" s="30"/>
      <c r="LD135" s="30"/>
      <c r="LE135" s="30"/>
      <c r="LF135" s="30"/>
      <c r="LG135" s="30"/>
      <c r="LH135" s="30"/>
      <c r="LI135" s="30"/>
      <c r="LJ135" s="30"/>
      <c r="LK135" s="30"/>
      <c r="LL135" s="30"/>
      <c r="LM135" s="30"/>
      <c r="LN135" s="30"/>
      <c r="LO135" s="30"/>
      <c r="LP135" s="30"/>
      <c r="LQ135" s="30"/>
      <c r="LR135" s="30"/>
      <c r="LS135" s="30"/>
      <c r="LT135" s="30"/>
      <c r="LU135" s="30"/>
      <c r="LV135" s="30"/>
      <c r="LW135" s="30"/>
      <c r="LX135" s="30"/>
      <c r="LY135" s="30"/>
      <c r="LZ135" s="30"/>
      <c r="MA135" s="30"/>
      <c r="MB135" s="30"/>
      <c r="MC135" s="30"/>
      <c r="MD135" s="30"/>
      <c r="ME135" s="30"/>
      <c r="MF135" s="30"/>
      <c r="MG135" s="30"/>
      <c r="MH135" s="30"/>
      <c r="MI135" s="30"/>
      <c r="MJ135" s="30"/>
      <c r="MK135" s="30"/>
      <c r="ML135" s="30"/>
      <c r="MM135" s="30"/>
      <c r="MN135" s="30"/>
      <c r="MO135" s="30"/>
      <c r="MP135" s="30"/>
      <c r="MQ135" s="30"/>
      <c r="MR135" s="30"/>
      <c r="MS135" s="30"/>
      <c r="MT135" s="30"/>
      <c r="MU135" s="30"/>
      <c r="MV135" s="30"/>
      <c r="MW135" s="30"/>
      <c r="MX135" s="30"/>
      <c r="MY135" s="30"/>
      <c r="MZ135" s="30"/>
      <c r="NA135" s="30"/>
      <c r="NB135" s="30"/>
      <c r="NC135" s="30"/>
      <c r="ND135" s="30"/>
      <c r="NE135" s="30"/>
      <c r="NF135" s="30"/>
      <c r="NG135" s="30"/>
      <c r="NH135" s="30"/>
      <c r="NI135" s="30"/>
      <c r="NJ135" s="30"/>
      <c r="NK135" s="30"/>
      <c r="NL135" s="30"/>
      <c r="NM135" s="30"/>
      <c r="NN135" s="30"/>
      <c r="NO135" s="30"/>
      <c r="NP135" s="30"/>
      <c r="NQ135" s="30"/>
      <c r="NR135" s="30"/>
    </row>
    <row r="136" spans="1:382" s="3" customFormat="1" ht="20.100000000000001" customHeight="1" x14ac:dyDescent="0.4">
      <c r="A136" s="29">
        <v>1</v>
      </c>
      <c r="B136" s="5">
        <v>1623</v>
      </c>
      <c r="C136" s="5" t="s">
        <v>194</v>
      </c>
      <c r="D136" s="5" t="s">
        <v>188</v>
      </c>
      <c r="E136" s="5" t="s">
        <v>4</v>
      </c>
      <c r="F136" s="5" t="s">
        <v>32</v>
      </c>
      <c r="G136" s="5" t="s">
        <v>32</v>
      </c>
      <c r="H136" s="5" t="s">
        <v>32</v>
      </c>
      <c r="I136" s="8"/>
      <c r="J136" s="8"/>
      <c r="K136" s="8" t="str">
        <f>IF(OR(J136="",E136=""),"",J136+IFERROR(VLOOKUP(E136,リードタイム!$A$2:$C$9,3,FALSE),0))</f>
        <v/>
      </c>
      <c r="L136" s="5" t="s">
        <v>530</v>
      </c>
      <c r="M136" s="8"/>
      <c r="N136" s="8" t="str">
        <f>IF(OR(M136="",E136=""),"",M136+IFERROR(VLOOKUP(E136,リードタイム!$A$2:$D$9,4,FALSE),0))</f>
        <v/>
      </c>
      <c r="O136" s="5" t="s">
        <v>530</v>
      </c>
      <c r="P136" s="5" t="s">
        <v>530</v>
      </c>
      <c r="Q136" s="5" t="s">
        <v>195</v>
      </c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30"/>
      <c r="KM136" s="30"/>
      <c r="KN136" s="30"/>
      <c r="KO136" s="30"/>
      <c r="KP136" s="30"/>
      <c r="KQ136" s="30"/>
      <c r="KR136" s="30"/>
      <c r="KS136" s="30"/>
      <c r="KT136" s="30"/>
      <c r="KU136" s="30"/>
      <c r="KV136" s="30"/>
      <c r="KW136" s="30"/>
      <c r="KX136" s="30"/>
      <c r="KY136" s="30"/>
      <c r="KZ136" s="30"/>
      <c r="LA136" s="30"/>
      <c r="LB136" s="30"/>
      <c r="LC136" s="30"/>
      <c r="LD136" s="30"/>
      <c r="LE136" s="30"/>
      <c r="LF136" s="30"/>
      <c r="LG136" s="30"/>
      <c r="LH136" s="30"/>
      <c r="LI136" s="30"/>
      <c r="LJ136" s="30"/>
      <c r="LK136" s="30"/>
      <c r="LL136" s="30"/>
      <c r="LM136" s="30"/>
      <c r="LN136" s="30"/>
      <c r="LO136" s="30"/>
      <c r="LP136" s="30"/>
      <c r="LQ136" s="30"/>
      <c r="LR136" s="30"/>
      <c r="LS136" s="30"/>
      <c r="LT136" s="30"/>
      <c r="LU136" s="30"/>
      <c r="LV136" s="30"/>
      <c r="LW136" s="30"/>
      <c r="LX136" s="30"/>
      <c r="LY136" s="30"/>
      <c r="LZ136" s="30"/>
      <c r="MA136" s="30"/>
      <c r="MB136" s="30"/>
      <c r="MC136" s="30"/>
      <c r="MD136" s="30"/>
      <c r="ME136" s="30"/>
      <c r="MF136" s="30"/>
      <c r="MG136" s="30"/>
      <c r="MH136" s="30"/>
      <c r="MI136" s="30"/>
      <c r="MJ136" s="30"/>
      <c r="MK136" s="30"/>
      <c r="ML136" s="30"/>
      <c r="MM136" s="30"/>
      <c r="MN136" s="30"/>
      <c r="MO136" s="30"/>
      <c r="MP136" s="30"/>
      <c r="MQ136" s="30"/>
      <c r="MR136" s="30"/>
      <c r="MS136" s="30"/>
      <c r="MT136" s="30"/>
      <c r="MU136" s="30"/>
      <c r="MV136" s="30"/>
      <c r="MW136" s="30"/>
      <c r="MX136" s="30"/>
      <c r="MY136" s="30"/>
      <c r="MZ136" s="30"/>
      <c r="NA136" s="30"/>
      <c r="NB136" s="30"/>
      <c r="NC136" s="30"/>
      <c r="ND136" s="30"/>
      <c r="NE136" s="30"/>
      <c r="NF136" s="30"/>
      <c r="NG136" s="30"/>
      <c r="NH136" s="30"/>
      <c r="NI136" s="30"/>
      <c r="NJ136" s="30"/>
      <c r="NK136" s="30"/>
      <c r="NL136" s="30"/>
      <c r="NM136" s="30"/>
      <c r="NN136" s="30"/>
      <c r="NO136" s="30"/>
      <c r="NP136" s="30"/>
      <c r="NQ136" s="30"/>
      <c r="NR136" s="30"/>
    </row>
    <row r="137" spans="1:382" s="3" customFormat="1" ht="20.100000000000001" customHeight="1" x14ac:dyDescent="0.4">
      <c r="A137" s="29">
        <v>1</v>
      </c>
      <c r="B137" s="5">
        <v>1899</v>
      </c>
      <c r="C137" s="5" t="s">
        <v>196</v>
      </c>
      <c r="D137" s="5" t="s">
        <v>197</v>
      </c>
      <c r="E137" s="5" t="s">
        <v>18</v>
      </c>
      <c r="F137" s="5" t="s">
        <v>32</v>
      </c>
      <c r="G137" s="5" t="s">
        <v>32</v>
      </c>
      <c r="H137" s="5" t="s">
        <v>32</v>
      </c>
      <c r="I137" s="8"/>
      <c r="J137" s="8"/>
      <c r="K137" s="8" t="str">
        <f>IF(OR(J137="",E137=""),"",J137+IFERROR(VLOOKUP(E137,リードタイム!$A$2:$C$9,3,FALSE),0))</f>
        <v/>
      </c>
      <c r="L137" s="5" t="s">
        <v>531</v>
      </c>
      <c r="M137" s="8"/>
      <c r="N137" s="8" t="str">
        <f>IF(OR(M137="",E137=""),"",M137+IFERROR(VLOOKUP(E137,リードタイム!$A$2:$D$9,4,FALSE),0))</f>
        <v/>
      </c>
      <c r="O137" s="5" t="s">
        <v>531</v>
      </c>
      <c r="P137" s="5" t="s">
        <v>533</v>
      </c>
      <c r="Q137" s="5" t="s">
        <v>32</v>
      </c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  <c r="FS137" s="30"/>
      <c r="FT137" s="30"/>
      <c r="FU137" s="30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/>
      <c r="GO137" s="30"/>
      <c r="GP137" s="30"/>
      <c r="GQ137" s="30"/>
      <c r="GR137" s="30"/>
      <c r="GS137" s="30"/>
      <c r="GT137" s="30"/>
      <c r="GU137" s="30"/>
      <c r="GV137" s="30"/>
      <c r="GW137" s="30"/>
      <c r="GX137" s="30"/>
      <c r="GY137" s="30"/>
      <c r="GZ137" s="30"/>
      <c r="HA137" s="30"/>
      <c r="HB137" s="30"/>
      <c r="HC137" s="30"/>
      <c r="HD137" s="30"/>
      <c r="HE137" s="30"/>
      <c r="HF137" s="30"/>
      <c r="HG137" s="30"/>
      <c r="HH137" s="30"/>
      <c r="HI137" s="30"/>
      <c r="HJ137" s="30"/>
      <c r="HK137" s="30"/>
      <c r="HL137" s="30"/>
      <c r="HM137" s="30"/>
      <c r="HN137" s="30"/>
      <c r="HO137" s="30"/>
      <c r="HP137" s="30"/>
      <c r="HQ137" s="30"/>
      <c r="HR137" s="30"/>
      <c r="HS137" s="30"/>
      <c r="HT137" s="30"/>
      <c r="HU137" s="30"/>
      <c r="HV137" s="30"/>
      <c r="HW137" s="30"/>
      <c r="HX137" s="30"/>
      <c r="HY137" s="30"/>
      <c r="HZ137" s="30"/>
      <c r="IA137" s="30"/>
      <c r="IB137" s="30"/>
      <c r="IC137" s="30"/>
      <c r="ID137" s="30"/>
      <c r="IE137" s="30"/>
      <c r="IF137" s="30"/>
      <c r="IG137" s="30"/>
      <c r="IH137" s="30"/>
      <c r="II137" s="30"/>
      <c r="IJ137" s="30"/>
      <c r="IK137" s="30"/>
      <c r="IL137" s="30"/>
      <c r="IM137" s="30"/>
      <c r="IN137" s="30"/>
      <c r="IO137" s="30"/>
      <c r="IP137" s="30"/>
      <c r="IQ137" s="30"/>
      <c r="IR137" s="30"/>
      <c r="IS137" s="30"/>
      <c r="IT137" s="30"/>
      <c r="IU137" s="30"/>
      <c r="IV137" s="30"/>
      <c r="IW137" s="30"/>
      <c r="IX137" s="30"/>
      <c r="IY137" s="30"/>
      <c r="IZ137" s="30"/>
      <c r="JA137" s="30"/>
      <c r="JB137" s="30"/>
      <c r="JC137" s="30"/>
      <c r="JD137" s="30"/>
      <c r="JE137" s="30"/>
      <c r="JF137" s="30"/>
      <c r="JG137" s="30"/>
      <c r="JH137" s="30"/>
      <c r="JI137" s="30"/>
      <c r="JJ137" s="30"/>
      <c r="JK137" s="30"/>
      <c r="JL137" s="30"/>
      <c r="JM137" s="30"/>
      <c r="JN137" s="30"/>
      <c r="JO137" s="30"/>
      <c r="JP137" s="30"/>
      <c r="JQ137" s="30"/>
      <c r="JR137" s="30"/>
      <c r="JS137" s="30"/>
      <c r="JT137" s="30"/>
      <c r="JU137" s="30"/>
      <c r="JV137" s="30"/>
      <c r="JW137" s="30"/>
      <c r="JX137" s="30"/>
      <c r="JY137" s="30"/>
      <c r="JZ137" s="30"/>
      <c r="KA137" s="30"/>
      <c r="KB137" s="30"/>
      <c r="KC137" s="30"/>
      <c r="KD137" s="30"/>
      <c r="KE137" s="30"/>
      <c r="KF137" s="30"/>
      <c r="KG137" s="30"/>
      <c r="KH137" s="30"/>
      <c r="KI137" s="30"/>
      <c r="KJ137" s="30"/>
      <c r="KK137" s="30"/>
      <c r="KL137" s="30"/>
      <c r="KM137" s="30"/>
      <c r="KN137" s="30"/>
      <c r="KO137" s="30"/>
      <c r="KP137" s="30"/>
      <c r="KQ137" s="30"/>
      <c r="KR137" s="30"/>
      <c r="KS137" s="30"/>
      <c r="KT137" s="30"/>
      <c r="KU137" s="30"/>
      <c r="KV137" s="30"/>
      <c r="KW137" s="30"/>
      <c r="KX137" s="30"/>
      <c r="KY137" s="30"/>
      <c r="KZ137" s="30"/>
      <c r="LA137" s="30"/>
      <c r="LB137" s="30"/>
      <c r="LC137" s="30"/>
      <c r="LD137" s="30"/>
      <c r="LE137" s="30"/>
      <c r="LF137" s="30"/>
      <c r="LG137" s="30"/>
      <c r="LH137" s="30"/>
      <c r="LI137" s="30"/>
      <c r="LJ137" s="30"/>
      <c r="LK137" s="30"/>
      <c r="LL137" s="30"/>
      <c r="LM137" s="30"/>
      <c r="LN137" s="30"/>
      <c r="LO137" s="30"/>
      <c r="LP137" s="30"/>
      <c r="LQ137" s="30"/>
      <c r="LR137" s="30"/>
      <c r="LS137" s="30"/>
      <c r="LT137" s="30"/>
      <c r="LU137" s="30"/>
      <c r="LV137" s="30"/>
      <c r="LW137" s="30"/>
      <c r="LX137" s="30"/>
      <c r="LY137" s="30"/>
      <c r="LZ137" s="30"/>
      <c r="MA137" s="30"/>
      <c r="MB137" s="30"/>
      <c r="MC137" s="30"/>
      <c r="MD137" s="30"/>
      <c r="ME137" s="30"/>
      <c r="MF137" s="30"/>
      <c r="MG137" s="30"/>
      <c r="MH137" s="30"/>
      <c r="MI137" s="30"/>
      <c r="MJ137" s="30"/>
      <c r="MK137" s="30"/>
      <c r="ML137" s="30"/>
      <c r="MM137" s="30"/>
      <c r="MN137" s="30"/>
      <c r="MO137" s="30"/>
      <c r="MP137" s="30"/>
      <c r="MQ137" s="30"/>
      <c r="MR137" s="30"/>
      <c r="MS137" s="30"/>
      <c r="MT137" s="30"/>
      <c r="MU137" s="30"/>
      <c r="MV137" s="30"/>
      <c r="MW137" s="30"/>
      <c r="MX137" s="30"/>
      <c r="MY137" s="30"/>
      <c r="MZ137" s="30"/>
      <c r="NA137" s="30"/>
      <c r="NB137" s="30"/>
      <c r="NC137" s="30"/>
      <c r="ND137" s="30"/>
      <c r="NE137" s="30"/>
      <c r="NF137" s="30"/>
      <c r="NG137" s="30"/>
      <c r="NH137" s="30"/>
      <c r="NI137" s="30"/>
      <c r="NJ137" s="30"/>
      <c r="NK137" s="30"/>
      <c r="NL137" s="30"/>
      <c r="NM137" s="30"/>
      <c r="NN137" s="30"/>
      <c r="NO137" s="30"/>
      <c r="NP137" s="30"/>
      <c r="NQ137" s="30"/>
      <c r="NR137" s="30"/>
    </row>
    <row r="138" spans="1:382" s="3" customFormat="1" ht="20.100000000000001" customHeight="1" x14ac:dyDescent="0.4">
      <c r="A138" s="29">
        <v>1</v>
      </c>
      <c r="B138" s="5">
        <v>695</v>
      </c>
      <c r="C138" s="5" t="s">
        <v>198</v>
      </c>
      <c r="D138" s="5" t="s">
        <v>76</v>
      </c>
      <c r="E138" s="5" t="s">
        <v>6</v>
      </c>
      <c r="F138" s="5" t="s">
        <v>32</v>
      </c>
      <c r="G138" s="5" t="s">
        <v>32</v>
      </c>
      <c r="H138" s="5" t="s">
        <v>32</v>
      </c>
      <c r="I138" s="8">
        <v>46054.625</v>
      </c>
      <c r="J138" s="8"/>
      <c r="K138" s="8" t="str">
        <f>IF(OR(J138="",E138=""),"",J138+IFERROR(VLOOKUP(E138,リードタイム!$A$2:$C$9,3,FALSE),0))</f>
        <v/>
      </c>
      <c r="L138" s="5" t="s">
        <v>531</v>
      </c>
      <c r="M138" s="8"/>
      <c r="N138" s="8" t="str">
        <f>IF(OR(M138="",E138=""),"",M138+IFERROR(VLOOKUP(E138,リードタイム!$A$2:$D$9,4,FALSE),0))</f>
        <v/>
      </c>
      <c r="O138" s="5" t="s">
        <v>531</v>
      </c>
      <c r="P138" s="5" t="s">
        <v>532</v>
      </c>
      <c r="Q138" s="5" t="s">
        <v>199</v>
      </c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  <c r="FS138" s="30"/>
      <c r="FT138" s="30"/>
      <c r="FU138" s="30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30"/>
      <c r="GT138" s="30"/>
      <c r="GU138" s="30"/>
      <c r="GV138" s="30"/>
      <c r="GW138" s="30"/>
      <c r="GX138" s="30"/>
      <c r="GY138" s="30"/>
      <c r="GZ138" s="30"/>
      <c r="HA138" s="30"/>
      <c r="HB138" s="30"/>
      <c r="HC138" s="30"/>
      <c r="HD138" s="30"/>
      <c r="HE138" s="30"/>
      <c r="HF138" s="30"/>
      <c r="HG138" s="30"/>
      <c r="HH138" s="30"/>
      <c r="HI138" s="30"/>
      <c r="HJ138" s="30"/>
      <c r="HK138" s="30"/>
      <c r="HL138" s="30"/>
      <c r="HM138" s="30"/>
      <c r="HN138" s="30"/>
      <c r="HO138" s="30"/>
      <c r="HP138" s="30"/>
      <c r="HQ138" s="30"/>
      <c r="HR138" s="30"/>
      <c r="HS138" s="30"/>
      <c r="HT138" s="30"/>
      <c r="HU138" s="30"/>
      <c r="HV138" s="30"/>
      <c r="HW138" s="30"/>
      <c r="HX138" s="30"/>
      <c r="HY138" s="30"/>
      <c r="HZ138" s="30"/>
      <c r="IA138" s="30"/>
      <c r="IB138" s="30"/>
      <c r="IC138" s="30"/>
      <c r="ID138" s="30"/>
      <c r="IE138" s="30"/>
      <c r="IF138" s="30"/>
      <c r="IG138" s="30"/>
      <c r="IH138" s="30"/>
      <c r="II138" s="30"/>
      <c r="IJ138" s="30"/>
      <c r="IK138" s="30"/>
      <c r="IL138" s="30"/>
      <c r="IM138" s="30"/>
      <c r="IN138" s="30"/>
      <c r="IO138" s="30"/>
      <c r="IP138" s="30"/>
      <c r="IQ138" s="30"/>
      <c r="IR138" s="30"/>
      <c r="IS138" s="30"/>
      <c r="IT138" s="30"/>
      <c r="IU138" s="30"/>
      <c r="IV138" s="30"/>
      <c r="IW138" s="30"/>
      <c r="IX138" s="30"/>
      <c r="IY138" s="30"/>
      <c r="IZ138" s="30"/>
      <c r="JA138" s="30"/>
      <c r="JB138" s="30"/>
      <c r="JC138" s="30"/>
      <c r="JD138" s="30"/>
      <c r="JE138" s="30"/>
      <c r="JF138" s="30"/>
      <c r="JG138" s="30"/>
      <c r="JH138" s="30"/>
      <c r="JI138" s="30"/>
      <c r="JJ138" s="30"/>
      <c r="JK138" s="30"/>
      <c r="JL138" s="30"/>
      <c r="JM138" s="30"/>
      <c r="JN138" s="30"/>
      <c r="JO138" s="30"/>
      <c r="JP138" s="30"/>
      <c r="JQ138" s="30"/>
      <c r="JR138" s="30"/>
      <c r="JS138" s="30"/>
      <c r="JT138" s="30"/>
      <c r="JU138" s="30"/>
      <c r="JV138" s="30"/>
      <c r="JW138" s="30"/>
      <c r="JX138" s="30"/>
      <c r="JY138" s="30"/>
      <c r="JZ138" s="30"/>
      <c r="KA138" s="30"/>
      <c r="KB138" s="30"/>
      <c r="KC138" s="30"/>
      <c r="KD138" s="30"/>
      <c r="KE138" s="30"/>
      <c r="KF138" s="30"/>
      <c r="KG138" s="30"/>
      <c r="KH138" s="30"/>
      <c r="KI138" s="30"/>
      <c r="KJ138" s="30"/>
      <c r="KK138" s="30"/>
      <c r="KL138" s="30"/>
      <c r="KM138" s="30"/>
      <c r="KN138" s="30"/>
      <c r="KO138" s="30"/>
      <c r="KP138" s="30"/>
      <c r="KQ138" s="30"/>
      <c r="KR138" s="30"/>
      <c r="KS138" s="30"/>
      <c r="KT138" s="30"/>
      <c r="KU138" s="30"/>
      <c r="KV138" s="30"/>
      <c r="KW138" s="30"/>
      <c r="KX138" s="30"/>
      <c r="KY138" s="30"/>
      <c r="KZ138" s="30"/>
      <c r="LA138" s="30"/>
      <c r="LB138" s="30"/>
      <c r="LC138" s="30"/>
      <c r="LD138" s="30"/>
      <c r="LE138" s="30"/>
      <c r="LF138" s="30"/>
      <c r="LG138" s="30"/>
      <c r="LH138" s="30"/>
      <c r="LI138" s="30"/>
      <c r="LJ138" s="30"/>
      <c r="LK138" s="30"/>
      <c r="LL138" s="30"/>
      <c r="LM138" s="30"/>
      <c r="LN138" s="30"/>
      <c r="LO138" s="30"/>
      <c r="LP138" s="30"/>
      <c r="LQ138" s="30"/>
      <c r="LR138" s="30"/>
      <c r="LS138" s="30"/>
      <c r="LT138" s="30"/>
      <c r="LU138" s="30"/>
      <c r="LV138" s="30"/>
      <c r="LW138" s="30"/>
      <c r="LX138" s="30"/>
      <c r="LY138" s="30"/>
      <c r="LZ138" s="30"/>
      <c r="MA138" s="30"/>
      <c r="MB138" s="30"/>
      <c r="MC138" s="30"/>
      <c r="MD138" s="30"/>
      <c r="ME138" s="30"/>
      <c r="MF138" s="30"/>
      <c r="MG138" s="30"/>
      <c r="MH138" s="30"/>
      <c r="MI138" s="30"/>
      <c r="MJ138" s="30"/>
      <c r="MK138" s="30"/>
      <c r="ML138" s="30"/>
      <c r="MM138" s="30"/>
      <c r="MN138" s="30"/>
      <c r="MO138" s="30"/>
      <c r="MP138" s="30"/>
      <c r="MQ138" s="30"/>
      <c r="MR138" s="30"/>
      <c r="MS138" s="30"/>
      <c r="MT138" s="30"/>
      <c r="MU138" s="30"/>
      <c r="MV138" s="30"/>
      <c r="MW138" s="30"/>
      <c r="MX138" s="30"/>
      <c r="MY138" s="30"/>
      <c r="MZ138" s="30"/>
      <c r="NA138" s="30"/>
      <c r="NB138" s="30"/>
      <c r="NC138" s="30"/>
      <c r="ND138" s="30"/>
      <c r="NE138" s="30"/>
      <c r="NF138" s="30"/>
      <c r="NG138" s="30"/>
      <c r="NH138" s="30"/>
      <c r="NI138" s="30"/>
      <c r="NJ138" s="30"/>
      <c r="NK138" s="30"/>
      <c r="NL138" s="30"/>
      <c r="NM138" s="30"/>
      <c r="NN138" s="30"/>
      <c r="NO138" s="30"/>
      <c r="NP138" s="30"/>
      <c r="NQ138" s="30"/>
      <c r="NR138" s="30"/>
    </row>
    <row r="139" spans="1:382" s="3" customFormat="1" ht="20.100000000000001" customHeight="1" x14ac:dyDescent="0.4">
      <c r="A139" s="29">
        <v>1</v>
      </c>
      <c r="B139" s="5">
        <v>762</v>
      </c>
      <c r="C139" s="5" t="s">
        <v>200</v>
      </c>
      <c r="D139" s="5" t="s">
        <v>76</v>
      </c>
      <c r="E139" s="5" t="s">
        <v>6</v>
      </c>
      <c r="F139" s="5" t="s">
        <v>32</v>
      </c>
      <c r="G139" s="5" t="s">
        <v>32</v>
      </c>
      <c r="H139" s="5" t="s">
        <v>32</v>
      </c>
      <c r="I139" s="8"/>
      <c r="J139" s="8"/>
      <c r="K139" s="8" t="str">
        <f>IF(OR(J139="",E139=""),"",J139+IFERROR(VLOOKUP(E139,リードタイム!$A$2:$C$9,3,FALSE),0))</f>
        <v/>
      </c>
      <c r="L139" s="5" t="s">
        <v>530</v>
      </c>
      <c r="M139" s="8"/>
      <c r="N139" s="8" t="str">
        <f>IF(OR(M139="",E139=""),"",M139+IFERROR(VLOOKUP(E139,リードタイム!$A$2:$D$9,4,FALSE),0))</f>
        <v/>
      </c>
      <c r="O139" s="5" t="s">
        <v>530</v>
      </c>
      <c r="P139" s="5" t="s">
        <v>530</v>
      </c>
      <c r="Q139" s="5" t="s">
        <v>32</v>
      </c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  <c r="FS139" s="30"/>
      <c r="FT139" s="30"/>
      <c r="FU139" s="30"/>
      <c r="FV139" s="30"/>
      <c r="FW139" s="30"/>
      <c r="FX139" s="30"/>
      <c r="FY139" s="30"/>
      <c r="FZ139" s="30"/>
      <c r="GA139" s="30"/>
      <c r="GB139" s="30"/>
      <c r="GC139" s="30"/>
      <c r="GD139" s="30"/>
      <c r="GE139" s="30"/>
      <c r="GF139" s="30"/>
      <c r="GG139" s="30"/>
      <c r="GH139" s="30"/>
      <c r="GI139" s="30"/>
      <c r="GJ139" s="30"/>
      <c r="GK139" s="30"/>
      <c r="GL139" s="30"/>
      <c r="GM139" s="30"/>
      <c r="GN139" s="30"/>
      <c r="GO139" s="30"/>
      <c r="GP139" s="30"/>
      <c r="GQ139" s="30"/>
      <c r="GR139" s="30"/>
      <c r="GS139" s="30"/>
      <c r="GT139" s="30"/>
      <c r="GU139" s="30"/>
      <c r="GV139" s="30"/>
      <c r="GW139" s="30"/>
      <c r="GX139" s="30"/>
      <c r="GY139" s="30"/>
      <c r="GZ139" s="30"/>
      <c r="HA139" s="30"/>
      <c r="HB139" s="30"/>
      <c r="HC139" s="30"/>
      <c r="HD139" s="30"/>
      <c r="HE139" s="30"/>
      <c r="HF139" s="30"/>
      <c r="HG139" s="30"/>
      <c r="HH139" s="30"/>
      <c r="HI139" s="30"/>
      <c r="HJ139" s="30"/>
      <c r="HK139" s="30"/>
      <c r="HL139" s="30"/>
      <c r="HM139" s="30"/>
      <c r="HN139" s="30"/>
      <c r="HO139" s="30"/>
      <c r="HP139" s="30"/>
      <c r="HQ139" s="30"/>
      <c r="HR139" s="30"/>
      <c r="HS139" s="30"/>
      <c r="HT139" s="30"/>
      <c r="HU139" s="30"/>
      <c r="HV139" s="30"/>
      <c r="HW139" s="30"/>
      <c r="HX139" s="30"/>
      <c r="HY139" s="30"/>
      <c r="HZ139" s="30"/>
      <c r="IA139" s="30"/>
      <c r="IB139" s="30"/>
      <c r="IC139" s="30"/>
      <c r="ID139" s="30"/>
      <c r="IE139" s="30"/>
      <c r="IF139" s="30"/>
      <c r="IG139" s="30"/>
      <c r="IH139" s="30"/>
      <c r="II139" s="30"/>
      <c r="IJ139" s="30"/>
      <c r="IK139" s="30"/>
      <c r="IL139" s="30"/>
      <c r="IM139" s="30"/>
      <c r="IN139" s="30"/>
      <c r="IO139" s="30"/>
      <c r="IP139" s="30"/>
      <c r="IQ139" s="30"/>
      <c r="IR139" s="30"/>
      <c r="IS139" s="30"/>
      <c r="IT139" s="30"/>
      <c r="IU139" s="30"/>
      <c r="IV139" s="30"/>
      <c r="IW139" s="30"/>
      <c r="IX139" s="30"/>
      <c r="IY139" s="30"/>
      <c r="IZ139" s="30"/>
      <c r="JA139" s="30"/>
      <c r="JB139" s="30"/>
      <c r="JC139" s="30"/>
      <c r="JD139" s="30"/>
      <c r="JE139" s="30"/>
      <c r="JF139" s="30"/>
      <c r="JG139" s="30"/>
      <c r="JH139" s="30"/>
      <c r="JI139" s="30"/>
      <c r="JJ139" s="30"/>
      <c r="JK139" s="30"/>
      <c r="JL139" s="30"/>
      <c r="JM139" s="30"/>
      <c r="JN139" s="30"/>
      <c r="JO139" s="30"/>
      <c r="JP139" s="30"/>
      <c r="JQ139" s="30"/>
      <c r="JR139" s="30"/>
      <c r="JS139" s="30"/>
      <c r="JT139" s="30"/>
      <c r="JU139" s="30"/>
      <c r="JV139" s="30"/>
      <c r="JW139" s="30"/>
      <c r="JX139" s="30"/>
      <c r="JY139" s="30"/>
      <c r="JZ139" s="30"/>
      <c r="KA139" s="30"/>
      <c r="KB139" s="30"/>
      <c r="KC139" s="30"/>
      <c r="KD139" s="30"/>
      <c r="KE139" s="30"/>
      <c r="KF139" s="30"/>
      <c r="KG139" s="30"/>
      <c r="KH139" s="30"/>
      <c r="KI139" s="30"/>
      <c r="KJ139" s="30"/>
      <c r="KK139" s="30"/>
      <c r="KL139" s="30"/>
      <c r="KM139" s="30"/>
      <c r="KN139" s="30"/>
      <c r="KO139" s="30"/>
      <c r="KP139" s="30"/>
      <c r="KQ139" s="30"/>
      <c r="KR139" s="30"/>
      <c r="KS139" s="30"/>
      <c r="KT139" s="30"/>
      <c r="KU139" s="30"/>
      <c r="KV139" s="30"/>
      <c r="KW139" s="30"/>
      <c r="KX139" s="30"/>
      <c r="KY139" s="30"/>
      <c r="KZ139" s="30"/>
      <c r="LA139" s="30"/>
      <c r="LB139" s="30"/>
      <c r="LC139" s="30"/>
      <c r="LD139" s="30"/>
      <c r="LE139" s="30"/>
      <c r="LF139" s="30"/>
      <c r="LG139" s="30"/>
      <c r="LH139" s="30"/>
      <c r="LI139" s="30"/>
      <c r="LJ139" s="30"/>
      <c r="LK139" s="30"/>
      <c r="LL139" s="30"/>
      <c r="LM139" s="30"/>
      <c r="LN139" s="30"/>
      <c r="LO139" s="30"/>
      <c r="LP139" s="30"/>
      <c r="LQ139" s="30"/>
      <c r="LR139" s="30"/>
      <c r="LS139" s="30"/>
      <c r="LT139" s="30"/>
      <c r="LU139" s="30"/>
      <c r="LV139" s="30"/>
      <c r="LW139" s="30"/>
      <c r="LX139" s="30"/>
      <c r="LY139" s="30"/>
      <c r="LZ139" s="30"/>
      <c r="MA139" s="30"/>
      <c r="MB139" s="30"/>
      <c r="MC139" s="30"/>
      <c r="MD139" s="30"/>
      <c r="ME139" s="30"/>
      <c r="MF139" s="30"/>
      <c r="MG139" s="30"/>
      <c r="MH139" s="30"/>
      <c r="MI139" s="30"/>
      <c r="MJ139" s="30"/>
      <c r="MK139" s="30"/>
      <c r="ML139" s="30"/>
      <c r="MM139" s="30"/>
      <c r="MN139" s="30"/>
      <c r="MO139" s="30"/>
      <c r="MP139" s="30"/>
      <c r="MQ139" s="30"/>
      <c r="MR139" s="30"/>
      <c r="MS139" s="30"/>
      <c r="MT139" s="30"/>
      <c r="MU139" s="30"/>
      <c r="MV139" s="30"/>
      <c r="MW139" s="30"/>
      <c r="MX139" s="30"/>
      <c r="MY139" s="30"/>
      <c r="MZ139" s="30"/>
      <c r="NA139" s="30"/>
      <c r="NB139" s="30"/>
      <c r="NC139" s="30"/>
      <c r="ND139" s="30"/>
      <c r="NE139" s="30"/>
      <c r="NF139" s="30"/>
      <c r="NG139" s="30"/>
      <c r="NH139" s="30"/>
      <c r="NI139" s="30"/>
      <c r="NJ139" s="30"/>
      <c r="NK139" s="30"/>
      <c r="NL139" s="30"/>
      <c r="NM139" s="30"/>
      <c r="NN139" s="30"/>
      <c r="NO139" s="30"/>
      <c r="NP139" s="30"/>
      <c r="NQ139" s="30"/>
      <c r="NR139" s="30"/>
    </row>
    <row r="140" spans="1:382" s="3" customFormat="1" ht="20.100000000000001" customHeight="1" x14ac:dyDescent="0.4">
      <c r="A140" s="29">
        <v>2</v>
      </c>
      <c r="B140" s="5">
        <v>762</v>
      </c>
      <c r="C140" s="5" t="s">
        <v>200</v>
      </c>
      <c r="D140" s="5" t="s">
        <v>201</v>
      </c>
      <c r="E140" s="5" t="s">
        <v>6</v>
      </c>
      <c r="F140" s="5" t="s">
        <v>32</v>
      </c>
      <c r="G140" s="5" t="s">
        <v>32</v>
      </c>
      <c r="H140" s="5" t="s">
        <v>32</v>
      </c>
      <c r="I140" s="8"/>
      <c r="J140" s="8"/>
      <c r="K140" s="8" t="str">
        <f>IF(OR(J140="",E140=""),"",J140+IFERROR(VLOOKUP(E140,リードタイム!$A$2:$C$9,3,FALSE),0))</f>
        <v/>
      </c>
      <c r="L140" s="5" t="s">
        <v>531</v>
      </c>
      <c r="M140" s="8"/>
      <c r="N140" s="8" t="str">
        <f>IF(OR(M140="",E140=""),"",M140+IFERROR(VLOOKUP(E140,リードタイム!$A$2:$D$9,4,FALSE),0))</f>
        <v/>
      </c>
      <c r="O140" s="5" t="s">
        <v>531</v>
      </c>
      <c r="P140" s="5" t="s">
        <v>533</v>
      </c>
      <c r="Q140" s="5" t="s">
        <v>32</v>
      </c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  <c r="FS140" s="30"/>
      <c r="FT140" s="30"/>
      <c r="FU140" s="30"/>
      <c r="FV140" s="30"/>
      <c r="FW140" s="30"/>
      <c r="FX140" s="30"/>
      <c r="FY140" s="30"/>
      <c r="FZ140" s="30"/>
      <c r="GA140" s="30"/>
      <c r="GB140" s="30"/>
      <c r="GC140" s="30"/>
      <c r="GD140" s="30"/>
      <c r="GE140" s="30"/>
      <c r="GF140" s="30"/>
      <c r="GG140" s="30"/>
      <c r="GH140" s="30"/>
      <c r="GI140" s="30"/>
      <c r="GJ140" s="30"/>
      <c r="GK140" s="30"/>
      <c r="GL140" s="30"/>
      <c r="GM140" s="30"/>
      <c r="GN140" s="30"/>
      <c r="GO140" s="30"/>
      <c r="GP140" s="30"/>
      <c r="GQ140" s="30"/>
      <c r="GR140" s="30"/>
      <c r="GS140" s="30"/>
      <c r="GT140" s="30"/>
      <c r="GU140" s="30"/>
      <c r="GV140" s="30"/>
      <c r="GW140" s="30"/>
      <c r="GX140" s="30"/>
      <c r="GY140" s="30"/>
      <c r="GZ140" s="30"/>
      <c r="HA140" s="30"/>
      <c r="HB140" s="30"/>
      <c r="HC140" s="30"/>
      <c r="HD140" s="30"/>
      <c r="HE140" s="30"/>
      <c r="HF140" s="30"/>
      <c r="HG140" s="30"/>
      <c r="HH140" s="30"/>
      <c r="HI140" s="30"/>
      <c r="HJ140" s="30"/>
      <c r="HK140" s="30"/>
      <c r="HL140" s="30"/>
      <c r="HM140" s="30"/>
      <c r="HN140" s="30"/>
      <c r="HO140" s="30"/>
      <c r="HP140" s="30"/>
      <c r="HQ140" s="30"/>
      <c r="HR140" s="30"/>
      <c r="HS140" s="30"/>
      <c r="HT140" s="30"/>
      <c r="HU140" s="30"/>
      <c r="HV140" s="30"/>
      <c r="HW140" s="30"/>
      <c r="HX140" s="30"/>
      <c r="HY140" s="30"/>
      <c r="HZ140" s="30"/>
      <c r="IA140" s="30"/>
      <c r="IB140" s="30"/>
      <c r="IC140" s="30"/>
      <c r="ID140" s="30"/>
      <c r="IE140" s="30"/>
      <c r="IF140" s="30"/>
      <c r="IG140" s="30"/>
      <c r="IH140" s="30"/>
      <c r="II140" s="30"/>
      <c r="IJ140" s="30"/>
      <c r="IK140" s="30"/>
      <c r="IL140" s="30"/>
      <c r="IM140" s="30"/>
      <c r="IN140" s="30"/>
      <c r="IO140" s="30"/>
      <c r="IP140" s="30"/>
      <c r="IQ140" s="30"/>
      <c r="IR140" s="30"/>
      <c r="IS140" s="30"/>
      <c r="IT140" s="30"/>
      <c r="IU140" s="30"/>
      <c r="IV140" s="30"/>
      <c r="IW140" s="30"/>
      <c r="IX140" s="30"/>
      <c r="IY140" s="30"/>
      <c r="IZ140" s="30"/>
      <c r="JA140" s="30"/>
      <c r="JB140" s="30"/>
      <c r="JC140" s="30"/>
      <c r="JD140" s="30"/>
      <c r="JE140" s="30"/>
      <c r="JF140" s="30"/>
      <c r="JG140" s="30"/>
      <c r="JH140" s="30"/>
      <c r="JI140" s="30"/>
      <c r="JJ140" s="30"/>
      <c r="JK140" s="30"/>
      <c r="JL140" s="30"/>
      <c r="JM140" s="30"/>
      <c r="JN140" s="30"/>
      <c r="JO140" s="30"/>
      <c r="JP140" s="30"/>
      <c r="JQ140" s="30"/>
      <c r="JR140" s="30"/>
      <c r="JS140" s="30"/>
      <c r="JT140" s="30"/>
      <c r="JU140" s="30"/>
      <c r="JV140" s="30"/>
      <c r="JW140" s="30"/>
      <c r="JX140" s="30"/>
      <c r="JY140" s="30"/>
      <c r="JZ140" s="30"/>
      <c r="KA140" s="30"/>
      <c r="KB140" s="30"/>
      <c r="KC140" s="30"/>
      <c r="KD140" s="30"/>
      <c r="KE140" s="30"/>
      <c r="KF140" s="30"/>
      <c r="KG140" s="30"/>
      <c r="KH140" s="30"/>
      <c r="KI140" s="30"/>
      <c r="KJ140" s="30"/>
      <c r="KK140" s="30"/>
      <c r="KL140" s="30"/>
      <c r="KM140" s="30"/>
      <c r="KN140" s="30"/>
      <c r="KO140" s="30"/>
      <c r="KP140" s="30"/>
      <c r="KQ140" s="30"/>
      <c r="KR140" s="30"/>
      <c r="KS140" s="30"/>
      <c r="KT140" s="30"/>
      <c r="KU140" s="30"/>
      <c r="KV140" s="30"/>
      <c r="KW140" s="30"/>
      <c r="KX140" s="30"/>
      <c r="KY140" s="30"/>
      <c r="KZ140" s="30"/>
      <c r="LA140" s="30"/>
      <c r="LB140" s="30"/>
      <c r="LC140" s="30"/>
      <c r="LD140" s="30"/>
      <c r="LE140" s="30"/>
      <c r="LF140" s="30"/>
      <c r="LG140" s="30"/>
      <c r="LH140" s="30"/>
      <c r="LI140" s="30"/>
      <c r="LJ140" s="30"/>
      <c r="LK140" s="30"/>
      <c r="LL140" s="30"/>
      <c r="LM140" s="30"/>
      <c r="LN140" s="30"/>
      <c r="LO140" s="30"/>
      <c r="LP140" s="30"/>
      <c r="LQ140" s="30"/>
      <c r="LR140" s="30"/>
      <c r="LS140" s="30"/>
      <c r="LT140" s="30"/>
      <c r="LU140" s="30"/>
      <c r="LV140" s="30"/>
      <c r="LW140" s="30"/>
      <c r="LX140" s="30"/>
      <c r="LY140" s="30"/>
      <c r="LZ140" s="30"/>
      <c r="MA140" s="30"/>
      <c r="MB140" s="30"/>
      <c r="MC140" s="30"/>
      <c r="MD140" s="30"/>
      <c r="ME140" s="30"/>
      <c r="MF140" s="30"/>
      <c r="MG140" s="30"/>
      <c r="MH140" s="30"/>
      <c r="MI140" s="30"/>
      <c r="MJ140" s="30"/>
      <c r="MK140" s="30"/>
      <c r="ML140" s="30"/>
      <c r="MM140" s="30"/>
      <c r="MN140" s="30"/>
      <c r="MO140" s="30"/>
      <c r="MP140" s="30"/>
      <c r="MQ140" s="30"/>
      <c r="MR140" s="30"/>
      <c r="MS140" s="30"/>
      <c r="MT140" s="30"/>
      <c r="MU140" s="30"/>
      <c r="MV140" s="30"/>
      <c r="MW140" s="30"/>
      <c r="MX140" s="30"/>
      <c r="MY140" s="30"/>
      <c r="MZ140" s="30"/>
      <c r="NA140" s="30"/>
      <c r="NB140" s="30"/>
      <c r="NC140" s="30"/>
      <c r="ND140" s="30"/>
      <c r="NE140" s="30"/>
      <c r="NF140" s="30"/>
      <c r="NG140" s="30"/>
      <c r="NH140" s="30"/>
      <c r="NI140" s="30"/>
      <c r="NJ140" s="30"/>
      <c r="NK140" s="30"/>
      <c r="NL140" s="30"/>
      <c r="NM140" s="30"/>
      <c r="NN140" s="30"/>
      <c r="NO140" s="30"/>
      <c r="NP140" s="30"/>
      <c r="NQ140" s="30"/>
      <c r="NR140" s="30"/>
    </row>
    <row r="141" spans="1:382" s="3" customFormat="1" ht="20.100000000000001" customHeight="1" x14ac:dyDescent="0.4">
      <c r="A141" s="29">
        <v>1</v>
      </c>
      <c r="B141" s="5">
        <v>444</v>
      </c>
      <c r="C141" s="5" t="s">
        <v>202</v>
      </c>
      <c r="D141" s="5" t="s">
        <v>114</v>
      </c>
      <c r="E141" s="5" t="s">
        <v>6</v>
      </c>
      <c r="F141" s="5" t="s">
        <v>32</v>
      </c>
      <c r="G141" s="5" t="s">
        <v>32</v>
      </c>
      <c r="H141" s="5" t="s">
        <v>32</v>
      </c>
      <c r="I141" s="8">
        <v>45900.625</v>
      </c>
      <c r="J141" s="8"/>
      <c r="K141" s="8" t="str">
        <f>IF(OR(J141="",E141=""),"",J141+IFERROR(VLOOKUP(E141,リードタイム!$A$2:$C$9,3,FALSE),0))</f>
        <v/>
      </c>
      <c r="L141" s="5" t="s">
        <v>531</v>
      </c>
      <c r="M141" s="8"/>
      <c r="N141" s="8" t="str">
        <f>IF(OR(M141="",E141=""),"",M141+IFERROR(VLOOKUP(E141,リードタイム!$A$2:$D$9,4,FALSE),0))</f>
        <v/>
      </c>
      <c r="O141" s="5" t="s">
        <v>531</v>
      </c>
      <c r="P141" s="5" t="s">
        <v>533</v>
      </c>
      <c r="Q141" s="5" t="s">
        <v>32</v>
      </c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  <c r="FS141" s="30"/>
      <c r="FT141" s="30"/>
      <c r="FU141" s="30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/>
      <c r="GP141" s="30"/>
      <c r="GQ141" s="30"/>
      <c r="GR141" s="30"/>
      <c r="GS141" s="30"/>
      <c r="GT141" s="30"/>
      <c r="GU141" s="30"/>
      <c r="GV141" s="30"/>
      <c r="GW141" s="30"/>
      <c r="GX141" s="30"/>
      <c r="GY141" s="30"/>
      <c r="GZ141" s="30"/>
      <c r="HA141" s="30"/>
      <c r="HB141" s="30"/>
      <c r="HC141" s="30"/>
      <c r="HD141" s="30"/>
      <c r="HE141" s="30"/>
      <c r="HF141" s="30"/>
      <c r="HG141" s="30"/>
      <c r="HH141" s="30"/>
      <c r="HI141" s="30"/>
      <c r="HJ141" s="30"/>
      <c r="HK141" s="30"/>
      <c r="HL141" s="30"/>
      <c r="HM141" s="30"/>
      <c r="HN141" s="30"/>
      <c r="HO141" s="30"/>
      <c r="HP141" s="30"/>
      <c r="HQ141" s="30"/>
      <c r="HR141" s="30"/>
      <c r="HS141" s="30"/>
      <c r="HT141" s="30"/>
      <c r="HU141" s="30"/>
      <c r="HV141" s="30"/>
      <c r="HW141" s="30"/>
      <c r="HX141" s="30"/>
      <c r="HY141" s="30"/>
      <c r="HZ141" s="30"/>
      <c r="IA141" s="30"/>
      <c r="IB141" s="30"/>
      <c r="IC141" s="30"/>
      <c r="ID141" s="30"/>
      <c r="IE141" s="30"/>
      <c r="IF141" s="30"/>
      <c r="IG141" s="30"/>
      <c r="IH141" s="30"/>
      <c r="II141" s="30"/>
      <c r="IJ141" s="30"/>
      <c r="IK141" s="30"/>
      <c r="IL141" s="30"/>
      <c r="IM141" s="30"/>
      <c r="IN141" s="30"/>
      <c r="IO141" s="30"/>
      <c r="IP141" s="30"/>
      <c r="IQ141" s="30"/>
      <c r="IR141" s="30"/>
      <c r="IS141" s="30"/>
      <c r="IT141" s="30"/>
      <c r="IU141" s="30"/>
      <c r="IV141" s="30"/>
      <c r="IW141" s="30"/>
      <c r="IX141" s="30"/>
      <c r="IY141" s="30"/>
      <c r="IZ141" s="30"/>
      <c r="JA141" s="30"/>
      <c r="JB141" s="30"/>
      <c r="JC141" s="30"/>
      <c r="JD141" s="30"/>
      <c r="JE141" s="30"/>
      <c r="JF141" s="30"/>
      <c r="JG141" s="30"/>
      <c r="JH141" s="30"/>
      <c r="JI141" s="30"/>
      <c r="JJ141" s="30"/>
      <c r="JK141" s="30"/>
      <c r="JL141" s="30"/>
      <c r="JM141" s="30"/>
      <c r="JN141" s="30"/>
      <c r="JO141" s="30"/>
      <c r="JP141" s="30"/>
      <c r="JQ141" s="30"/>
      <c r="JR141" s="30"/>
      <c r="JS141" s="30"/>
      <c r="JT141" s="30"/>
      <c r="JU141" s="30"/>
      <c r="JV141" s="30"/>
      <c r="JW141" s="30"/>
      <c r="JX141" s="30"/>
      <c r="JY141" s="30"/>
      <c r="JZ141" s="30"/>
      <c r="KA141" s="30"/>
      <c r="KB141" s="30"/>
      <c r="KC141" s="30"/>
      <c r="KD141" s="30"/>
      <c r="KE141" s="30"/>
      <c r="KF141" s="30"/>
      <c r="KG141" s="30"/>
      <c r="KH141" s="30"/>
      <c r="KI141" s="30"/>
      <c r="KJ141" s="30"/>
      <c r="KK141" s="30"/>
      <c r="KL141" s="30"/>
      <c r="KM141" s="30"/>
      <c r="KN141" s="30"/>
      <c r="KO141" s="30"/>
      <c r="KP141" s="30"/>
      <c r="KQ141" s="30"/>
      <c r="KR141" s="30"/>
      <c r="KS141" s="30"/>
      <c r="KT141" s="30"/>
      <c r="KU141" s="30"/>
      <c r="KV141" s="30"/>
      <c r="KW141" s="30"/>
      <c r="KX141" s="30"/>
      <c r="KY141" s="30"/>
      <c r="KZ141" s="30"/>
      <c r="LA141" s="30"/>
      <c r="LB141" s="30"/>
      <c r="LC141" s="30"/>
      <c r="LD141" s="30"/>
      <c r="LE141" s="30"/>
      <c r="LF141" s="30"/>
      <c r="LG141" s="30"/>
      <c r="LH141" s="30"/>
      <c r="LI141" s="30"/>
      <c r="LJ141" s="30"/>
      <c r="LK141" s="30"/>
      <c r="LL141" s="30"/>
      <c r="LM141" s="30"/>
      <c r="LN141" s="30"/>
      <c r="LO141" s="30"/>
      <c r="LP141" s="30"/>
      <c r="LQ141" s="30"/>
      <c r="LR141" s="30"/>
      <c r="LS141" s="30"/>
      <c r="LT141" s="30"/>
      <c r="LU141" s="30"/>
      <c r="LV141" s="30"/>
      <c r="LW141" s="30"/>
      <c r="LX141" s="30"/>
      <c r="LY141" s="30"/>
      <c r="LZ141" s="30"/>
      <c r="MA141" s="30"/>
      <c r="MB141" s="30"/>
      <c r="MC141" s="30"/>
      <c r="MD141" s="30"/>
      <c r="ME141" s="30"/>
      <c r="MF141" s="30"/>
      <c r="MG141" s="30"/>
      <c r="MH141" s="30"/>
      <c r="MI141" s="30"/>
      <c r="MJ141" s="30"/>
      <c r="MK141" s="30"/>
      <c r="ML141" s="30"/>
      <c r="MM141" s="30"/>
      <c r="MN141" s="30"/>
      <c r="MO141" s="30"/>
      <c r="MP141" s="30"/>
      <c r="MQ141" s="30"/>
      <c r="MR141" s="30"/>
      <c r="MS141" s="30"/>
      <c r="MT141" s="30"/>
      <c r="MU141" s="30"/>
      <c r="MV141" s="30"/>
      <c r="MW141" s="30"/>
      <c r="MX141" s="30"/>
      <c r="MY141" s="30"/>
      <c r="MZ141" s="30"/>
      <c r="NA141" s="30"/>
      <c r="NB141" s="30"/>
      <c r="NC141" s="30"/>
      <c r="ND141" s="30"/>
      <c r="NE141" s="30"/>
      <c r="NF141" s="30"/>
      <c r="NG141" s="30"/>
      <c r="NH141" s="30"/>
      <c r="NI141" s="30"/>
      <c r="NJ141" s="30"/>
      <c r="NK141" s="30"/>
      <c r="NL141" s="30"/>
      <c r="NM141" s="30"/>
      <c r="NN141" s="30"/>
      <c r="NO141" s="30"/>
      <c r="NP141" s="30"/>
      <c r="NQ141" s="30"/>
      <c r="NR141" s="30"/>
    </row>
    <row r="142" spans="1:382" s="3" customFormat="1" ht="20.100000000000001" customHeight="1" x14ac:dyDescent="0.4">
      <c r="A142" s="29">
        <v>1</v>
      </c>
      <c r="B142" s="5">
        <v>444</v>
      </c>
      <c r="C142" s="5" t="s">
        <v>203</v>
      </c>
      <c r="D142" s="5" t="s">
        <v>114</v>
      </c>
      <c r="E142" s="5" t="s">
        <v>6</v>
      </c>
      <c r="F142" s="5" t="s">
        <v>32</v>
      </c>
      <c r="G142" s="5" t="s">
        <v>32</v>
      </c>
      <c r="H142" s="5" t="s">
        <v>32</v>
      </c>
      <c r="I142" s="8">
        <v>46070.625</v>
      </c>
      <c r="J142" s="8"/>
      <c r="K142" s="8" t="str">
        <f>IF(OR(J142="",E142=""),"",J142+IFERROR(VLOOKUP(E142,リードタイム!$A$2:$C$9,3,FALSE),0))</f>
        <v/>
      </c>
      <c r="L142" s="5" t="s">
        <v>531</v>
      </c>
      <c r="M142" s="8"/>
      <c r="N142" s="8" t="str">
        <f>IF(OR(M142="",E142=""),"",M142+IFERROR(VLOOKUP(E142,リードタイム!$A$2:$D$9,4,FALSE),0))</f>
        <v/>
      </c>
      <c r="O142" s="5" t="s">
        <v>531</v>
      </c>
      <c r="P142" s="5" t="s">
        <v>533</v>
      </c>
      <c r="Q142" s="5" t="s">
        <v>32</v>
      </c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  <c r="FS142" s="30"/>
      <c r="FT142" s="30"/>
      <c r="FU142" s="30"/>
      <c r="FV142" s="30"/>
      <c r="FW142" s="30"/>
      <c r="FX142" s="30"/>
      <c r="FY142" s="30"/>
      <c r="FZ142" s="30"/>
      <c r="GA142" s="30"/>
      <c r="GB142" s="30"/>
      <c r="GC142" s="30"/>
      <c r="GD142" s="30"/>
      <c r="GE142" s="30"/>
      <c r="GF142" s="30"/>
      <c r="GG142" s="30"/>
      <c r="GH142" s="30"/>
      <c r="GI142" s="30"/>
      <c r="GJ142" s="30"/>
      <c r="GK142" s="30"/>
      <c r="GL142" s="30"/>
      <c r="GM142" s="30"/>
      <c r="GN142" s="30"/>
      <c r="GO142" s="30"/>
      <c r="GP142" s="30"/>
      <c r="GQ142" s="30"/>
      <c r="GR142" s="30"/>
      <c r="GS142" s="30"/>
      <c r="GT142" s="30"/>
      <c r="GU142" s="30"/>
      <c r="GV142" s="30"/>
      <c r="GW142" s="30"/>
      <c r="GX142" s="30"/>
      <c r="GY142" s="30"/>
      <c r="GZ142" s="30"/>
      <c r="HA142" s="30"/>
      <c r="HB142" s="30"/>
      <c r="HC142" s="30"/>
      <c r="HD142" s="30"/>
      <c r="HE142" s="30"/>
      <c r="HF142" s="30"/>
      <c r="HG142" s="30"/>
      <c r="HH142" s="30"/>
      <c r="HI142" s="30"/>
      <c r="HJ142" s="30"/>
      <c r="HK142" s="30"/>
      <c r="HL142" s="30"/>
      <c r="HM142" s="30"/>
      <c r="HN142" s="30"/>
      <c r="HO142" s="30"/>
      <c r="HP142" s="30"/>
      <c r="HQ142" s="30"/>
      <c r="HR142" s="30"/>
      <c r="HS142" s="30"/>
      <c r="HT142" s="30"/>
      <c r="HU142" s="30"/>
      <c r="HV142" s="30"/>
      <c r="HW142" s="30"/>
      <c r="HX142" s="30"/>
      <c r="HY142" s="30"/>
      <c r="HZ142" s="30"/>
      <c r="IA142" s="30"/>
      <c r="IB142" s="30"/>
      <c r="IC142" s="30"/>
      <c r="ID142" s="30"/>
      <c r="IE142" s="30"/>
      <c r="IF142" s="30"/>
      <c r="IG142" s="30"/>
      <c r="IH142" s="30"/>
      <c r="II142" s="30"/>
      <c r="IJ142" s="30"/>
      <c r="IK142" s="30"/>
      <c r="IL142" s="30"/>
      <c r="IM142" s="30"/>
      <c r="IN142" s="30"/>
      <c r="IO142" s="30"/>
      <c r="IP142" s="30"/>
      <c r="IQ142" s="30"/>
      <c r="IR142" s="30"/>
      <c r="IS142" s="30"/>
      <c r="IT142" s="30"/>
      <c r="IU142" s="30"/>
      <c r="IV142" s="30"/>
      <c r="IW142" s="30"/>
      <c r="IX142" s="30"/>
      <c r="IY142" s="30"/>
      <c r="IZ142" s="30"/>
      <c r="JA142" s="30"/>
      <c r="JB142" s="30"/>
      <c r="JC142" s="30"/>
      <c r="JD142" s="30"/>
      <c r="JE142" s="30"/>
      <c r="JF142" s="30"/>
      <c r="JG142" s="30"/>
      <c r="JH142" s="30"/>
      <c r="JI142" s="30"/>
      <c r="JJ142" s="30"/>
      <c r="JK142" s="30"/>
      <c r="JL142" s="30"/>
      <c r="JM142" s="30"/>
      <c r="JN142" s="30"/>
      <c r="JO142" s="30"/>
      <c r="JP142" s="30"/>
      <c r="JQ142" s="30"/>
      <c r="JR142" s="30"/>
      <c r="JS142" s="30"/>
      <c r="JT142" s="30"/>
      <c r="JU142" s="30"/>
      <c r="JV142" s="30"/>
      <c r="JW142" s="30"/>
      <c r="JX142" s="30"/>
      <c r="JY142" s="30"/>
      <c r="JZ142" s="30"/>
      <c r="KA142" s="30"/>
      <c r="KB142" s="30"/>
      <c r="KC142" s="30"/>
      <c r="KD142" s="30"/>
      <c r="KE142" s="30"/>
      <c r="KF142" s="30"/>
      <c r="KG142" s="30"/>
      <c r="KH142" s="30"/>
      <c r="KI142" s="30"/>
      <c r="KJ142" s="30"/>
      <c r="KK142" s="30"/>
      <c r="KL142" s="30"/>
      <c r="KM142" s="30"/>
      <c r="KN142" s="30"/>
      <c r="KO142" s="30"/>
      <c r="KP142" s="30"/>
      <c r="KQ142" s="30"/>
      <c r="KR142" s="30"/>
      <c r="KS142" s="30"/>
      <c r="KT142" s="30"/>
      <c r="KU142" s="30"/>
      <c r="KV142" s="30"/>
      <c r="KW142" s="30"/>
      <c r="KX142" s="30"/>
      <c r="KY142" s="30"/>
      <c r="KZ142" s="30"/>
      <c r="LA142" s="30"/>
      <c r="LB142" s="30"/>
      <c r="LC142" s="30"/>
      <c r="LD142" s="30"/>
      <c r="LE142" s="30"/>
      <c r="LF142" s="30"/>
      <c r="LG142" s="30"/>
      <c r="LH142" s="30"/>
      <c r="LI142" s="30"/>
      <c r="LJ142" s="30"/>
      <c r="LK142" s="30"/>
      <c r="LL142" s="30"/>
      <c r="LM142" s="30"/>
      <c r="LN142" s="30"/>
      <c r="LO142" s="30"/>
      <c r="LP142" s="30"/>
      <c r="LQ142" s="30"/>
      <c r="LR142" s="30"/>
      <c r="LS142" s="30"/>
      <c r="LT142" s="30"/>
      <c r="LU142" s="30"/>
      <c r="LV142" s="30"/>
      <c r="LW142" s="30"/>
      <c r="LX142" s="30"/>
      <c r="LY142" s="30"/>
      <c r="LZ142" s="30"/>
      <c r="MA142" s="30"/>
      <c r="MB142" s="30"/>
      <c r="MC142" s="30"/>
      <c r="MD142" s="30"/>
      <c r="ME142" s="30"/>
      <c r="MF142" s="30"/>
      <c r="MG142" s="30"/>
      <c r="MH142" s="30"/>
      <c r="MI142" s="30"/>
      <c r="MJ142" s="30"/>
      <c r="MK142" s="30"/>
      <c r="ML142" s="30"/>
      <c r="MM142" s="30"/>
      <c r="MN142" s="30"/>
      <c r="MO142" s="30"/>
      <c r="MP142" s="30"/>
      <c r="MQ142" s="30"/>
      <c r="MR142" s="30"/>
      <c r="MS142" s="30"/>
      <c r="MT142" s="30"/>
      <c r="MU142" s="30"/>
      <c r="MV142" s="30"/>
      <c r="MW142" s="30"/>
      <c r="MX142" s="30"/>
      <c r="MY142" s="30"/>
      <c r="MZ142" s="30"/>
      <c r="NA142" s="30"/>
      <c r="NB142" s="30"/>
      <c r="NC142" s="30"/>
      <c r="ND142" s="30"/>
      <c r="NE142" s="30"/>
      <c r="NF142" s="30"/>
      <c r="NG142" s="30"/>
      <c r="NH142" s="30"/>
      <c r="NI142" s="30"/>
      <c r="NJ142" s="30"/>
      <c r="NK142" s="30"/>
      <c r="NL142" s="30"/>
      <c r="NM142" s="30"/>
      <c r="NN142" s="30"/>
      <c r="NO142" s="30"/>
      <c r="NP142" s="30"/>
      <c r="NQ142" s="30"/>
      <c r="NR142" s="30"/>
    </row>
    <row r="143" spans="1:382" s="3" customFormat="1" ht="20.100000000000001" customHeight="1" x14ac:dyDescent="0.4">
      <c r="A143" s="29">
        <v>1</v>
      </c>
      <c r="B143" s="5">
        <v>308</v>
      </c>
      <c r="C143" s="5" t="s">
        <v>204</v>
      </c>
      <c r="D143" s="5" t="s">
        <v>41</v>
      </c>
      <c r="E143" s="5" t="s">
        <v>6</v>
      </c>
      <c r="F143" s="5" t="s">
        <v>32</v>
      </c>
      <c r="G143" s="5" t="s">
        <v>32</v>
      </c>
      <c r="H143" s="5" t="s">
        <v>32</v>
      </c>
      <c r="I143" s="8">
        <v>45960.625</v>
      </c>
      <c r="J143" s="8"/>
      <c r="K143" s="8" t="str">
        <f>IF(OR(J143="",E143=""),"",J143+IFERROR(VLOOKUP(E143,リードタイム!$A$2:$C$9,3,FALSE),0))</f>
        <v/>
      </c>
      <c r="L143" s="5" t="s">
        <v>531</v>
      </c>
      <c r="M143" s="8"/>
      <c r="N143" s="8" t="str">
        <f>IF(OR(M143="",E143=""),"",M143+IFERROR(VLOOKUP(E143,リードタイム!$A$2:$D$9,4,FALSE),0))</f>
        <v/>
      </c>
      <c r="O143" s="5" t="s">
        <v>531</v>
      </c>
      <c r="P143" s="5" t="s">
        <v>532</v>
      </c>
      <c r="Q143" s="5" t="s">
        <v>32</v>
      </c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  <c r="FS143" s="30"/>
      <c r="FT143" s="30"/>
      <c r="FU143" s="30"/>
      <c r="FV143" s="30"/>
      <c r="FW143" s="30"/>
      <c r="FX143" s="30"/>
      <c r="FY143" s="30"/>
      <c r="FZ143" s="30"/>
      <c r="GA143" s="30"/>
      <c r="GB143" s="30"/>
      <c r="GC143" s="30"/>
      <c r="GD143" s="30"/>
      <c r="GE143" s="30"/>
      <c r="GF143" s="30"/>
      <c r="GG143" s="30"/>
      <c r="GH143" s="30"/>
      <c r="GI143" s="30"/>
      <c r="GJ143" s="30"/>
      <c r="GK143" s="30"/>
      <c r="GL143" s="30"/>
      <c r="GM143" s="30"/>
      <c r="GN143" s="30"/>
      <c r="GO143" s="30"/>
      <c r="GP143" s="30"/>
      <c r="GQ143" s="30"/>
      <c r="GR143" s="30"/>
      <c r="GS143" s="30"/>
      <c r="GT143" s="30"/>
      <c r="GU143" s="30"/>
      <c r="GV143" s="30"/>
      <c r="GW143" s="30"/>
      <c r="GX143" s="30"/>
      <c r="GY143" s="30"/>
      <c r="GZ143" s="30"/>
      <c r="HA143" s="30"/>
      <c r="HB143" s="30"/>
      <c r="HC143" s="30"/>
      <c r="HD143" s="30"/>
      <c r="HE143" s="30"/>
      <c r="HF143" s="30"/>
      <c r="HG143" s="30"/>
      <c r="HH143" s="30"/>
      <c r="HI143" s="30"/>
      <c r="HJ143" s="30"/>
      <c r="HK143" s="30"/>
      <c r="HL143" s="30"/>
      <c r="HM143" s="30"/>
      <c r="HN143" s="30"/>
      <c r="HO143" s="30"/>
      <c r="HP143" s="30"/>
      <c r="HQ143" s="30"/>
      <c r="HR143" s="30"/>
      <c r="HS143" s="30"/>
      <c r="HT143" s="30"/>
      <c r="HU143" s="30"/>
      <c r="HV143" s="30"/>
      <c r="HW143" s="30"/>
      <c r="HX143" s="30"/>
      <c r="HY143" s="30"/>
      <c r="HZ143" s="30"/>
      <c r="IA143" s="30"/>
      <c r="IB143" s="30"/>
      <c r="IC143" s="30"/>
      <c r="ID143" s="30"/>
      <c r="IE143" s="30"/>
      <c r="IF143" s="30"/>
      <c r="IG143" s="30"/>
      <c r="IH143" s="30"/>
      <c r="II143" s="30"/>
      <c r="IJ143" s="30"/>
      <c r="IK143" s="30"/>
      <c r="IL143" s="30"/>
      <c r="IM143" s="30"/>
      <c r="IN143" s="30"/>
      <c r="IO143" s="30"/>
      <c r="IP143" s="30"/>
      <c r="IQ143" s="30"/>
      <c r="IR143" s="30"/>
      <c r="IS143" s="30"/>
      <c r="IT143" s="30"/>
      <c r="IU143" s="30"/>
      <c r="IV143" s="30"/>
      <c r="IW143" s="30"/>
      <c r="IX143" s="30"/>
      <c r="IY143" s="30"/>
      <c r="IZ143" s="30"/>
      <c r="JA143" s="30"/>
      <c r="JB143" s="30"/>
      <c r="JC143" s="30"/>
      <c r="JD143" s="30"/>
      <c r="JE143" s="30"/>
      <c r="JF143" s="30"/>
      <c r="JG143" s="30"/>
      <c r="JH143" s="30"/>
      <c r="JI143" s="30"/>
      <c r="JJ143" s="30"/>
      <c r="JK143" s="30"/>
      <c r="JL143" s="30"/>
      <c r="JM143" s="30"/>
      <c r="JN143" s="30"/>
      <c r="JO143" s="30"/>
      <c r="JP143" s="30"/>
      <c r="JQ143" s="30"/>
      <c r="JR143" s="30"/>
      <c r="JS143" s="30"/>
      <c r="JT143" s="30"/>
      <c r="JU143" s="30"/>
      <c r="JV143" s="30"/>
      <c r="JW143" s="30"/>
      <c r="JX143" s="30"/>
      <c r="JY143" s="30"/>
      <c r="JZ143" s="30"/>
      <c r="KA143" s="30"/>
      <c r="KB143" s="30"/>
      <c r="KC143" s="30"/>
      <c r="KD143" s="30"/>
      <c r="KE143" s="30"/>
      <c r="KF143" s="30"/>
      <c r="KG143" s="30"/>
      <c r="KH143" s="30"/>
      <c r="KI143" s="30"/>
      <c r="KJ143" s="30"/>
      <c r="KK143" s="30"/>
      <c r="KL143" s="30"/>
      <c r="KM143" s="30"/>
      <c r="KN143" s="30"/>
      <c r="KO143" s="30"/>
      <c r="KP143" s="30"/>
      <c r="KQ143" s="30"/>
      <c r="KR143" s="30"/>
      <c r="KS143" s="30"/>
      <c r="KT143" s="30"/>
      <c r="KU143" s="30"/>
      <c r="KV143" s="30"/>
      <c r="KW143" s="30"/>
      <c r="KX143" s="30"/>
      <c r="KY143" s="30"/>
      <c r="KZ143" s="30"/>
      <c r="LA143" s="30"/>
      <c r="LB143" s="30"/>
      <c r="LC143" s="30"/>
      <c r="LD143" s="30"/>
      <c r="LE143" s="30"/>
      <c r="LF143" s="30"/>
      <c r="LG143" s="30"/>
      <c r="LH143" s="30"/>
      <c r="LI143" s="30"/>
      <c r="LJ143" s="30"/>
      <c r="LK143" s="30"/>
      <c r="LL143" s="30"/>
      <c r="LM143" s="30"/>
      <c r="LN143" s="30"/>
      <c r="LO143" s="30"/>
      <c r="LP143" s="30"/>
      <c r="LQ143" s="30"/>
      <c r="LR143" s="30"/>
      <c r="LS143" s="30"/>
      <c r="LT143" s="30"/>
      <c r="LU143" s="30"/>
      <c r="LV143" s="30"/>
      <c r="LW143" s="30"/>
      <c r="LX143" s="30"/>
      <c r="LY143" s="30"/>
      <c r="LZ143" s="30"/>
      <c r="MA143" s="30"/>
      <c r="MB143" s="30"/>
      <c r="MC143" s="30"/>
      <c r="MD143" s="30"/>
      <c r="ME143" s="30"/>
      <c r="MF143" s="30"/>
      <c r="MG143" s="30"/>
      <c r="MH143" s="30"/>
      <c r="MI143" s="30"/>
      <c r="MJ143" s="30"/>
      <c r="MK143" s="30"/>
      <c r="ML143" s="30"/>
      <c r="MM143" s="30"/>
      <c r="MN143" s="30"/>
      <c r="MO143" s="30"/>
      <c r="MP143" s="30"/>
      <c r="MQ143" s="30"/>
      <c r="MR143" s="30"/>
      <c r="MS143" s="30"/>
      <c r="MT143" s="30"/>
      <c r="MU143" s="30"/>
      <c r="MV143" s="30"/>
      <c r="MW143" s="30"/>
      <c r="MX143" s="30"/>
      <c r="MY143" s="30"/>
      <c r="MZ143" s="30"/>
      <c r="NA143" s="30"/>
      <c r="NB143" s="30"/>
      <c r="NC143" s="30"/>
      <c r="ND143" s="30"/>
      <c r="NE143" s="30"/>
      <c r="NF143" s="30"/>
      <c r="NG143" s="30"/>
      <c r="NH143" s="30"/>
      <c r="NI143" s="30"/>
      <c r="NJ143" s="30"/>
      <c r="NK143" s="30"/>
      <c r="NL143" s="30"/>
      <c r="NM143" s="30"/>
      <c r="NN143" s="30"/>
      <c r="NO143" s="30"/>
      <c r="NP143" s="30"/>
      <c r="NQ143" s="30"/>
      <c r="NR143" s="30"/>
    </row>
    <row r="144" spans="1:382" s="3" customFormat="1" ht="20.100000000000001" customHeight="1" x14ac:dyDescent="0.4">
      <c r="A144" s="29">
        <v>1</v>
      </c>
      <c r="B144" s="5">
        <v>312</v>
      </c>
      <c r="C144" s="5" t="s">
        <v>205</v>
      </c>
      <c r="D144" s="5" t="s">
        <v>41</v>
      </c>
      <c r="E144" s="5" t="s">
        <v>6</v>
      </c>
      <c r="F144" s="5" t="s">
        <v>32</v>
      </c>
      <c r="G144" s="5" t="s">
        <v>32</v>
      </c>
      <c r="H144" s="5" t="s">
        <v>32</v>
      </c>
      <c r="I144" s="8">
        <v>45960.625</v>
      </c>
      <c r="J144" s="8"/>
      <c r="K144" s="8" t="str">
        <f>IF(OR(J144="",E144=""),"",J144+IFERROR(VLOOKUP(E144,リードタイム!$A$2:$C$9,3,FALSE),0))</f>
        <v/>
      </c>
      <c r="L144" s="5" t="s">
        <v>531</v>
      </c>
      <c r="M144" s="8"/>
      <c r="N144" s="8" t="str">
        <f>IF(OR(M144="",E144=""),"",M144+IFERROR(VLOOKUP(E144,リードタイム!$A$2:$D$9,4,FALSE),0))</f>
        <v/>
      </c>
      <c r="O144" s="5" t="s">
        <v>531</v>
      </c>
      <c r="P144" s="5" t="s">
        <v>532</v>
      </c>
      <c r="Q144" s="5" t="s">
        <v>32</v>
      </c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  <c r="FS144" s="30"/>
      <c r="FT144" s="30"/>
      <c r="FU144" s="30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/>
      <c r="GJ144" s="30"/>
      <c r="GK144" s="30"/>
      <c r="GL144" s="30"/>
      <c r="GM144" s="30"/>
      <c r="GN144" s="30"/>
      <c r="GO144" s="30"/>
      <c r="GP144" s="30"/>
      <c r="GQ144" s="30"/>
      <c r="GR144" s="30"/>
      <c r="GS144" s="30"/>
      <c r="GT144" s="30"/>
      <c r="GU144" s="30"/>
      <c r="GV144" s="30"/>
      <c r="GW144" s="30"/>
      <c r="GX144" s="30"/>
      <c r="GY144" s="30"/>
      <c r="GZ144" s="30"/>
      <c r="HA144" s="30"/>
      <c r="HB144" s="30"/>
      <c r="HC144" s="30"/>
      <c r="HD144" s="30"/>
      <c r="HE144" s="30"/>
      <c r="HF144" s="30"/>
      <c r="HG144" s="30"/>
      <c r="HH144" s="30"/>
      <c r="HI144" s="30"/>
      <c r="HJ144" s="30"/>
      <c r="HK144" s="30"/>
      <c r="HL144" s="30"/>
      <c r="HM144" s="30"/>
      <c r="HN144" s="30"/>
      <c r="HO144" s="30"/>
      <c r="HP144" s="30"/>
      <c r="HQ144" s="30"/>
      <c r="HR144" s="30"/>
      <c r="HS144" s="30"/>
      <c r="HT144" s="30"/>
      <c r="HU144" s="30"/>
      <c r="HV144" s="30"/>
      <c r="HW144" s="30"/>
      <c r="HX144" s="30"/>
      <c r="HY144" s="30"/>
      <c r="HZ144" s="30"/>
      <c r="IA144" s="30"/>
      <c r="IB144" s="30"/>
      <c r="IC144" s="30"/>
      <c r="ID144" s="30"/>
      <c r="IE144" s="30"/>
      <c r="IF144" s="30"/>
      <c r="IG144" s="30"/>
      <c r="IH144" s="30"/>
      <c r="II144" s="30"/>
      <c r="IJ144" s="30"/>
      <c r="IK144" s="30"/>
      <c r="IL144" s="30"/>
      <c r="IM144" s="30"/>
      <c r="IN144" s="30"/>
      <c r="IO144" s="30"/>
      <c r="IP144" s="30"/>
      <c r="IQ144" s="30"/>
      <c r="IR144" s="30"/>
      <c r="IS144" s="30"/>
      <c r="IT144" s="30"/>
      <c r="IU144" s="30"/>
      <c r="IV144" s="30"/>
      <c r="IW144" s="30"/>
      <c r="IX144" s="30"/>
      <c r="IY144" s="30"/>
      <c r="IZ144" s="30"/>
      <c r="JA144" s="30"/>
      <c r="JB144" s="30"/>
      <c r="JC144" s="30"/>
      <c r="JD144" s="30"/>
      <c r="JE144" s="30"/>
      <c r="JF144" s="30"/>
      <c r="JG144" s="30"/>
      <c r="JH144" s="30"/>
      <c r="JI144" s="30"/>
      <c r="JJ144" s="30"/>
      <c r="JK144" s="30"/>
      <c r="JL144" s="30"/>
      <c r="JM144" s="30"/>
      <c r="JN144" s="30"/>
      <c r="JO144" s="30"/>
      <c r="JP144" s="30"/>
      <c r="JQ144" s="30"/>
      <c r="JR144" s="30"/>
      <c r="JS144" s="30"/>
      <c r="JT144" s="30"/>
      <c r="JU144" s="30"/>
      <c r="JV144" s="30"/>
      <c r="JW144" s="30"/>
      <c r="JX144" s="30"/>
      <c r="JY144" s="30"/>
      <c r="JZ144" s="30"/>
      <c r="KA144" s="30"/>
      <c r="KB144" s="30"/>
      <c r="KC144" s="30"/>
      <c r="KD144" s="30"/>
      <c r="KE144" s="30"/>
      <c r="KF144" s="30"/>
      <c r="KG144" s="30"/>
      <c r="KH144" s="30"/>
      <c r="KI144" s="30"/>
      <c r="KJ144" s="30"/>
      <c r="KK144" s="30"/>
      <c r="KL144" s="30"/>
      <c r="KM144" s="30"/>
      <c r="KN144" s="30"/>
      <c r="KO144" s="30"/>
      <c r="KP144" s="30"/>
      <c r="KQ144" s="30"/>
      <c r="KR144" s="30"/>
      <c r="KS144" s="30"/>
      <c r="KT144" s="30"/>
      <c r="KU144" s="30"/>
      <c r="KV144" s="30"/>
      <c r="KW144" s="30"/>
      <c r="KX144" s="30"/>
      <c r="KY144" s="30"/>
      <c r="KZ144" s="30"/>
      <c r="LA144" s="30"/>
      <c r="LB144" s="30"/>
      <c r="LC144" s="30"/>
      <c r="LD144" s="30"/>
      <c r="LE144" s="30"/>
      <c r="LF144" s="30"/>
      <c r="LG144" s="30"/>
      <c r="LH144" s="30"/>
      <c r="LI144" s="30"/>
      <c r="LJ144" s="30"/>
      <c r="LK144" s="30"/>
      <c r="LL144" s="30"/>
      <c r="LM144" s="30"/>
      <c r="LN144" s="30"/>
      <c r="LO144" s="30"/>
      <c r="LP144" s="30"/>
      <c r="LQ144" s="30"/>
      <c r="LR144" s="30"/>
      <c r="LS144" s="30"/>
      <c r="LT144" s="30"/>
      <c r="LU144" s="30"/>
      <c r="LV144" s="30"/>
      <c r="LW144" s="30"/>
      <c r="LX144" s="30"/>
      <c r="LY144" s="30"/>
      <c r="LZ144" s="30"/>
      <c r="MA144" s="30"/>
      <c r="MB144" s="30"/>
      <c r="MC144" s="30"/>
      <c r="MD144" s="30"/>
      <c r="ME144" s="30"/>
      <c r="MF144" s="30"/>
      <c r="MG144" s="30"/>
      <c r="MH144" s="30"/>
      <c r="MI144" s="30"/>
      <c r="MJ144" s="30"/>
      <c r="MK144" s="30"/>
      <c r="ML144" s="30"/>
      <c r="MM144" s="30"/>
      <c r="MN144" s="30"/>
      <c r="MO144" s="30"/>
      <c r="MP144" s="30"/>
      <c r="MQ144" s="30"/>
      <c r="MR144" s="30"/>
      <c r="MS144" s="30"/>
      <c r="MT144" s="30"/>
      <c r="MU144" s="30"/>
      <c r="MV144" s="30"/>
      <c r="MW144" s="30"/>
      <c r="MX144" s="30"/>
      <c r="MY144" s="30"/>
      <c r="MZ144" s="30"/>
      <c r="NA144" s="30"/>
      <c r="NB144" s="30"/>
      <c r="NC144" s="30"/>
      <c r="ND144" s="30"/>
      <c r="NE144" s="30"/>
      <c r="NF144" s="30"/>
      <c r="NG144" s="30"/>
      <c r="NH144" s="30"/>
      <c r="NI144" s="30"/>
      <c r="NJ144" s="30"/>
      <c r="NK144" s="30"/>
      <c r="NL144" s="30"/>
      <c r="NM144" s="30"/>
      <c r="NN144" s="30"/>
      <c r="NO144" s="30"/>
      <c r="NP144" s="30"/>
      <c r="NQ144" s="30"/>
      <c r="NR144" s="30"/>
    </row>
    <row r="145" spans="1:382" s="3" customFormat="1" ht="20.100000000000001" customHeight="1" x14ac:dyDescent="0.4">
      <c r="A145" s="29">
        <v>1</v>
      </c>
      <c r="B145" s="5">
        <v>314</v>
      </c>
      <c r="C145" s="5" t="s">
        <v>206</v>
      </c>
      <c r="D145" s="5" t="s">
        <v>41</v>
      </c>
      <c r="E145" s="5" t="s">
        <v>6</v>
      </c>
      <c r="F145" s="5" t="s">
        <v>32</v>
      </c>
      <c r="G145" s="5" t="s">
        <v>32</v>
      </c>
      <c r="H145" s="5" t="s">
        <v>32</v>
      </c>
      <c r="I145" s="8">
        <v>45960.625</v>
      </c>
      <c r="J145" s="8"/>
      <c r="K145" s="8" t="str">
        <f>IF(OR(J145="",E145=""),"",J145+IFERROR(VLOOKUP(E145,リードタイム!$A$2:$C$9,3,FALSE),0))</f>
        <v/>
      </c>
      <c r="L145" s="5" t="s">
        <v>531</v>
      </c>
      <c r="M145" s="8"/>
      <c r="N145" s="8" t="str">
        <f>IF(OR(M145="",E145=""),"",M145+IFERROR(VLOOKUP(E145,リードタイム!$A$2:$D$9,4,FALSE),0))</f>
        <v/>
      </c>
      <c r="O145" s="5" t="s">
        <v>531</v>
      </c>
      <c r="P145" s="5" t="s">
        <v>532</v>
      </c>
      <c r="Q145" s="5" t="s">
        <v>32</v>
      </c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  <c r="FS145" s="30"/>
      <c r="FT145" s="30"/>
      <c r="FU145" s="30"/>
      <c r="FV145" s="30"/>
      <c r="FW145" s="30"/>
      <c r="FX145" s="30"/>
      <c r="FY145" s="30"/>
      <c r="FZ145" s="30"/>
      <c r="GA145" s="30"/>
      <c r="GB145" s="30"/>
      <c r="GC145" s="30"/>
      <c r="GD145" s="30"/>
      <c r="GE145" s="30"/>
      <c r="GF145" s="30"/>
      <c r="GG145" s="30"/>
      <c r="GH145" s="30"/>
      <c r="GI145" s="30"/>
      <c r="GJ145" s="30"/>
      <c r="GK145" s="30"/>
      <c r="GL145" s="30"/>
      <c r="GM145" s="30"/>
      <c r="GN145" s="30"/>
      <c r="GO145" s="30"/>
      <c r="GP145" s="30"/>
      <c r="GQ145" s="30"/>
      <c r="GR145" s="30"/>
      <c r="GS145" s="30"/>
      <c r="GT145" s="30"/>
      <c r="GU145" s="30"/>
      <c r="GV145" s="30"/>
      <c r="GW145" s="30"/>
      <c r="GX145" s="30"/>
      <c r="GY145" s="30"/>
      <c r="GZ145" s="30"/>
      <c r="HA145" s="30"/>
      <c r="HB145" s="30"/>
      <c r="HC145" s="30"/>
      <c r="HD145" s="30"/>
      <c r="HE145" s="30"/>
      <c r="HF145" s="30"/>
      <c r="HG145" s="30"/>
      <c r="HH145" s="30"/>
      <c r="HI145" s="30"/>
      <c r="HJ145" s="30"/>
      <c r="HK145" s="30"/>
      <c r="HL145" s="30"/>
      <c r="HM145" s="30"/>
      <c r="HN145" s="30"/>
      <c r="HO145" s="30"/>
      <c r="HP145" s="30"/>
      <c r="HQ145" s="30"/>
      <c r="HR145" s="30"/>
      <c r="HS145" s="30"/>
      <c r="HT145" s="30"/>
      <c r="HU145" s="30"/>
      <c r="HV145" s="30"/>
      <c r="HW145" s="30"/>
      <c r="HX145" s="30"/>
      <c r="HY145" s="30"/>
      <c r="HZ145" s="30"/>
      <c r="IA145" s="30"/>
      <c r="IB145" s="30"/>
      <c r="IC145" s="30"/>
      <c r="ID145" s="30"/>
      <c r="IE145" s="30"/>
      <c r="IF145" s="30"/>
      <c r="IG145" s="30"/>
      <c r="IH145" s="30"/>
      <c r="II145" s="30"/>
      <c r="IJ145" s="30"/>
      <c r="IK145" s="30"/>
      <c r="IL145" s="30"/>
      <c r="IM145" s="30"/>
      <c r="IN145" s="30"/>
      <c r="IO145" s="30"/>
      <c r="IP145" s="30"/>
      <c r="IQ145" s="30"/>
      <c r="IR145" s="30"/>
      <c r="IS145" s="30"/>
      <c r="IT145" s="30"/>
      <c r="IU145" s="30"/>
      <c r="IV145" s="30"/>
      <c r="IW145" s="30"/>
      <c r="IX145" s="30"/>
      <c r="IY145" s="30"/>
      <c r="IZ145" s="30"/>
      <c r="JA145" s="30"/>
      <c r="JB145" s="30"/>
      <c r="JC145" s="30"/>
      <c r="JD145" s="30"/>
      <c r="JE145" s="30"/>
      <c r="JF145" s="30"/>
      <c r="JG145" s="30"/>
      <c r="JH145" s="30"/>
      <c r="JI145" s="30"/>
      <c r="JJ145" s="30"/>
      <c r="JK145" s="30"/>
      <c r="JL145" s="30"/>
      <c r="JM145" s="30"/>
      <c r="JN145" s="30"/>
      <c r="JO145" s="30"/>
      <c r="JP145" s="30"/>
      <c r="JQ145" s="30"/>
      <c r="JR145" s="30"/>
      <c r="JS145" s="30"/>
      <c r="JT145" s="30"/>
      <c r="JU145" s="30"/>
      <c r="JV145" s="30"/>
      <c r="JW145" s="30"/>
      <c r="JX145" s="30"/>
      <c r="JY145" s="30"/>
      <c r="JZ145" s="30"/>
      <c r="KA145" s="30"/>
      <c r="KB145" s="30"/>
      <c r="KC145" s="30"/>
      <c r="KD145" s="30"/>
      <c r="KE145" s="30"/>
      <c r="KF145" s="30"/>
      <c r="KG145" s="30"/>
      <c r="KH145" s="30"/>
      <c r="KI145" s="30"/>
      <c r="KJ145" s="30"/>
      <c r="KK145" s="30"/>
      <c r="KL145" s="30"/>
      <c r="KM145" s="30"/>
      <c r="KN145" s="30"/>
      <c r="KO145" s="30"/>
      <c r="KP145" s="30"/>
      <c r="KQ145" s="30"/>
      <c r="KR145" s="30"/>
      <c r="KS145" s="30"/>
      <c r="KT145" s="30"/>
      <c r="KU145" s="30"/>
      <c r="KV145" s="30"/>
      <c r="KW145" s="30"/>
      <c r="KX145" s="30"/>
      <c r="KY145" s="30"/>
      <c r="KZ145" s="30"/>
      <c r="LA145" s="30"/>
      <c r="LB145" s="30"/>
      <c r="LC145" s="30"/>
      <c r="LD145" s="30"/>
      <c r="LE145" s="30"/>
      <c r="LF145" s="30"/>
      <c r="LG145" s="30"/>
      <c r="LH145" s="30"/>
      <c r="LI145" s="30"/>
      <c r="LJ145" s="30"/>
      <c r="LK145" s="30"/>
      <c r="LL145" s="30"/>
      <c r="LM145" s="30"/>
      <c r="LN145" s="30"/>
      <c r="LO145" s="30"/>
      <c r="LP145" s="30"/>
      <c r="LQ145" s="30"/>
      <c r="LR145" s="30"/>
      <c r="LS145" s="30"/>
      <c r="LT145" s="30"/>
      <c r="LU145" s="30"/>
      <c r="LV145" s="30"/>
      <c r="LW145" s="30"/>
      <c r="LX145" s="30"/>
      <c r="LY145" s="30"/>
      <c r="LZ145" s="30"/>
      <c r="MA145" s="30"/>
      <c r="MB145" s="30"/>
      <c r="MC145" s="30"/>
      <c r="MD145" s="30"/>
      <c r="ME145" s="30"/>
      <c r="MF145" s="30"/>
      <c r="MG145" s="30"/>
      <c r="MH145" s="30"/>
      <c r="MI145" s="30"/>
      <c r="MJ145" s="30"/>
      <c r="MK145" s="30"/>
      <c r="ML145" s="30"/>
      <c r="MM145" s="30"/>
      <c r="MN145" s="30"/>
      <c r="MO145" s="30"/>
      <c r="MP145" s="30"/>
      <c r="MQ145" s="30"/>
      <c r="MR145" s="30"/>
      <c r="MS145" s="30"/>
      <c r="MT145" s="30"/>
      <c r="MU145" s="30"/>
      <c r="MV145" s="30"/>
      <c r="MW145" s="30"/>
      <c r="MX145" s="30"/>
      <c r="MY145" s="30"/>
      <c r="MZ145" s="30"/>
      <c r="NA145" s="30"/>
      <c r="NB145" s="30"/>
      <c r="NC145" s="30"/>
      <c r="ND145" s="30"/>
      <c r="NE145" s="30"/>
      <c r="NF145" s="30"/>
      <c r="NG145" s="30"/>
      <c r="NH145" s="30"/>
      <c r="NI145" s="30"/>
      <c r="NJ145" s="30"/>
      <c r="NK145" s="30"/>
      <c r="NL145" s="30"/>
      <c r="NM145" s="30"/>
      <c r="NN145" s="30"/>
      <c r="NO145" s="30"/>
      <c r="NP145" s="30"/>
      <c r="NQ145" s="30"/>
      <c r="NR145" s="30"/>
    </row>
    <row r="146" spans="1:382" s="3" customFormat="1" ht="20.100000000000001" customHeight="1" x14ac:dyDescent="0.4">
      <c r="A146" s="29">
        <v>1</v>
      </c>
      <c r="B146" s="5">
        <v>1964</v>
      </c>
      <c r="C146" s="5" t="s">
        <v>207</v>
      </c>
      <c r="D146" s="5" t="s">
        <v>208</v>
      </c>
      <c r="E146" s="5" t="s">
        <v>18</v>
      </c>
      <c r="F146" s="5" t="s">
        <v>32</v>
      </c>
      <c r="G146" s="5" t="s">
        <v>32</v>
      </c>
      <c r="H146" s="5" t="s">
        <v>32</v>
      </c>
      <c r="I146" s="8"/>
      <c r="J146" s="8"/>
      <c r="K146" s="8" t="str">
        <f>IF(OR(J146="",E146=""),"",J146+IFERROR(VLOOKUP(E146,リードタイム!$A$2:$C$9,3,FALSE),0))</f>
        <v/>
      </c>
      <c r="L146" s="5" t="s">
        <v>531</v>
      </c>
      <c r="M146" s="8"/>
      <c r="N146" s="8" t="str">
        <f>IF(OR(M146="",E146=""),"",M146+IFERROR(VLOOKUP(E146,リードタイム!$A$2:$D$9,4,FALSE),0))</f>
        <v/>
      </c>
      <c r="O146" s="5" t="s">
        <v>531</v>
      </c>
      <c r="P146" s="5" t="s">
        <v>533</v>
      </c>
      <c r="Q146" s="5" t="s">
        <v>209</v>
      </c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  <c r="FS146" s="30"/>
      <c r="FT146" s="30"/>
      <c r="FU146" s="30"/>
      <c r="FV146" s="30"/>
      <c r="FW146" s="30"/>
      <c r="FX146" s="30"/>
      <c r="FY146" s="30"/>
      <c r="FZ146" s="30"/>
      <c r="GA146" s="30"/>
      <c r="GB146" s="30"/>
      <c r="GC146" s="30"/>
      <c r="GD146" s="30"/>
      <c r="GE146" s="30"/>
      <c r="GF146" s="30"/>
      <c r="GG146" s="30"/>
      <c r="GH146" s="30"/>
      <c r="GI146" s="30"/>
      <c r="GJ146" s="30"/>
      <c r="GK146" s="30"/>
      <c r="GL146" s="30"/>
      <c r="GM146" s="30"/>
      <c r="GN146" s="30"/>
      <c r="GO146" s="30"/>
      <c r="GP146" s="30"/>
      <c r="GQ146" s="30"/>
      <c r="GR146" s="30"/>
      <c r="GS146" s="30"/>
      <c r="GT146" s="30"/>
      <c r="GU146" s="30"/>
      <c r="GV146" s="30"/>
      <c r="GW146" s="30"/>
      <c r="GX146" s="30"/>
      <c r="GY146" s="30"/>
      <c r="GZ146" s="30"/>
      <c r="HA146" s="30"/>
      <c r="HB146" s="30"/>
      <c r="HC146" s="30"/>
      <c r="HD146" s="30"/>
      <c r="HE146" s="30"/>
      <c r="HF146" s="30"/>
      <c r="HG146" s="30"/>
      <c r="HH146" s="30"/>
      <c r="HI146" s="30"/>
      <c r="HJ146" s="30"/>
      <c r="HK146" s="30"/>
      <c r="HL146" s="30"/>
      <c r="HM146" s="30"/>
      <c r="HN146" s="30"/>
      <c r="HO146" s="30"/>
      <c r="HP146" s="30"/>
      <c r="HQ146" s="30"/>
      <c r="HR146" s="30"/>
      <c r="HS146" s="30"/>
      <c r="HT146" s="30"/>
      <c r="HU146" s="30"/>
      <c r="HV146" s="30"/>
      <c r="HW146" s="30"/>
      <c r="HX146" s="30"/>
      <c r="HY146" s="30"/>
      <c r="HZ146" s="30"/>
      <c r="IA146" s="30"/>
      <c r="IB146" s="30"/>
      <c r="IC146" s="30"/>
      <c r="ID146" s="30"/>
      <c r="IE146" s="30"/>
      <c r="IF146" s="30"/>
      <c r="IG146" s="30"/>
      <c r="IH146" s="30"/>
      <c r="II146" s="30"/>
      <c r="IJ146" s="30"/>
      <c r="IK146" s="30"/>
      <c r="IL146" s="30"/>
      <c r="IM146" s="30"/>
      <c r="IN146" s="30"/>
      <c r="IO146" s="30"/>
      <c r="IP146" s="30"/>
      <c r="IQ146" s="30"/>
      <c r="IR146" s="30"/>
      <c r="IS146" s="30"/>
      <c r="IT146" s="30"/>
      <c r="IU146" s="30"/>
      <c r="IV146" s="30"/>
      <c r="IW146" s="30"/>
      <c r="IX146" s="30"/>
      <c r="IY146" s="30"/>
      <c r="IZ146" s="30"/>
      <c r="JA146" s="30"/>
      <c r="JB146" s="30"/>
      <c r="JC146" s="30"/>
      <c r="JD146" s="30"/>
      <c r="JE146" s="30"/>
      <c r="JF146" s="30"/>
      <c r="JG146" s="30"/>
      <c r="JH146" s="30"/>
      <c r="JI146" s="30"/>
      <c r="JJ146" s="30"/>
      <c r="JK146" s="30"/>
      <c r="JL146" s="30"/>
      <c r="JM146" s="30"/>
      <c r="JN146" s="30"/>
      <c r="JO146" s="30"/>
      <c r="JP146" s="30"/>
      <c r="JQ146" s="30"/>
      <c r="JR146" s="30"/>
      <c r="JS146" s="30"/>
      <c r="JT146" s="30"/>
      <c r="JU146" s="30"/>
      <c r="JV146" s="30"/>
      <c r="JW146" s="30"/>
      <c r="JX146" s="30"/>
      <c r="JY146" s="30"/>
      <c r="JZ146" s="30"/>
      <c r="KA146" s="30"/>
      <c r="KB146" s="30"/>
      <c r="KC146" s="30"/>
      <c r="KD146" s="30"/>
      <c r="KE146" s="30"/>
      <c r="KF146" s="30"/>
      <c r="KG146" s="30"/>
      <c r="KH146" s="30"/>
      <c r="KI146" s="30"/>
      <c r="KJ146" s="30"/>
      <c r="KK146" s="30"/>
      <c r="KL146" s="30"/>
      <c r="KM146" s="30"/>
      <c r="KN146" s="30"/>
      <c r="KO146" s="30"/>
      <c r="KP146" s="30"/>
      <c r="KQ146" s="30"/>
      <c r="KR146" s="30"/>
      <c r="KS146" s="30"/>
      <c r="KT146" s="30"/>
      <c r="KU146" s="30"/>
      <c r="KV146" s="30"/>
      <c r="KW146" s="30"/>
      <c r="KX146" s="30"/>
      <c r="KY146" s="30"/>
      <c r="KZ146" s="30"/>
      <c r="LA146" s="30"/>
      <c r="LB146" s="30"/>
      <c r="LC146" s="30"/>
      <c r="LD146" s="30"/>
      <c r="LE146" s="30"/>
      <c r="LF146" s="30"/>
      <c r="LG146" s="30"/>
      <c r="LH146" s="30"/>
      <c r="LI146" s="30"/>
      <c r="LJ146" s="30"/>
      <c r="LK146" s="30"/>
      <c r="LL146" s="30"/>
      <c r="LM146" s="30"/>
      <c r="LN146" s="30"/>
      <c r="LO146" s="30"/>
      <c r="LP146" s="30"/>
      <c r="LQ146" s="30"/>
      <c r="LR146" s="30"/>
      <c r="LS146" s="30"/>
      <c r="LT146" s="30"/>
      <c r="LU146" s="30"/>
      <c r="LV146" s="30"/>
      <c r="LW146" s="30"/>
      <c r="LX146" s="30"/>
      <c r="LY146" s="30"/>
      <c r="LZ146" s="30"/>
      <c r="MA146" s="30"/>
      <c r="MB146" s="30"/>
      <c r="MC146" s="30"/>
      <c r="MD146" s="30"/>
      <c r="ME146" s="30"/>
      <c r="MF146" s="30"/>
      <c r="MG146" s="30"/>
      <c r="MH146" s="30"/>
      <c r="MI146" s="30"/>
      <c r="MJ146" s="30"/>
      <c r="MK146" s="30"/>
      <c r="ML146" s="30"/>
      <c r="MM146" s="30"/>
      <c r="MN146" s="30"/>
      <c r="MO146" s="30"/>
      <c r="MP146" s="30"/>
      <c r="MQ146" s="30"/>
      <c r="MR146" s="30"/>
      <c r="MS146" s="30"/>
      <c r="MT146" s="30"/>
      <c r="MU146" s="30"/>
      <c r="MV146" s="30"/>
      <c r="MW146" s="30"/>
      <c r="MX146" s="30"/>
      <c r="MY146" s="30"/>
      <c r="MZ146" s="30"/>
      <c r="NA146" s="30"/>
      <c r="NB146" s="30"/>
      <c r="NC146" s="30"/>
      <c r="ND146" s="30"/>
      <c r="NE146" s="30"/>
      <c r="NF146" s="30"/>
      <c r="NG146" s="30"/>
      <c r="NH146" s="30"/>
      <c r="NI146" s="30"/>
      <c r="NJ146" s="30"/>
      <c r="NK146" s="30"/>
      <c r="NL146" s="30"/>
      <c r="NM146" s="30"/>
      <c r="NN146" s="30"/>
      <c r="NO146" s="30"/>
      <c r="NP146" s="30"/>
      <c r="NQ146" s="30"/>
      <c r="NR146" s="30"/>
    </row>
    <row r="147" spans="1:382" s="3" customFormat="1" ht="20.100000000000001" customHeight="1" x14ac:dyDescent="0.4">
      <c r="A147" s="29">
        <v>1</v>
      </c>
      <c r="B147" s="5">
        <v>1932</v>
      </c>
      <c r="C147" s="5" t="s">
        <v>210</v>
      </c>
      <c r="D147" s="5" t="s">
        <v>211</v>
      </c>
      <c r="E147" s="5" t="s">
        <v>14</v>
      </c>
      <c r="F147" s="5" t="s">
        <v>32</v>
      </c>
      <c r="G147" s="5" t="s">
        <v>32</v>
      </c>
      <c r="H147" s="5" t="s">
        <v>32</v>
      </c>
      <c r="I147" s="8">
        <v>45980.625</v>
      </c>
      <c r="J147" s="8"/>
      <c r="K147" s="8" t="str">
        <f>IF(OR(J147="",E147=""),"",J147+IFERROR(VLOOKUP(E147,リードタイム!$A$2:$C$9,3,FALSE),0))</f>
        <v/>
      </c>
      <c r="L147" s="5" t="s">
        <v>531</v>
      </c>
      <c r="M147" s="8"/>
      <c r="N147" s="8" t="str">
        <f>IF(OR(M147="",E147=""),"",M147+IFERROR(VLOOKUP(E147,リードタイム!$A$2:$D$9,4,FALSE),0))</f>
        <v/>
      </c>
      <c r="O147" s="5" t="s">
        <v>531</v>
      </c>
      <c r="P147" s="5" t="s">
        <v>532</v>
      </c>
      <c r="Q147" s="5" t="s">
        <v>32</v>
      </c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  <c r="FS147" s="30"/>
      <c r="FT147" s="30"/>
      <c r="FU147" s="30"/>
      <c r="FV147" s="30"/>
      <c r="FW147" s="30"/>
      <c r="FX147" s="30"/>
      <c r="FY147" s="30"/>
      <c r="FZ147" s="30"/>
      <c r="GA147" s="30"/>
      <c r="GB147" s="30"/>
      <c r="GC147" s="30"/>
      <c r="GD147" s="30"/>
      <c r="GE147" s="30"/>
      <c r="GF147" s="30"/>
      <c r="GG147" s="30"/>
      <c r="GH147" s="30"/>
      <c r="GI147" s="30"/>
      <c r="GJ147" s="30"/>
      <c r="GK147" s="30"/>
      <c r="GL147" s="30"/>
      <c r="GM147" s="30"/>
      <c r="GN147" s="30"/>
      <c r="GO147" s="30"/>
      <c r="GP147" s="30"/>
      <c r="GQ147" s="30"/>
      <c r="GR147" s="30"/>
      <c r="GS147" s="30"/>
      <c r="GT147" s="30"/>
      <c r="GU147" s="30"/>
      <c r="GV147" s="30"/>
      <c r="GW147" s="30"/>
      <c r="GX147" s="30"/>
      <c r="GY147" s="30"/>
      <c r="GZ147" s="30"/>
      <c r="HA147" s="30"/>
      <c r="HB147" s="30"/>
      <c r="HC147" s="30"/>
      <c r="HD147" s="30"/>
      <c r="HE147" s="30"/>
      <c r="HF147" s="30"/>
      <c r="HG147" s="30"/>
      <c r="HH147" s="30"/>
      <c r="HI147" s="30"/>
      <c r="HJ147" s="30"/>
      <c r="HK147" s="30"/>
      <c r="HL147" s="30"/>
      <c r="HM147" s="30"/>
      <c r="HN147" s="30"/>
      <c r="HO147" s="30"/>
      <c r="HP147" s="30"/>
      <c r="HQ147" s="30"/>
      <c r="HR147" s="30"/>
      <c r="HS147" s="30"/>
      <c r="HT147" s="30"/>
      <c r="HU147" s="30"/>
      <c r="HV147" s="30"/>
      <c r="HW147" s="30"/>
      <c r="HX147" s="30"/>
      <c r="HY147" s="30"/>
      <c r="HZ147" s="30"/>
      <c r="IA147" s="30"/>
      <c r="IB147" s="30"/>
      <c r="IC147" s="30"/>
      <c r="ID147" s="30"/>
      <c r="IE147" s="30"/>
      <c r="IF147" s="30"/>
      <c r="IG147" s="30"/>
      <c r="IH147" s="30"/>
      <c r="II147" s="30"/>
      <c r="IJ147" s="30"/>
      <c r="IK147" s="30"/>
      <c r="IL147" s="30"/>
      <c r="IM147" s="30"/>
      <c r="IN147" s="30"/>
      <c r="IO147" s="30"/>
      <c r="IP147" s="30"/>
      <c r="IQ147" s="30"/>
      <c r="IR147" s="30"/>
      <c r="IS147" s="30"/>
      <c r="IT147" s="30"/>
      <c r="IU147" s="30"/>
      <c r="IV147" s="30"/>
      <c r="IW147" s="30"/>
      <c r="IX147" s="30"/>
      <c r="IY147" s="30"/>
      <c r="IZ147" s="30"/>
      <c r="JA147" s="30"/>
      <c r="JB147" s="30"/>
      <c r="JC147" s="30"/>
      <c r="JD147" s="30"/>
      <c r="JE147" s="30"/>
      <c r="JF147" s="30"/>
      <c r="JG147" s="30"/>
      <c r="JH147" s="30"/>
      <c r="JI147" s="30"/>
      <c r="JJ147" s="30"/>
      <c r="JK147" s="30"/>
      <c r="JL147" s="30"/>
      <c r="JM147" s="30"/>
      <c r="JN147" s="30"/>
      <c r="JO147" s="30"/>
      <c r="JP147" s="30"/>
      <c r="JQ147" s="30"/>
      <c r="JR147" s="30"/>
      <c r="JS147" s="30"/>
      <c r="JT147" s="30"/>
      <c r="JU147" s="30"/>
      <c r="JV147" s="30"/>
      <c r="JW147" s="30"/>
      <c r="JX147" s="30"/>
      <c r="JY147" s="30"/>
      <c r="JZ147" s="30"/>
      <c r="KA147" s="30"/>
      <c r="KB147" s="30"/>
      <c r="KC147" s="30"/>
      <c r="KD147" s="30"/>
      <c r="KE147" s="30"/>
      <c r="KF147" s="30"/>
      <c r="KG147" s="30"/>
      <c r="KH147" s="30"/>
      <c r="KI147" s="30"/>
      <c r="KJ147" s="30"/>
      <c r="KK147" s="30"/>
      <c r="KL147" s="30"/>
      <c r="KM147" s="30"/>
      <c r="KN147" s="30"/>
      <c r="KO147" s="30"/>
      <c r="KP147" s="30"/>
      <c r="KQ147" s="30"/>
      <c r="KR147" s="30"/>
      <c r="KS147" s="30"/>
      <c r="KT147" s="30"/>
      <c r="KU147" s="30"/>
      <c r="KV147" s="30"/>
      <c r="KW147" s="30"/>
      <c r="KX147" s="30"/>
      <c r="KY147" s="30"/>
      <c r="KZ147" s="30"/>
      <c r="LA147" s="30"/>
      <c r="LB147" s="30"/>
      <c r="LC147" s="30"/>
      <c r="LD147" s="30"/>
      <c r="LE147" s="30"/>
      <c r="LF147" s="30"/>
      <c r="LG147" s="30"/>
      <c r="LH147" s="30"/>
      <c r="LI147" s="30"/>
      <c r="LJ147" s="30"/>
      <c r="LK147" s="30"/>
      <c r="LL147" s="30"/>
      <c r="LM147" s="30"/>
      <c r="LN147" s="30"/>
      <c r="LO147" s="30"/>
      <c r="LP147" s="30"/>
      <c r="LQ147" s="30"/>
      <c r="LR147" s="30"/>
      <c r="LS147" s="30"/>
      <c r="LT147" s="30"/>
      <c r="LU147" s="30"/>
      <c r="LV147" s="30"/>
      <c r="LW147" s="30"/>
      <c r="LX147" s="30"/>
      <c r="LY147" s="30"/>
      <c r="LZ147" s="30"/>
      <c r="MA147" s="30"/>
      <c r="MB147" s="30"/>
      <c r="MC147" s="30"/>
      <c r="MD147" s="30"/>
      <c r="ME147" s="30"/>
      <c r="MF147" s="30"/>
      <c r="MG147" s="30"/>
      <c r="MH147" s="30"/>
      <c r="MI147" s="30"/>
      <c r="MJ147" s="30"/>
      <c r="MK147" s="30"/>
      <c r="ML147" s="30"/>
      <c r="MM147" s="30"/>
      <c r="MN147" s="30"/>
      <c r="MO147" s="30"/>
      <c r="MP147" s="30"/>
      <c r="MQ147" s="30"/>
      <c r="MR147" s="30"/>
      <c r="MS147" s="30"/>
      <c r="MT147" s="30"/>
      <c r="MU147" s="30"/>
      <c r="MV147" s="30"/>
      <c r="MW147" s="30"/>
      <c r="MX147" s="30"/>
      <c r="MY147" s="30"/>
      <c r="MZ147" s="30"/>
      <c r="NA147" s="30"/>
      <c r="NB147" s="30"/>
      <c r="NC147" s="30"/>
      <c r="ND147" s="30"/>
      <c r="NE147" s="30"/>
      <c r="NF147" s="30"/>
      <c r="NG147" s="30"/>
      <c r="NH147" s="30"/>
      <c r="NI147" s="30"/>
      <c r="NJ147" s="30"/>
      <c r="NK147" s="30"/>
      <c r="NL147" s="30"/>
      <c r="NM147" s="30"/>
      <c r="NN147" s="30"/>
      <c r="NO147" s="30"/>
      <c r="NP147" s="30"/>
      <c r="NQ147" s="30"/>
      <c r="NR147" s="30"/>
    </row>
    <row r="148" spans="1:382" s="3" customFormat="1" ht="20.100000000000001" customHeight="1" x14ac:dyDescent="0.4">
      <c r="A148" s="29">
        <v>2</v>
      </c>
      <c r="B148" s="5">
        <v>1943</v>
      </c>
      <c r="C148" s="5" t="s">
        <v>210</v>
      </c>
      <c r="D148" s="5" t="s">
        <v>212</v>
      </c>
      <c r="E148" s="5" t="s">
        <v>18</v>
      </c>
      <c r="F148" s="5" t="s">
        <v>32</v>
      </c>
      <c r="G148" s="5" t="s">
        <v>32</v>
      </c>
      <c r="H148" s="5" t="s">
        <v>32</v>
      </c>
      <c r="I148" s="8"/>
      <c r="J148" s="8"/>
      <c r="K148" s="8" t="str">
        <f>IF(OR(J148="",E148=""),"",J148+IFERROR(VLOOKUP(E148,リードタイム!$A$2:$C$9,3,FALSE),0))</f>
        <v/>
      </c>
      <c r="L148" s="5" t="s">
        <v>531</v>
      </c>
      <c r="M148" s="8"/>
      <c r="N148" s="8" t="str">
        <f>IF(OR(M148="",E148=""),"",M148+IFERROR(VLOOKUP(E148,リードタイム!$A$2:$D$9,4,FALSE),0))</f>
        <v/>
      </c>
      <c r="O148" s="5" t="s">
        <v>531</v>
      </c>
      <c r="P148" s="5" t="s">
        <v>533</v>
      </c>
      <c r="Q148" s="5" t="s">
        <v>32</v>
      </c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30"/>
      <c r="GT148" s="30"/>
      <c r="GU148" s="30"/>
      <c r="GV148" s="30"/>
      <c r="GW148" s="30"/>
      <c r="GX148" s="30"/>
      <c r="GY148" s="30"/>
      <c r="GZ148" s="30"/>
      <c r="HA148" s="30"/>
      <c r="HB148" s="30"/>
      <c r="HC148" s="30"/>
      <c r="HD148" s="30"/>
      <c r="HE148" s="30"/>
      <c r="HF148" s="30"/>
      <c r="HG148" s="30"/>
      <c r="HH148" s="30"/>
      <c r="HI148" s="30"/>
      <c r="HJ148" s="30"/>
      <c r="HK148" s="30"/>
      <c r="HL148" s="30"/>
      <c r="HM148" s="30"/>
      <c r="HN148" s="30"/>
      <c r="HO148" s="30"/>
      <c r="HP148" s="30"/>
      <c r="HQ148" s="30"/>
      <c r="HR148" s="30"/>
      <c r="HS148" s="30"/>
      <c r="HT148" s="30"/>
      <c r="HU148" s="30"/>
      <c r="HV148" s="30"/>
      <c r="HW148" s="30"/>
      <c r="HX148" s="30"/>
      <c r="HY148" s="30"/>
      <c r="HZ148" s="30"/>
      <c r="IA148" s="30"/>
      <c r="IB148" s="30"/>
      <c r="IC148" s="30"/>
      <c r="ID148" s="30"/>
      <c r="IE148" s="30"/>
      <c r="IF148" s="30"/>
      <c r="IG148" s="30"/>
      <c r="IH148" s="30"/>
      <c r="II148" s="30"/>
      <c r="IJ148" s="30"/>
      <c r="IK148" s="30"/>
      <c r="IL148" s="30"/>
      <c r="IM148" s="30"/>
      <c r="IN148" s="30"/>
      <c r="IO148" s="30"/>
      <c r="IP148" s="30"/>
      <c r="IQ148" s="30"/>
      <c r="IR148" s="30"/>
      <c r="IS148" s="30"/>
      <c r="IT148" s="30"/>
      <c r="IU148" s="30"/>
      <c r="IV148" s="30"/>
      <c r="IW148" s="30"/>
      <c r="IX148" s="30"/>
      <c r="IY148" s="30"/>
      <c r="IZ148" s="30"/>
      <c r="JA148" s="30"/>
      <c r="JB148" s="30"/>
      <c r="JC148" s="30"/>
      <c r="JD148" s="30"/>
      <c r="JE148" s="30"/>
      <c r="JF148" s="30"/>
      <c r="JG148" s="30"/>
      <c r="JH148" s="30"/>
      <c r="JI148" s="30"/>
      <c r="JJ148" s="30"/>
      <c r="JK148" s="30"/>
      <c r="JL148" s="30"/>
      <c r="JM148" s="30"/>
      <c r="JN148" s="30"/>
      <c r="JO148" s="30"/>
      <c r="JP148" s="30"/>
      <c r="JQ148" s="30"/>
      <c r="JR148" s="30"/>
      <c r="JS148" s="30"/>
      <c r="JT148" s="30"/>
      <c r="JU148" s="30"/>
      <c r="JV148" s="30"/>
      <c r="JW148" s="30"/>
      <c r="JX148" s="30"/>
      <c r="JY148" s="30"/>
      <c r="JZ148" s="30"/>
      <c r="KA148" s="30"/>
      <c r="KB148" s="30"/>
      <c r="KC148" s="30"/>
      <c r="KD148" s="30"/>
      <c r="KE148" s="30"/>
      <c r="KF148" s="30"/>
      <c r="KG148" s="30"/>
      <c r="KH148" s="30"/>
      <c r="KI148" s="30"/>
      <c r="KJ148" s="30"/>
      <c r="KK148" s="30"/>
      <c r="KL148" s="30"/>
      <c r="KM148" s="30"/>
      <c r="KN148" s="30"/>
      <c r="KO148" s="30"/>
      <c r="KP148" s="30"/>
      <c r="KQ148" s="30"/>
      <c r="KR148" s="30"/>
      <c r="KS148" s="30"/>
      <c r="KT148" s="30"/>
      <c r="KU148" s="30"/>
      <c r="KV148" s="30"/>
      <c r="KW148" s="30"/>
      <c r="KX148" s="30"/>
      <c r="KY148" s="30"/>
      <c r="KZ148" s="30"/>
      <c r="LA148" s="30"/>
      <c r="LB148" s="30"/>
      <c r="LC148" s="30"/>
      <c r="LD148" s="30"/>
      <c r="LE148" s="30"/>
      <c r="LF148" s="30"/>
      <c r="LG148" s="30"/>
      <c r="LH148" s="30"/>
      <c r="LI148" s="30"/>
      <c r="LJ148" s="30"/>
      <c r="LK148" s="30"/>
      <c r="LL148" s="30"/>
      <c r="LM148" s="30"/>
      <c r="LN148" s="30"/>
      <c r="LO148" s="30"/>
      <c r="LP148" s="30"/>
      <c r="LQ148" s="30"/>
      <c r="LR148" s="30"/>
      <c r="LS148" s="30"/>
      <c r="LT148" s="30"/>
      <c r="LU148" s="30"/>
      <c r="LV148" s="30"/>
      <c r="LW148" s="30"/>
      <c r="LX148" s="30"/>
      <c r="LY148" s="30"/>
      <c r="LZ148" s="30"/>
      <c r="MA148" s="30"/>
      <c r="MB148" s="30"/>
      <c r="MC148" s="30"/>
      <c r="MD148" s="30"/>
      <c r="ME148" s="30"/>
      <c r="MF148" s="30"/>
      <c r="MG148" s="30"/>
      <c r="MH148" s="30"/>
      <c r="MI148" s="30"/>
      <c r="MJ148" s="30"/>
      <c r="MK148" s="30"/>
      <c r="ML148" s="30"/>
      <c r="MM148" s="30"/>
      <c r="MN148" s="30"/>
      <c r="MO148" s="30"/>
      <c r="MP148" s="30"/>
      <c r="MQ148" s="30"/>
      <c r="MR148" s="30"/>
      <c r="MS148" s="30"/>
      <c r="MT148" s="30"/>
      <c r="MU148" s="30"/>
      <c r="MV148" s="30"/>
      <c r="MW148" s="30"/>
      <c r="MX148" s="30"/>
      <c r="MY148" s="30"/>
      <c r="MZ148" s="30"/>
      <c r="NA148" s="30"/>
      <c r="NB148" s="30"/>
      <c r="NC148" s="30"/>
      <c r="ND148" s="30"/>
      <c r="NE148" s="30"/>
      <c r="NF148" s="30"/>
      <c r="NG148" s="30"/>
      <c r="NH148" s="30"/>
      <c r="NI148" s="30"/>
      <c r="NJ148" s="30"/>
      <c r="NK148" s="30"/>
      <c r="NL148" s="30"/>
      <c r="NM148" s="30"/>
      <c r="NN148" s="30"/>
      <c r="NO148" s="30"/>
      <c r="NP148" s="30"/>
      <c r="NQ148" s="30"/>
      <c r="NR148" s="30"/>
    </row>
    <row r="149" spans="1:382" s="3" customFormat="1" ht="20.100000000000001" customHeight="1" x14ac:dyDescent="0.4">
      <c r="A149" s="29">
        <v>3</v>
      </c>
      <c r="B149" s="5">
        <v>1955</v>
      </c>
      <c r="C149" s="5" t="s">
        <v>210</v>
      </c>
      <c r="D149" s="5" t="s">
        <v>62</v>
      </c>
      <c r="E149" s="5" t="s">
        <v>8</v>
      </c>
      <c r="F149" s="5" t="s">
        <v>32</v>
      </c>
      <c r="G149" s="5" t="s">
        <v>32</v>
      </c>
      <c r="H149" s="5" t="s">
        <v>32</v>
      </c>
      <c r="I149" s="8">
        <v>46079.625</v>
      </c>
      <c r="J149" s="8"/>
      <c r="K149" s="8" t="str">
        <f>IF(OR(J149="",E149=""),"",J149+IFERROR(VLOOKUP(E149,リードタイム!$A$2:$C$9,3,FALSE),0))</f>
        <v/>
      </c>
      <c r="L149" s="5" t="s">
        <v>531</v>
      </c>
      <c r="M149" s="8"/>
      <c r="N149" s="8" t="str">
        <f>IF(OR(M149="",E149=""),"",M149+IFERROR(VLOOKUP(E149,リードタイム!$A$2:$D$9,4,FALSE),0))</f>
        <v/>
      </c>
      <c r="O149" s="5" t="s">
        <v>531</v>
      </c>
      <c r="P149" s="5" t="s">
        <v>533</v>
      </c>
      <c r="Q149" s="5" t="s">
        <v>32</v>
      </c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  <c r="FS149" s="30"/>
      <c r="FT149" s="30"/>
      <c r="FU149" s="30"/>
      <c r="FV149" s="30"/>
      <c r="FW149" s="30"/>
      <c r="FX149" s="30"/>
      <c r="FY149" s="30"/>
      <c r="FZ149" s="30"/>
      <c r="GA149" s="30"/>
      <c r="GB149" s="30"/>
      <c r="GC149" s="30"/>
      <c r="GD149" s="30"/>
      <c r="GE149" s="30"/>
      <c r="GF149" s="30"/>
      <c r="GG149" s="30"/>
      <c r="GH149" s="30"/>
      <c r="GI149" s="30"/>
      <c r="GJ149" s="30"/>
      <c r="GK149" s="30"/>
      <c r="GL149" s="30"/>
      <c r="GM149" s="30"/>
      <c r="GN149" s="30"/>
      <c r="GO149" s="30"/>
      <c r="GP149" s="30"/>
      <c r="GQ149" s="30"/>
      <c r="GR149" s="30"/>
      <c r="GS149" s="30"/>
      <c r="GT149" s="30"/>
      <c r="GU149" s="30"/>
      <c r="GV149" s="30"/>
      <c r="GW149" s="30"/>
      <c r="GX149" s="30"/>
      <c r="GY149" s="30"/>
      <c r="GZ149" s="30"/>
      <c r="HA149" s="30"/>
      <c r="HB149" s="30"/>
      <c r="HC149" s="30"/>
      <c r="HD149" s="30"/>
      <c r="HE149" s="30"/>
      <c r="HF149" s="30"/>
      <c r="HG149" s="30"/>
      <c r="HH149" s="30"/>
      <c r="HI149" s="30"/>
      <c r="HJ149" s="30"/>
      <c r="HK149" s="30"/>
      <c r="HL149" s="30"/>
      <c r="HM149" s="30"/>
      <c r="HN149" s="30"/>
      <c r="HO149" s="30"/>
      <c r="HP149" s="30"/>
      <c r="HQ149" s="30"/>
      <c r="HR149" s="30"/>
      <c r="HS149" s="30"/>
      <c r="HT149" s="30"/>
      <c r="HU149" s="30"/>
      <c r="HV149" s="30"/>
      <c r="HW149" s="30"/>
      <c r="HX149" s="30"/>
      <c r="HY149" s="30"/>
      <c r="HZ149" s="30"/>
      <c r="IA149" s="30"/>
      <c r="IB149" s="30"/>
      <c r="IC149" s="30"/>
      <c r="ID149" s="30"/>
      <c r="IE149" s="30"/>
      <c r="IF149" s="30"/>
      <c r="IG149" s="30"/>
      <c r="IH149" s="30"/>
      <c r="II149" s="30"/>
      <c r="IJ149" s="30"/>
      <c r="IK149" s="30"/>
      <c r="IL149" s="30"/>
      <c r="IM149" s="30"/>
      <c r="IN149" s="30"/>
      <c r="IO149" s="30"/>
      <c r="IP149" s="30"/>
      <c r="IQ149" s="30"/>
      <c r="IR149" s="30"/>
      <c r="IS149" s="30"/>
      <c r="IT149" s="30"/>
      <c r="IU149" s="30"/>
      <c r="IV149" s="30"/>
      <c r="IW149" s="30"/>
      <c r="IX149" s="30"/>
      <c r="IY149" s="30"/>
      <c r="IZ149" s="30"/>
      <c r="JA149" s="30"/>
      <c r="JB149" s="30"/>
      <c r="JC149" s="30"/>
      <c r="JD149" s="30"/>
      <c r="JE149" s="30"/>
      <c r="JF149" s="30"/>
      <c r="JG149" s="30"/>
      <c r="JH149" s="30"/>
      <c r="JI149" s="30"/>
      <c r="JJ149" s="30"/>
      <c r="JK149" s="30"/>
      <c r="JL149" s="30"/>
      <c r="JM149" s="30"/>
      <c r="JN149" s="30"/>
      <c r="JO149" s="30"/>
      <c r="JP149" s="30"/>
      <c r="JQ149" s="30"/>
      <c r="JR149" s="30"/>
      <c r="JS149" s="30"/>
      <c r="JT149" s="30"/>
      <c r="JU149" s="30"/>
      <c r="JV149" s="30"/>
      <c r="JW149" s="30"/>
      <c r="JX149" s="30"/>
      <c r="JY149" s="30"/>
      <c r="JZ149" s="30"/>
      <c r="KA149" s="30"/>
      <c r="KB149" s="30"/>
      <c r="KC149" s="30"/>
      <c r="KD149" s="30"/>
      <c r="KE149" s="30"/>
      <c r="KF149" s="30"/>
      <c r="KG149" s="30"/>
      <c r="KH149" s="30"/>
      <c r="KI149" s="30"/>
      <c r="KJ149" s="30"/>
      <c r="KK149" s="30"/>
      <c r="KL149" s="30"/>
      <c r="KM149" s="30"/>
      <c r="KN149" s="30"/>
      <c r="KO149" s="30"/>
      <c r="KP149" s="30"/>
      <c r="KQ149" s="30"/>
      <c r="KR149" s="30"/>
      <c r="KS149" s="30"/>
      <c r="KT149" s="30"/>
      <c r="KU149" s="30"/>
      <c r="KV149" s="30"/>
      <c r="KW149" s="30"/>
      <c r="KX149" s="30"/>
      <c r="KY149" s="30"/>
      <c r="KZ149" s="30"/>
      <c r="LA149" s="30"/>
      <c r="LB149" s="30"/>
      <c r="LC149" s="30"/>
      <c r="LD149" s="30"/>
      <c r="LE149" s="30"/>
      <c r="LF149" s="30"/>
      <c r="LG149" s="30"/>
      <c r="LH149" s="30"/>
      <c r="LI149" s="30"/>
      <c r="LJ149" s="30"/>
      <c r="LK149" s="30"/>
      <c r="LL149" s="30"/>
      <c r="LM149" s="30"/>
      <c r="LN149" s="30"/>
      <c r="LO149" s="30"/>
      <c r="LP149" s="30"/>
      <c r="LQ149" s="30"/>
      <c r="LR149" s="30"/>
      <c r="LS149" s="30"/>
      <c r="LT149" s="30"/>
      <c r="LU149" s="30"/>
      <c r="LV149" s="30"/>
      <c r="LW149" s="30"/>
      <c r="LX149" s="30"/>
      <c r="LY149" s="30"/>
      <c r="LZ149" s="30"/>
      <c r="MA149" s="30"/>
      <c r="MB149" s="30"/>
      <c r="MC149" s="30"/>
      <c r="MD149" s="30"/>
      <c r="ME149" s="30"/>
      <c r="MF149" s="30"/>
      <c r="MG149" s="30"/>
      <c r="MH149" s="30"/>
      <c r="MI149" s="30"/>
      <c r="MJ149" s="30"/>
      <c r="MK149" s="30"/>
      <c r="ML149" s="30"/>
      <c r="MM149" s="30"/>
      <c r="MN149" s="30"/>
      <c r="MO149" s="30"/>
      <c r="MP149" s="30"/>
      <c r="MQ149" s="30"/>
      <c r="MR149" s="30"/>
      <c r="MS149" s="30"/>
      <c r="MT149" s="30"/>
      <c r="MU149" s="30"/>
      <c r="MV149" s="30"/>
      <c r="MW149" s="30"/>
      <c r="MX149" s="30"/>
      <c r="MY149" s="30"/>
      <c r="MZ149" s="30"/>
      <c r="NA149" s="30"/>
      <c r="NB149" s="30"/>
      <c r="NC149" s="30"/>
      <c r="ND149" s="30"/>
      <c r="NE149" s="30"/>
      <c r="NF149" s="30"/>
      <c r="NG149" s="30"/>
      <c r="NH149" s="30"/>
      <c r="NI149" s="30"/>
      <c r="NJ149" s="30"/>
      <c r="NK149" s="30"/>
      <c r="NL149" s="30"/>
      <c r="NM149" s="30"/>
      <c r="NN149" s="30"/>
      <c r="NO149" s="30"/>
      <c r="NP149" s="30"/>
      <c r="NQ149" s="30"/>
      <c r="NR149" s="30"/>
    </row>
    <row r="150" spans="1:382" s="3" customFormat="1" ht="20.100000000000001" customHeight="1" x14ac:dyDescent="0.4">
      <c r="A150" s="29">
        <v>4</v>
      </c>
      <c r="B150" s="5">
        <v>1943</v>
      </c>
      <c r="C150" s="5" t="s">
        <v>210</v>
      </c>
      <c r="D150" s="5" t="s">
        <v>179</v>
      </c>
      <c r="E150" s="5" t="s">
        <v>18</v>
      </c>
      <c r="F150" s="5" t="s">
        <v>32</v>
      </c>
      <c r="G150" s="5" t="s">
        <v>32</v>
      </c>
      <c r="H150" s="5" t="s">
        <v>32</v>
      </c>
      <c r="I150" s="8"/>
      <c r="J150" s="8"/>
      <c r="K150" s="8" t="str">
        <f>IF(OR(J150="",E150=""),"",J150+IFERROR(VLOOKUP(E150,リードタイム!$A$2:$C$9,3,FALSE),0))</f>
        <v/>
      </c>
      <c r="L150" s="5" t="s">
        <v>530</v>
      </c>
      <c r="M150" s="8"/>
      <c r="N150" s="8" t="str">
        <f>IF(OR(M150="",E150=""),"",M150+IFERROR(VLOOKUP(E150,リードタイム!$A$2:$D$9,4,FALSE),0))</f>
        <v/>
      </c>
      <c r="O150" s="5" t="s">
        <v>530</v>
      </c>
      <c r="P150" s="5" t="s">
        <v>530</v>
      </c>
      <c r="Q150" s="5" t="s">
        <v>214</v>
      </c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  <c r="FS150" s="30"/>
      <c r="FT150" s="30"/>
      <c r="FU150" s="30"/>
      <c r="FV150" s="30"/>
      <c r="FW150" s="30"/>
      <c r="FX150" s="30"/>
      <c r="FY150" s="30"/>
      <c r="FZ150" s="30"/>
      <c r="GA150" s="30"/>
      <c r="GB150" s="30"/>
      <c r="GC150" s="30"/>
      <c r="GD150" s="30"/>
      <c r="GE150" s="30"/>
      <c r="GF150" s="30"/>
      <c r="GG150" s="30"/>
      <c r="GH150" s="30"/>
      <c r="GI150" s="30"/>
      <c r="GJ150" s="30"/>
      <c r="GK150" s="30"/>
      <c r="GL150" s="30"/>
      <c r="GM150" s="30"/>
      <c r="GN150" s="30"/>
      <c r="GO150" s="30"/>
      <c r="GP150" s="30"/>
      <c r="GQ150" s="30"/>
      <c r="GR150" s="30"/>
      <c r="GS150" s="30"/>
      <c r="GT150" s="30"/>
      <c r="GU150" s="30"/>
      <c r="GV150" s="30"/>
      <c r="GW150" s="30"/>
      <c r="GX150" s="30"/>
      <c r="GY150" s="30"/>
      <c r="GZ150" s="30"/>
      <c r="HA150" s="30"/>
      <c r="HB150" s="30"/>
      <c r="HC150" s="30"/>
      <c r="HD150" s="30"/>
      <c r="HE150" s="30"/>
      <c r="HF150" s="30"/>
      <c r="HG150" s="30"/>
      <c r="HH150" s="30"/>
      <c r="HI150" s="30"/>
      <c r="HJ150" s="30"/>
      <c r="HK150" s="30"/>
      <c r="HL150" s="30"/>
      <c r="HM150" s="30"/>
      <c r="HN150" s="30"/>
      <c r="HO150" s="30"/>
      <c r="HP150" s="30"/>
      <c r="HQ150" s="30"/>
      <c r="HR150" s="30"/>
      <c r="HS150" s="30"/>
      <c r="HT150" s="30"/>
      <c r="HU150" s="30"/>
      <c r="HV150" s="30"/>
      <c r="HW150" s="30"/>
      <c r="HX150" s="30"/>
      <c r="HY150" s="30"/>
      <c r="HZ150" s="30"/>
      <c r="IA150" s="30"/>
      <c r="IB150" s="30"/>
      <c r="IC150" s="30"/>
      <c r="ID150" s="30"/>
      <c r="IE150" s="30"/>
      <c r="IF150" s="30"/>
      <c r="IG150" s="30"/>
      <c r="IH150" s="30"/>
      <c r="II150" s="30"/>
      <c r="IJ150" s="30"/>
      <c r="IK150" s="30"/>
      <c r="IL150" s="30"/>
      <c r="IM150" s="30"/>
      <c r="IN150" s="30"/>
      <c r="IO150" s="30"/>
      <c r="IP150" s="30"/>
      <c r="IQ150" s="30"/>
      <c r="IR150" s="30"/>
      <c r="IS150" s="30"/>
      <c r="IT150" s="30"/>
      <c r="IU150" s="30"/>
      <c r="IV150" s="30"/>
      <c r="IW150" s="30"/>
      <c r="IX150" s="30"/>
      <c r="IY150" s="30"/>
      <c r="IZ150" s="30"/>
      <c r="JA150" s="30"/>
      <c r="JB150" s="30"/>
      <c r="JC150" s="30"/>
      <c r="JD150" s="30"/>
      <c r="JE150" s="30"/>
      <c r="JF150" s="30"/>
      <c r="JG150" s="30"/>
      <c r="JH150" s="30"/>
      <c r="JI150" s="30"/>
      <c r="JJ150" s="30"/>
      <c r="JK150" s="30"/>
      <c r="JL150" s="30"/>
      <c r="JM150" s="30"/>
      <c r="JN150" s="30"/>
      <c r="JO150" s="30"/>
      <c r="JP150" s="30"/>
      <c r="JQ150" s="30"/>
      <c r="JR150" s="30"/>
      <c r="JS150" s="30"/>
      <c r="JT150" s="30"/>
      <c r="JU150" s="30"/>
      <c r="JV150" s="30"/>
      <c r="JW150" s="30"/>
      <c r="JX150" s="30"/>
      <c r="JY150" s="30"/>
      <c r="JZ150" s="30"/>
      <c r="KA150" s="30"/>
      <c r="KB150" s="30"/>
      <c r="KC150" s="30"/>
      <c r="KD150" s="30"/>
      <c r="KE150" s="30"/>
      <c r="KF150" s="30"/>
      <c r="KG150" s="30"/>
      <c r="KH150" s="30"/>
      <c r="KI150" s="30"/>
      <c r="KJ150" s="30"/>
      <c r="KK150" s="30"/>
      <c r="KL150" s="30"/>
      <c r="KM150" s="30"/>
      <c r="KN150" s="30"/>
      <c r="KO150" s="30"/>
      <c r="KP150" s="30"/>
      <c r="KQ150" s="30"/>
      <c r="KR150" s="30"/>
      <c r="KS150" s="30"/>
      <c r="KT150" s="30"/>
      <c r="KU150" s="30"/>
      <c r="KV150" s="30"/>
      <c r="KW150" s="30"/>
      <c r="KX150" s="30"/>
      <c r="KY150" s="30"/>
      <c r="KZ150" s="30"/>
      <c r="LA150" s="30"/>
      <c r="LB150" s="30"/>
      <c r="LC150" s="30"/>
      <c r="LD150" s="30"/>
      <c r="LE150" s="30"/>
      <c r="LF150" s="30"/>
      <c r="LG150" s="30"/>
      <c r="LH150" s="30"/>
      <c r="LI150" s="30"/>
      <c r="LJ150" s="30"/>
      <c r="LK150" s="30"/>
      <c r="LL150" s="30"/>
      <c r="LM150" s="30"/>
      <c r="LN150" s="30"/>
      <c r="LO150" s="30"/>
      <c r="LP150" s="30"/>
      <c r="LQ150" s="30"/>
      <c r="LR150" s="30"/>
      <c r="LS150" s="30"/>
      <c r="LT150" s="30"/>
      <c r="LU150" s="30"/>
      <c r="LV150" s="30"/>
      <c r="LW150" s="30"/>
      <c r="LX150" s="30"/>
      <c r="LY150" s="30"/>
      <c r="LZ150" s="30"/>
      <c r="MA150" s="30"/>
      <c r="MB150" s="30"/>
      <c r="MC150" s="30"/>
      <c r="MD150" s="30"/>
      <c r="ME150" s="30"/>
      <c r="MF150" s="30"/>
      <c r="MG150" s="30"/>
      <c r="MH150" s="30"/>
      <c r="MI150" s="30"/>
      <c r="MJ150" s="30"/>
      <c r="MK150" s="30"/>
      <c r="ML150" s="30"/>
      <c r="MM150" s="30"/>
      <c r="MN150" s="30"/>
      <c r="MO150" s="30"/>
      <c r="MP150" s="30"/>
      <c r="MQ150" s="30"/>
      <c r="MR150" s="30"/>
      <c r="MS150" s="30"/>
      <c r="MT150" s="30"/>
      <c r="MU150" s="30"/>
      <c r="MV150" s="30"/>
      <c r="MW150" s="30"/>
      <c r="MX150" s="30"/>
      <c r="MY150" s="30"/>
      <c r="MZ150" s="30"/>
      <c r="NA150" s="30"/>
      <c r="NB150" s="30"/>
      <c r="NC150" s="30"/>
      <c r="ND150" s="30"/>
      <c r="NE150" s="30"/>
      <c r="NF150" s="30"/>
      <c r="NG150" s="30"/>
      <c r="NH150" s="30"/>
      <c r="NI150" s="30"/>
      <c r="NJ150" s="30"/>
      <c r="NK150" s="30"/>
      <c r="NL150" s="30"/>
      <c r="NM150" s="30"/>
      <c r="NN150" s="30"/>
      <c r="NO150" s="30"/>
      <c r="NP150" s="30"/>
      <c r="NQ150" s="30"/>
      <c r="NR150" s="30"/>
    </row>
    <row r="151" spans="1:382" s="3" customFormat="1" ht="20.100000000000001" customHeight="1" x14ac:dyDescent="0.4">
      <c r="A151" s="29">
        <v>5</v>
      </c>
      <c r="B151" s="5">
        <v>1932</v>
      </c>
      <c r="C151" s="5" t="s">
        <v>210</v>
      </c>
      <c r="D151" s="5" t="s">
        <v>177</v>
      </c>
      <c r="E151" s="5" t="s">
        <v>14</v>
      </c>
      <c r="F151" s="5" t="s">
        <v>32</v>
      </c>
      <c r="G151" s="5" t="s">
        <v>32</v>
      </c>
      <c r="H151" s="5" t="s">
        <v>32</v>
      </c>
      <c r="I151" s="8"/>
      <c r="J151" s="8"/>
      <c r="K151" s="8" t="str">
        <f>IF(OR(J151="",E151=""),"",J151+IFERROR(VLOOKUP(E151,リードタイム!$A$2:$C$9,3,FALSE),0))</f>
        <v/>
      </c>
      <c r="L151" s="5" t="s">
        <v>530</v>
      </c>
      <c r="M151" s="8"/>
      <c r="N151" s="8" t="str">
        <f>IF(OR(M151="",E151=""),"",M151+IFERROR(VLOOKUP(E151,リードタイム!$A$2:$D$9,4,FALSE),0))</f>
        <v/>
      </c>
      <c r="O151" s="5" t="s">
        <v>530</v>
      </c>
      <c r="P151" s="5" t="s">
        <v>530</v>
      </c>
      <c r="Q151" s="5" t="s">
        <v>214</v>
      </c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  <c r="FS151" s="30"/>
      <c r="FT151" s="30"/>
      <c r="FU151" s="30"/>
      <c r="FV151" s="30"/>
      <c r="FW151" s="30"/>
      <c r="FX151" s="30"/>
      <c r="FY151" s="30"/>
      <c r="FZ151" s="30"/>
      <c r="GA151" s="30"/>
      <c r="GB151" s="30"/>
      <c r="GC151" s="30"/>
      <c r="GD151" s="30"/>
      <c r="GE151" s="30"/>
      <c r="GF151" s="30"/>
      <c r="GG151" s="30"/>
      <c r="GH151" s="30"/>
      <c r="GI151" s="30"/>
      <c r="GJ151" s="30"/>
      <c r="GK151" s="30"/>
      <c r="GL151" s="30"/>
      <c r="GM151" s="30"/>
      <c r="GN151" s="30"/>
      <c r="GO151" s="30"/>
      <c r="GP151" s="30"/>
      <c r="GQ151" s="30"/>
      <c r="GR151" s="30"/>
      <c r="GS151" s="30"/>
      <c r="GT151" s="30"/>
      <c r="GU151" s="30"/>
      <c r="GV151" s="30"/>
      <c r="GW151" s="30"/>
      <c r="GX151" s="30"/>
      <c r="GY151" s="30"/>
      <c r="GZ151" s="30"/>
      <c r="HA151" s="30"/>
      <c r="HB151" s="30"/>
      <c r="HC151" s="30"/>
      <c r="HD151" s="30"/>
      <c r="HE151" s="30"/>
      <c r="HF151" s="30"/>
      <c r="HG151" s="30"/>
      <c r="HH151" s="30"/>
      <c r="HI151" s="30"/>
      <c r="HJ151" s="30"/>
      <c r="HK151" s="30"/>
      <c r="HL151" s="30"/>
      <c r="HM151" s="30"/>
      <c r="HN151" s="30"/>
      <c r="HO151" s="30"/>
      <c r="HP151" s="30"/>
      <c r="HQ151" s="30"/>
      <c r="HR151" s="30"/>
      <c r="HS151" s="30"/>
      <c r="HT151" s="30"/>
      <c r="HU151" s="30"/>
      <c r="HV151" s="30"/>
      <c r="HW151" s="30"/>
      <c r="HX151" s="30"/>
      <c r="HY151" s="30"/>
      <c r="HZ151" s="30"/>
      <c r="IA151" s="30"/>
      <c r="IB151" s="30"/>
      <c r="IC151" s="30"/>
      <c r="ID151" s="30"/>
      <c r="IE151" s="30"/>
      <c r="IF151" s="30"/>
      <c r="IG151" s="30"/>
      <c r="IH151" s="30"/>
      <c r="II151" s="30"/>
      <c r="IJ151" s="30"/>
      <c r="IK151" s="30"/>
      <c r="IL151" s="30"/>
      <c r="IM151" s="30"/>
      <c r="IN151" s="30"/>
      <c r="IO151" s="30"/>
      <c r="IP151" s="30"/>
      <c r="IQ151" s="30"/>
      <c r="IR151" s="30"/>
      <c r="IS151" s="30"/>
      <c r="IT151" s="30"/>
      <c r="IU151" s="30"/>
      <c r="IV151" s="30"/>
      <c r="IW151" s="30"/>
      <c r="IX151" s="30"/>
      <c r="IY151" s="30"/>
      <c r="IZ151" s="30"/>
      <c r="JA151" s="30"/>
      <c r="JB151" s="30"/>
      <c r="JC151" s="30"/>
      <c r="JD151" s="30"/>
      <c r="JE151" s="30"/>
      <c r="JF151" s="30"/>
      <c r="JG151" s="30"/>
      <c r="JH151" s="30"/>
      <c r="JI151" s="30"/>
      <c r="JJ151" s="30"/>
      <c r="JK151" s="30"/>
      <c r="JL151" s="30"/>
      <c r="JM151" s="30"/>
      <c r="JN151" s="30"/>
      <c r="JO151" s="30"/>
      <c r="JP151" s="30"/>
      <c r="JQ151" s="30"/>
      <c r="JR151" s="30"/>
      <c r="JS151" s="30"/>
      <c r="JT151" s="30"/>
      <c r="JU151" s="30"/>
      <c r="JV151" s="30"/>
      <c r="JW151" s="30"/>
      <c r="JX151" s="30"/>
      <c r="JY151" s="30"/>
      <c r="JZ151" s="30"/>
      <c r="KA151" s="30"/>
      <c r="KB151" s="30"/>
      <c r="KC151" s="30"/>
      <c r="KD151" s="30"/>
      <c r="KE151" s="30"/>
      <c r="KF151" s="30"/>
      <c r="KG151" s="30"/>
      <c r="KH151" s="30"/>
      <c r="KI151" s="30"/>
      <c r="KJ151" s="30"/>
      <c r="KK151" s="30"/>
      <c r="KL151" s="30"/>
      <c r="KM151" s="30"/>
      <c r="KN151" s="30"/>
      <c r="KO151" s="30"/>
      <c r="KP151" s="30"/>
      <c r="KQ151" s="30"/>
      <c r="KR151" s="30"/>
      <c r="KS151" s="30"/>
      <c r="KT151" s="30"/>
      <c r="KU151" s="30"/>
      <c r="KV151" s="30"/>
      <c r="KW151" s="30"/>
      <c r="KX151" s="30"/>
      <c r="KY151" s="30"/>
      <c r="KZ151" s="30"/>
      <c r="LA151" s="30"/>
      <c r="LB151" s="30"/>
      <c r="LC151" s="30"/>
      <c r="LD151" s="30"/>
      <c r="LE151" s="30"/>
      <c r="LF151" s="30"/>
      <c r="LG151" s="30"/>
      <c r="LH151" s="30"/>
      <c r="LI151" s="30"/>
      <c r="LJ151" s="30"/>
      <c r="LK151" s="30"/>
      <c r="LL151" s="30"/>
      <c r="LM151" s="30"/>
      <c r="LN151" s="30"/>
      <c r="LO151" s="30"/>
      <c r="LP151" s="30"/>
      <c r="LQ151" s="30"/>
      <c r="LR151" s="30"/>
      <c r="LS151" s="30"/>
      <c r="LT151" s="30"/>
      <c r="LU151" s="30"/>
      <c r="LV151" s="30"/>
      <c r="LW151" s="30"/>
      <c r="LX151" s="30"/>
      <c r="LY151" s="30"/>
      <c r="LZ151" s="30"/>
      <c r="MA151" s="30"/>
      <c r="MB151" s="30"/>
      <c r="MC151" s="30"/>
      <c r="MD151" s="30"/>
      <c r="ME151" s="30"/>
      <c r="MF151" s="30"/>
      <c r="MG151" s="30"/>
      <c r="MH151" s="30"/>
      <c r="MI151" s="30"/>
      <c r="MJ151" s="30"/>
      <c r="MK151" s="30"/>
      <c r="ML151" s="30"/>
      <c r="MM151" s="30"/>
      <c r="MN151" s="30"/>
      <c r="MO151" s="30"/>
      <c r="MP151" s="30"/>
      <c r="MQ151" s="30"/>
      <c r="MR151" s="30"/>
      <c r="MS151" s="30"/>
      <c r="MT151" s="30"/>
      <c r="MU151" s="30"/>
      <c r="MV151" s="30"/>
      <c r="MW151" s="30"/>
      <c r="MX151" s="30"/>
      <c r="MY151" s="30"/>
      <c r="MZ151" s="30"/>
      <c r="NA151" s="30"/>
      <c r="NB151" s="30"/>
      <c r="NC151" s="30"/>
      <c r="ND151" s="30"/>
      <c r="NE151" s="30"/>
      <c r="NF151" s="30"/>
      <c r="NG151" s="30"/>
      <c r="NH151" s="30"/>
      <c r="NI151" s="30"/>
      <c r="NJ151" s="30"/>
      <c r="NK151" s="30"/>
      <c r="NL151" s="30"/>
      <c r="NM151" s="30"/>
      <c r="NN151" s="30"/>
      <c r="NO151" s="30"/>
      <c r="NP151" s="30"/>
      <c r="NQ151" s="30"/>
      <c r="NR151" s="30"/>
    </row>
    <row r="152" spans="1:382" s="3" customFormat="1" ht="20.100000000000001" customHeight="1" x14ac:dyDescent="0.4">
      <c r="A152" s="29">
        <v>6</v>
      </c>
      <c r="B152" s="5">
        <v>1954</v>
      </c>
      <c r="C152" s="5" t="s">
        <v>210</v>
      </c>
      <c r="D152" s="5" t="s">
        <v>41</v>
      </c>
      <c r="E152" s="5" t="s">
        <v>6</v>
      </c>
      <c r="F152" s="5" t="s">
        <v>32</v>
      </c>
      <c r="G152" s="5" t="s">
        <v>32</v>
      </c>
      <c r="H152" s="5" t="s">
        <v>32</v>
      </c>
      <c r="I152" s="8">
        <v>46065.625</v>
      </c>
      <c r="J152" s="8"/>
      <c r="K152" s="8" t="str">
        <f>IF(OR(J152="",E152=""),"",J152+IFERROR(VLOOKUP(E152,リードタイム!$A$2:$C$9,3,FALSE),0))</f>
        <v/>
      </c>
      <c r="L152" s="5" t="s">
        <v>531</v>
      </c>
      <c r="M152" s="8"/>
      <c r="N152" s="8" t="str">
        <f>IF(OR(M152="",E152=""),"",M152+IFERROR(VLOOKUP(E152,リードタイム!$A$2:$D$9,4,FALSE),0))</f>
        <v/>
      </c>
      <c r="O152" s="5" t="s">
        <v>531</v>
      </c>
      <c r="P152" s="5" t="s">
        <v>532</v>
      </c>
      <c r="Q152" s="5" t="s">
        <v>32</v>
      </c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  <c r="FS152" s="30"/>
      <c r="FT152" s="30"/>
      <c r="FU152" s="30"/>
      <c r="FV152" s="30"/>
      <c r="FW152" s="30"/>
      <c r="FX152" s="30"/>
      <c r="FY152" s="30"/>
      <c r="FZ152" s="30"/>
      <c r="GA152" s="30"/>
      <c r="GB152" s="30"/>
      <c r="GC152" s="30"/>
      <c r="GD152" s="30"/>
      <c r="GE152" s="30"/>
      <c r="GF152" s="30"/>
      <c r="GG152" s="30"/>
      <c r="GH152" s="30"/>
      <c r="GI152" s="30"/>
      <c r="GJ152" s="30"/>
      <c r="GK152" s="30"/>
      <c r="GL152" s="30"/>
      <c r="GM152" s="30"/>
      <c r="GN152" s="30"/>
      <c r="GO152" s="30"/>
      <c r="GP152" s="30"/>
      <c r="GQ152" s="30"/>
      <c r="GR152" s="30"/>
      <c r="GS152" s="30"/>
      <c r="GT152" s="30"/>
      <c r="GU152" s="30"/>
      <c r="GV152" s="30"/>
      <c r="GW152" s="30"/>
      <c r="GX152" s="30"/>
      <c r="GY152" s="30"/>
      <c r="GZ152" s="30"/>
      <c r="HA152" s="30"/>
      <c r="HB152" s="30"/>
      <c r="HC152" s="30"/>
      <c r="HD152" s="30"/>
      <c r="HE152" s="30"/>
      <c r="HF152" s="30"/>
      <c r="HG152" s="30"/>
      <c r="HH152" s="30"/>
      <c r="HI152" s="30"/>
      <c r="HJ152" s="30"/>
      <c r="HK152" s="30"/>
      <c r="HL152" s="30"/>
      <c r="HM152" s="30"/>
      <c r="HN152" s="30"/>
      <c r="HO152" s="30"/>
      <c r="HP152" s="30"/>
      <c r="HQ152" s="30"/>
      <c r="HR152" s="30"/>
      <c r="HS152" s="30"/>
      <c r="HT152" s="30"/>
      <c r="HU152" s="30"/>
      <c r="HV152" s="30"/>
      <c r="HW152" s="30"/>
      <c r="HX152" s="30"/>
      <c r="HY152" s="30"/>
      <c r="HZ152" s="30"/>
      <c r="IA152" s="30"/>
      <c r="IB152" s="30"/>
      <c r="IC152" s="30"/>
      <c r="ID152" s="30"/>
      <c r="IE152" s="30"/>
      <c r="IF152" s="30"/>
      <c r="IG152" s="30"/>
      <c r="IH152" s="30"/>
      <c r="II152" s="30"/>
      <c r="IJ152" s="30"/>
      <c r="IK152" s="30"/>
      <c r="IL152" s="30"/>
      <c r="IM152" s="30"/>
      <c r="IN152" s="30"/>
      <c r="IO152" s="30"/>
      <c r="IP152" s="30"/>
      <c r="IQ152" s="30"/>
      <c r="IR152" s="30"/>
      <c r="IS152" s="30"/>
      <c r="IT152" s="30"/>
      <c r="IU152" s="30"/>
      <c r="IV152" s="30"/>
      <c r="IW152" s="30"/>
      <c r="IX152" s="30"/>
      <c r="IY152" s="30"/>
      <c r="IZ152" s="30"/>
      <c r="JA152" s="30"/>
      <c r="JB152" s="30"/>
      <c r="JC152" s="30"/>
      <c r="JD152" s="30"/>
      <c r="JE152" s="30"/>
      <c r="JF152" s="30"/>
      <c r="JG152" s="30"/>
      <c r="JH152" s="30"/>
      <c r="JI152" s="30"/>
      <c r="JJ152" s="30"/>
      <c r="JK152" s="30"/>
      <c r="JL152" s="30"/>
      <c r="JM152" s="30"/>
      <c r="JN152" s="30"/>
      <c r="JO152" s="30"/>
      <c r="JP152" s="30"/>
      <c r="JQ152" s="30"/>
      <c r="JR152" s="30"/>
      <c r="JS152" s="30"/>
      <c r="JT152" s="30"/>
      <c r="JU152" s="30"/>
      <c r="JV152" s="30"/>
      <c r="JW152" s="30"/>
      <c r="JX152" s="30"/>
      <c r="JY152" s="30"/>
      <c r="JZ152" s="30"/>
      <c r="KA152" s="30"/>
      <c r="KB152" s="30"/>
      <c r="KC152" s="30"/>
      <c r="KD152" s="30"/>
      <c r="KE152" s="30"/>
      <c r="KF152" s="30"/>
      <c r="KG152" s="30"/>
      <c r="KH152" s="30"/>
      <c r="KI152" s="30"/>
      <c r="KJ152" s="30"/>
      <c r="KK152" s="30"/>
      <c r="KL152" s="30"/>
      <c r="KM152" s="30"/>
      <c r="KN152" s="30"/>
      <c r="KO152" s="30"/>
      <c r="KP152" s="30"/>
      <c r="KQ152" s="30"/>
      <c r="KR152" s="30"/>
      <c r="KS152" s="30"/>
      <c r="KT152" s="30"/>
      <c r="KU152" s="30"/>
      <c r="KV152" s="30"/>
      <c r="KW152" s="30"/>
      <c r="KX152" s="30"/>
      <c r="KY152" s="30"/>
      <c r="KZ152" s="30"/>
      <c r="LA152" s="30"/>
      <c r="LB152" s="30"/>
      <c r="LC152" s="30"/>
      <c r="LD152" s="30"/>
      <c r="LE152" s="30"/>
      <c r="LF152" s="30"/>
      <c r="LG152" s="30"/>
      <c r="LH152" s="30"/>
      <c r="LI152" s="30"/>
      <c r="LJ152" s="30"/>
      <c r="LK152" s="30"/>
      <c r="LL152" s="30"/>
      <c r="LM152" s="30"/>
      <c r="LN152" s="30"/>
      <c r="LO152" s="30"/>
      <c r="LP152" s="30"/>
      <c r="LQ152" s="30"/>
      <c r="LR152" s="30"/>
      <c r="LS152" s="30"/>
      <c r="LT152" s="30"/>
      <c r="LU152" s="30"/>
      <c r="LV152" s="30"/>
      <c r="LW152" s="30"/>
      <c r="LX152" s="30"/>
      <c r="LY152" s="30"/>
      <c r="LZ152" s="30"/>
      <c r="MA152" s="30"/>
      <c r="MB152" s="30"/>
      <c r="MC152" s="30"/>
      <c r="MD152" s="30"/>
      <c r="ME152" s="30"/>
      <c r="MF152" s="30"/>
      <c r="MG152" s="30"/>
      <c r="MH152" s="30"/>
      <c r="MI152" s="30"/>
      <c r="MJ152" s="30"/>
      <c r="MK152" s="30"/>
      <c r="ML152" s="30"/>
      <c r="MM152" s="30"/>
      <c r="MN152" s="30"/>
      <c r="MO152" s="30"/>
      <c r="MP152" s="30"/>
      <c r="MQ152" s="30"/>
      <c r="MR152" s="30"/>
      <c r="MS152" s="30"/>
      <c r="MT152" s="30"/>
      <c r="MU152" s="30"/>
      <c r="MV152" s="30"/>
      <c r="MW152" s="30"/>
      <c r="MX152" s="30"/>
      <c r="MY152" s="30"/>
      <c r="MZ152" s="30"/>
      <c r="NA152" s="30"/>
      <c r="NB152" s="30"/>
      <c r="NC152" s="30"/>
      <c r="ND152" s="30"/>
      <c r="NE152" s="30"/>
      <c r="NF152" s="30"/>
      <c r="NG152" s="30"/>
      <c r="NH152" s="30"/>
      <c r="NI152" s="30"/>
      <c r="NJ152" s="30"/>
      <c r="NK152" s="30"/>
      <c r="NL152" s="30"/>
      <c r="NM152" s="30"/>
      <c r="NN152" s="30"/>
      <c r="NO152" s="30"/>
      <c r="NP152" s="30"/>
      <c r="NQ152" s="30"/>
      <c r="NR152" s="30"/>
    </row>
    <row r="153" spans="1:382" s="3" customFormat="1" ht="20.100000000000001" customHeight="1" x14ac:dyDescent="0.4">
      <c r="A153" s="29">
        <v>1</v>
      </c>
      <c r="B153" s="5">
        <v>283</v>
      </c>
      <c r="C153" s="5" t="s">
        <v>215</v>
      </c>
      <c r="D153" s="5" t="s">
        <v>216</v>
      </c>
      <c r="E153" s="5" t="s">
        <v>18</v>
      </c>
      <c r="F153" s="5" t="s">
        <v>32</v>
      </c>
      <c r="G153" s="5" t="s">
        <v>32</v>
      </c>
      <c r="H153" s="5" t="s">
        <v>32</v>
      </c>
      <c r="I153" s="8"/>
      <c r="J153" s="8"/>
      <c r="K153" s="8" t="str">
        <f>IF(OR(J153="",E153=""),"",J153+IFERROR(VLOOKUP(E153,リードタイム!$A$2:$C$9,3,FALSE),0))</f>
        <v/>
      </c>
      <c r="L153" s="5" t="s">
        <v>530</v>
      </c>
      <c r="M153" s="8"/>
      <c r="N153" s="8" t="str">
        <f>IF(OR(M153="",E153=""),"",M153+IFERROR(VLOOKUP(E153,リードタイム!$A$2:$D$9,4,FALSE),0))</f>
        <v/>
      </c>
      <c r="O153" s="5" t="s">
        <v>530</v>
      </c>
      <c r="P153" s="5" t="s">
        <v>530</v>
      </c>
      <c r="Q153" s="5" t="s">
        <v>32</v>
      </c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  <c r="FS153" s="30"/>
      <c r="FT153" s="30"/>
      <c r="FU153" s="30"/>
      <c r="FV153" s="30"/>
      <c r="FW153" s="30"/>
      <c r="FX153" s="30"/>
      <c r="FY153" s="30"/>
      <c r="FZ153" s="30"/>
      <c r="GA153" s="30"/>
      <c r="GB153" s="30"/>
      <c r="GC153" s="30"/>
      <c r="GD153" s="30"/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30"/>
      <c r="GT153" s="30"/>
      <c r="GU153" s="30"/>
      <c r="GV153" s="30"/>
      <c r="GW153" s="30"/>
      <c r="GX153" s="30"/>
      <c r="GY153" s="30"/>
      <c r="GZ153" s="30"/>
      <c r="HA153" s="30"/>
      <c r="HB153" s="30"/>
      <c r="HC153" s="30"/>
      <c r="HD153" s="30"/>
      <c r="HE153" s="30"/>
      <c r="HF153" s="30"/>
      <c r="HG153" s="30"/>
      <c r="HH153" s="30"/>
      <c r="HI153" s="30"/>
      <c r="HJ153" s="30"/>
      <c r="HK153" s="30"/>
      <c r="HL153" s="30"/>
      <c r="HM153" s="30"/>
      <c r="HN153" s="30"/>
      <c r="HO153" s="30"/>
      <c r="HP153" s="30"/>
      <c r="HQ153" s="30"/>
      <c r="HR153" s="30"/>
      <c r="HS153" s="30"/>
      <c r="HT153" s="30"/>
      <c r="HU153" s="30"/>
      <c r="HV153" s="30"/>
      <c r="HW153" s="30"/>
      <c r="HX153" s="30"/>
      <c r="HY153" s="30"/>
      <c r="HZ153" s="30"/>
      <c r="IA153" s="30"/>
      <c r="IB153" s="30"/>
      <c r="IC153" s="30"/>
      <c r="ID153" s="30"/>
      <c r="IE153" s="30"/>
      <c r="IF153" s="30"/>
      <c r="IG153" s="30"/>
      <c r="IH153" s="30"/>
      <c r="II153" s="30"/>
      <c r="IJ153" s="30"/>
      <c r="IK153" s="30"/>
      <c r="IL153" s="30"/>
      <c r="IM153" s="30"/>
      <c r="IN153" s="30"/>
      <c r="IO153" s="30"/>
      <c r="IP153" s="30"/>
      <c r="IQ153" s="30"/>
      <c r="IR153" s="30"/>
      <c r="IS153" s="30"/>
      <c r="IT153" s="30"/>
      <c r="IU153" s="30"/>
      <c r="IV153" s="30"/>
      <c r="IW153" s="30"/>
      <c r="IX153" s="30"/>
      <c r="IY153" s="30"/>
      <c r="IZ153" s="30"/>
      <c r="JA153" s="30"/>
      <c r="JB153" s="30"/>
      <c r="JC153" s="30"/>
      <c r="JD153" s="30"/>
      <c r="JE153" s="30"/>
      <c r="JF153" s="30"/>
      <c r="JG153" s="30"/>
      <c r="JH153" s="30"/>
      <c r="JI153" s="30"/>
      <c r="JJ153" s="30"/>
      <c r="JK153" s="30"/>
      <c r="JL153" s="30"/>
      <c r="JM153" s="30"/>
      <c r="JN153" s="30"/>
      <c r="JO153" s="30"/>
      <c r="JP153" s="30"/>
      <c r="JQ153" s="30"/>
      <c r="JR153" s="30"/>
      <c r="JS153" s="30"/>
      <c r="JT153" s="30"/>
      <c r="JU153" s="30"/>
      <c r="JV153" s="30"/>
      <c r="JW153" s="30"/>
      <c r="JX153" s="30"/>
      <c r="JY153" s="30"/>
      <c r="JZ153" s="30"/>
      <c r="KA153" s="30"/>
      <c r="KB153" s="30"/>
      <c r="KC153" s="30"/>
      <c r="KD153" s="30"/>
      <c r="KE153" s="30"/>
      <c r="KF153" s="30"/>
      <c r="KG153" s="30"/>
      <c r="KH153" s="30"/>
      <c r="KI153" s="30"/>
      <c r="KJ153" s="30"/>
      <c r="KK153" s="30"/>
      <c r="KL153" s="30"/>
      <c r="KM153" s="30"/>
      <c r="KN153" s="30"/>
      <c r="KO153" s="30"/>
      <c r="KP153" s="30"/>
      <c r="KQ153" s="30"/>
      <c r="KR153" s="30"/>
      <c r="KS153" s="30"/>
      <c r="KT153" s="30"/>
      <c r="KU153" s="30"/>
      <c r="KV153" s="30"/>
      <c r="KW153" s="30"/>
      <c r="KX153" s="30"/>
      <c r="KY153" s="30"/>
      <c r="KZ153" s="30"/>
      <c r="LA153" s="30"/>
      <c r="LB153" s="30"/>
      <c r="LC153" s="30"/>
      <c r="LD153" s="30"/>
      <c r="LE153" s="30"/>
      <c r="LF153" s="30"/>
      <c r="LG153" s="30"/>
      <c r="LH153" s="30"/>
      <c r="LI153" s="30"/>
      <c r="LJ153" s="30"/>
      <c r="LK153" s="30"/>
      <c r="LL153" s="30"/>
      <c r="LM153" s="30"/>
      <c r="LN153" s="30"/>
      <c r="LO153" s="30"/>
      <c r="LP153" s="30"/>
      <c r="LQ153" s="30"/>
      <c r="LR153" s="30"/>
      <c r="LS153" s="30"/>
      <c r="LT153" s="30"/>
      <c r="LU153" s="30"/>
      <c r="LV153" s="30"/>
      <c r="LW153" s="30"/>
      <c r="LX153" s="30"/>
      <c r="LY153" s="30"/>
      <c r="LZ153" s="30"/>
      <c r="MA153" s="30"/>
      <c r="MB153" s="30"/>
      <c r="MC153" s="30"/>
      <c r="MD153" s="30"/>
      <c r="ME153" s="30"/>
      <c r="MF153" s="30"/>
      <c r="MG153" s="30"/>
      <c r="MH153" s="30"/>
      <c r="MI153" s="30"/>
      <c r="MJ153" s="30"/>
      <c r="MK153" s="30"/>
      <c r="ML153" s="30"/>
      <c r="MM153" s="30"/>
      <c r="MN153" s="30"/>
      <c r="MO153" s="30"/>
      <c r="MP153" s="30"/>
      <c r="MQ153" s="30"/>
      <c r="MR153" s="30"/>
      <c r="MS153" s="30"/>
      <c r="MT153" s="30"/>
      <c r="MU153" s="30"/>
      <c r="MV153" s="30"/>
      <c r="MW153" s="30"/>
      <c r="MX153" s="30"/>
      <c r="MY153" s="30"/>
      <c r="MZ153" s="30"/>
      <c r="NA153" s="30"/>
      <c r="NB153" s="30"/>
      <c r="NC153" s="30"/>
      <c r="ND153" s="30"/>
      <c r="NE153" s="30"/>
      <c r="NF153" s="30"/>
      <c r="NG153" s="30"/>
      <c r="NH153" s="30"/>
      <c r="NI153" s="30"/>
      <c r="NJ153" s="30"/>
      <c r="NK153" s="30"/>
      <c r="NL153" s="30"/>
      <c r="NM153" s="30"/>
      <c r="NN153" s="30"/>
      <c r="NO153" s="30"/>
      <c r="NP153" s="30"/>
      <c r="NQ153" s="30"/>
      <c r="NR153" s="30"/>
    </row>
    <row r="154" spans="1:382" s="3" customFormat="1" ht="20.100000000000001" customHeight="1" x14ac:dyDescent="0.4">
      <c r="A154" s="29">
        <v>1</v>
      </c>
      <c r="B154" s="5">
        <v>1410</v>
      </c>
      <c r="C154" s="5" t="s">
        <v>217</v>
      </c>
      <c r="D154" s="5" t="s">
        <v>122</v>
      </c>
      <c r="E154" s="5" t="s">
        <v>10</v>
      </c>
      <c r="F154" s="5" t="s">
        <v>32</v>
      </c>
      <c r="G154" s="5" t="s">
        <v>32</v>
      </c>
      <c r="H154" s="5" t="s">
        <v>32</v>
      </c>
      <c r="I154" s="8">
        <v>45953.625</v>
      </c>
      <c r="J154" s="8"/>
      <c r="K154" s="8" t="str">
        <f>IF(OR(J154="",E154=""),"",J154+IFERROR(VLOOKUP(E154,リードタイム!$A$2:$C$9,3,FALSE),0))</f>
        <v/>
      </c>
      <c r="L154" s="5" t="s">
        <v>531</v>
      </c>
      <c r="M154" s="8"/>
      <c r="N154" s="8" t="str">
        <f>IF(OR(M154="",E154=""),"",M154+IFERROR(VLOOKUP(E154,リードタイム!$A$2:$D$9,4,FALSE),0))</f>
        <v/>
      </c>
      <c r="O154" s="5" t="s">
        <v>531</v>
      </c>
      <c r="P154" s="5" t="s">
        <v>533</v>
      </c>
      <c r="Q154" s="5" t="s">
        <v>32</v>
      </c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  <c r="FS154" s="30"/>
      <c r="FT154" s="30"/>
      <c r="FU154" s="30"/>
      <c r="FV154" s="30"/>
      <c r="FW154" s="30"/>
      <c r="FX154" s="30"/>
      <c r="FY154" s="30"/>
      <c r="FZ154" s="30"/>
      <c r="GA154" s="30"/>
      <c r="GB154" s="30"/>
      <c r="GC154" s="30"/>
      <c r="GD154" s="30"/>
      <c r="GE154" s="30"/>
      <c r="GF154" s="30"/>
      <c r="GG154" s="30"/>
      <c r="GH154" s="30"/>
      <c r="GI154" s="30"/>
      <c r="GJ154" s="30"/>
      <c r="GK154" s="30"/>
      <c r="GL154" s="30"/>
      <c r="GM154" s="30"/>
      <c r="GN154" s="30"/>
      <c r="GO154" s="30"/>
      <c r="GP154" s="30"/>
      <c r="GQ154" s="30"/>
      <c r="GR154" s="30"/>
      <c r="GS154" s="30"/>
      <c r="GT154" s="30"/>
      <c r="GU154" s="30"/>
      <c r="GV154" s="30"/>
      <c r="GW154" s="30"/>
      <c r="GX154" s="30"/>
      <c r="GY154" s="30"/>
      <c r="GZ154" s="30"/>
      <c r="HA154" s="30"/>
      <c r="HB154" s="30"/>
      <c r="HC154" s="30"/>
      <c r="HD154" s="30"/>
      <c r="HE154" s="30"/>
      <c r="HF154" s="30"/>
      <c r="HG154" s="30"/>
      <c r="HH154" s="30"/>
      <c r="HI154" s="30"/>
      <c r="HJ154" s="30"/>
      <c r="HK154" s="30"/>
      <c r="HL154" s="30"/>
      <c r="HM154" s="30"/>
      <c r="HN154" s="30"/>
      <c r="HO154" s="30"/>
      <c r="HP154" s="30"/>
      <c r="HQ154" s="30"/>
      <c r="HR154" s="30"/>
      <c r="HS154" s="30"/>
      <c r="HT154" s="30"/>
      <c r="HU154" s="30"/>
      <c r="HV154" s="30"/>
      <c r="HW154" s="30"/>
      <c r="HX154" s="30"/>
      <c r="HY154" s="30"/>
      <c r="HZ154" s="30"/>
      <c r="IA154" s="30"/>
      <c r="IB154" s="30"/>
      <c r="IC154" s="30"/>
      <c r="ID154" s="30"/>
      <c r="IE154" s="30"/>
      <c r="IF154" s="30"/>
      <c r="IG154" s="30"/>
      <c r="IH154" s="30"/>
      <c r="II154" s="30"/>
      <c r="IJ154" s="30"/>
      <c r="IK154" s="30"/>
      <c r="IL154" s="30"/>
      <c r="IM154" s="30"/>
      <c r="IN154" s="30"/>
      <c r="IO154" s="30"/>
      <c r="IP154" s="30"/>
      <c r="IQ154" s="30"/>
      <c r="IR154" s="30"/>
      <c r="IS154" s="30"/>
      <c r="IT154" s="30"/>
      <c r="IU154" s="30"/>
      <c r="IV154" s="30"/>
      <c r="IW154" s="30"/>
      <c r="IX154" s="30"/>
      <c r="IY154" s="30"/>
      <c r="IZ154" s="30"/>
      <c r="JA154" s="30"/>
      <c r="JB154" s="30"/>
      <c r="JC154" s="30"/>
      <c r="JD154" s="30"/>
      <c r="JE154" s="30"/>
      <c r="JF154" s="30"/>
      <c r="JG154" s="30"/>
      <c r="JH154" s="30"/>
      <c r="JI154" s="30"/>
      <c r="JJ154" s="30"/>
      <c r="JK154" s="30"/>
      <c r="JL154" s="30"/>
      <c r="JM154" s="30"/>
      <c r="JN154" s="30"/>
      <c r="JO154" s="30"/>
      <c r="JP154" s="30"/>
      <c r="JQ154" s="30"/>
      <c r="JR154" s="30"/>
      <c r="JS154" s="30"/>
      <c r="JT154" s="30"/>
      <c r="JU154" s="30"/>
      <c r="JV154" s="30"/>
      <c r="JW154" s="30"/>
      <c r="JX154" s="30"/>
      <c r="JY154" s="30"/>
      <c r="JZ154" s="30"/>
      <c r="KA154" s="30"/>
      <c r="KB154" s="30"/>
      <c r="KC154" s="30"/>
      <c r="KD154" s="30"/>
      <c r="KE154" s="30"/>
      <c r="KF154" s="30"/>
      <c r="KG154" s="30"/>
      <c r="KH154" s="30"/>
      <c r="KI154" s="30"/>
      <c r="KJ154" s="30"/>
      <c r="KK154" s="30"/>
      <c r="KL154" s="30"/>
      <c r="KM154" s="30"/>
      <c r="KN154" s="30"/>
      <c r="KO154" s="30"/>
      <c r="KP154" s="30"/>
      <c r="KQ154" s="30"/>
      <c r="KR154" s="30"/>
      <c r="KS154" s="30"/>
      <c r="KT154" s="30"/>
      <c r="KU154" s="30"/>
      <c r="KV154" s="30"/>
      <c r="KW154" s="30"/>
      <c r="KX154" s="30"/>
      <c r="KY154" s="30"/>
      <c r="KZ154" s="30"/>
      <c r="LA154" s="30"/>
      <c r="LB154" s="30"/>
      <c r="LC154" s="30"/>
      <c r="LD154" s="30"/>
      <c r="LE154" s="30"/>
      <c r="LF154" s="30"/>
      <c r="LG154" s="30"/>
      <c r="LH154" s="30"/>
      <c r="LI154" s="30"/>
      <c r="LJ154" s="30"/>
      <c r="LK154" s="30"/>
      <c r="LL154" s="30"/>
      <c r="LM154" s="30"/>
      <c r="LN154" s="30"/>
      <c r="LO154" s="30"/>
      <c r="LP154" s="30"/>
      <c r="LQ154" s="30"/>
      <c r="LR154" s="30"/>
      <c r="LS154" s="30"/>
      <c r="LT154" s="30"/>
      <c r="LU154" s="30"/>
      <c r="LV154" s="30"/>
      <c r="LW154" s="30"/>
      <c r="LX154" s="30"/>
      <c r="LY154" s="30"/>
      <c r="LZ154" s="30"/>
      <c r="MA154" s="30"/>
      <c r="MB154" s="30"/>
      <c r="MC154" s="30"/>
      <c r="MD154" s="30"/>
      <c r="ME154" s="30"/>
      <c r="MF154" s="30"/>
      <c r="MG154" s="30"/>
      <c r="MH154" s="30"/>
      <c r="MI154" s="30"/>
      <c r="MJ154" s="30"/>
      <c r="MK154" s="30"/>
      <c r="ML154" s="30"/>
      <c r="MM154" s="30"/>
      <c r="MN154" s="30"/>
      <c r="MO154" s="30"/>
      <c r="MP154" s="30"/>
      <c r="MQ154" s="30"/>
      <c r="MR154" s="30"/>
      <c r="MS154" s="30"/>
      <c r="MT154" s="30"/>
      <c r="MU154" s="30"/>
      <c r="MV154" s="30"/>
      <c r="MW154" s="30"/>
      <c r="MX154" s="30"/>
      <c r="MY154" s="30"/>
      <c r="MZ154" s="30"/>
      <c r="NA154" s="30"/>
      <c r="NB154" s="30"/>
      <c r="NC154" s="30"/>
      <c r="ND154" s="30"/>
      <c r="NE154" s="30"/>
      <c r="NF154" s="30"/>
      <c r="NG154" s="30"/>
      <c r="NH154" s="30"/>
      <c r="NI154" s="30"/>
      <c r="NJ154" s="30"/>
      <c r="NK154" s="30"/>
      <c r="NL154" s="30"/>
      <c r="NM154" s="30"/>
      <c r="NN154" s="30"/>
      <c r="NO154" s="30"/>
      <c r="NP154" s="30"/>
      <c r="NQ154" s="30"/>
      <c r="NR154" s="30"/>
    </row>
    <row r="155" spans="1:382" s="3" customFormat="1" ht="20.100000000000001" customHeight="1" x14ac:dyDescent="0.4">
      <c r="A155" s="29">
        <v>2</v>
      </c>
      <c r="B155" s="5">
        <v>1392</v>
      </c>
      <c r="C155" s="5" t="s">
        <v>217</v>
      </c>
      <c r="D155" s="5" t="s">
        <v>193</v>
      </c>
      <c r="E155" s="5" t="s">
        <v>6</v>
      </c>
      <c r="F155" s="5" t="s">
        <v>32</v>
      </c>
      <c r="G155" s="5" t="s">
        <v>32</v>
      </c>
      <c r="H155" s="5" t="s">
        <v>32</v>
      </c>
      <c r="I155" s="8"/>
      <c r="J155" s="8"/>
      <c r="K155" s="8" t="str">
        <f>IF(OR(J155="",E155=""),"",J155+IFERROR(VLOOKUP(E155,リードタイム!$A$2:$C$9,3,FALSE),0))</f>
        <v/>
      </c>
      <c r="L155" s="5" t="s">
        <v>530</v>
      </c>
      <c r="M155" s="8"/>
      <c r="N155" s="8" t="str">
        <f>IF(OR(M155="",E155=""),"",M155+IFERROR(VLOOKUP(E155,リードタイム!$A$2:$D$9,4,FALSE),0))</f>
        <v/>
      </c>
      <c r="O155" s="5" t="s">
        <v>530</v>
      </c>
      <c r="P155" s="5" t="s">
        <v>530</v>
      </c>
      <c r="Q155" s="5" t="s">
        <v>218</v>
      </c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  <c r="FS155" s="30"/>
      <c r="FT155" s="30"/>
      <c r="FU155" s="30"/>
      <c r="FV155" s="30"/>
      <c r="FW155" s="30"/>
      <c r="FX155" s="30"/>
      <c r="FY155" s="30"/>
      <c r="FZ155" s="30"/>
      <c r="GA155" s="30"/>
      <c r="GB155" s="30"/>
      <c r="GC155" s="30"/>
      <c r="GD155" s="30"/>
      <c r="GE155" s="30"/>
      <c r="GF155" s="30"/>
      <c r="GG155" s="30"/>
      <c r="GH155" s="30"/>
      <c r="GI155" s="30"/>
      <c r="GJ155" s="30"/>
      <c r="GK155" s="30"/>
      <c r="GL155" s="30"/>
      <c r="GM155" s="30"/>
      <c r="GN155" s="30"/>
      <c r="GO155" s="30"/>
      <c r="GP155" s="30"/>
      <c r="GQ155" s="30"/>
      <c r="GR155" s="30"/>
      <c r="GS155" s="30"/>
      <c r="GT155" s="30"/>
      <c r="GU155" s="30"/>
      <c r="GV155" s="30"/>
      <c r="GW155" s="30"/>
      <c r="GX155" s="30"/>
      <c r="GY155" s="30"/>
      <c r="GZ155" s="30"/>
      <c r="HA155" s="30"/>
      <c r="HB155" s="30"/>
      <c r="HC155" s="30"/>
      <c r="HD155" s="30"/>
      <c r="HE155" s="30"/>
      <c r="HF155" s="30"/>
      <c r="HG155" s="30"/>
      <c r="HH155" s="30"/>
      <c r="HI155" s="30"/>
      <c r="HJ155" s="30"/>
      <c r="HK155" s="30"/>
      <c r="HL155" s="30"/>
      <c r="HM155" s="30"/>
      <c r="HN155" s="30"/>
      <c r="HO155" s="30"/>
      <c r="HP155" s="30"/>
      <c r="HQ155" s="30"/>
      <c r="HR155" s="30"/>
      <c r="HS155" s="30"/>
      <c r="HT155" s="30"/>
      <c r="HU155" s="30"/>
      <c r="HV155" s="30"/>
      <c r="HW155" s="30"/>
      <c r="HX155" s="30"/>
      <c r="HY155" s="30"/>
      <c r="HZ155" s="30"/>
      <c r="IA155" s="30"/>
      <c r="IB155" s="30"/>
      <c r="IC155" s="30"/>
      <c r="ID155" s="30"/>
      <c r="IE155" s="30"/>
      <c r="IF155" s="30"/>
      <c r="IG155" s="30"/>
      <c r="IH155" s="30"/>
      <c r="II155" s="30"/>
      <c r="IJ155" s="30"/>
      <c r="IK155" s="30"/>
      <c r="IL155" s="30"/>
      <c r="IM155" s="30"/>
      <c r="IN155" s="30"/>
      <c r="IO155" s="30"/>
      <c r="IP155" s="30"/>
      <c r="IQ155" s="30"/>
      <c r="IR155" s="30"/>
      <c r="IS155" s="30"/>
      <c r="IT155" s="30"/>
      <c r="IU155" s="30"/>
      <c r="IV155" s="30"/>
      <c r="IW155" s="30"/>
      <c r="IX155" s="30"/>
      <c r="IY155" s="30"/>
      <c r="IZ155" s="30"/>
      <c r="JA155" s="30"/>
      <c r="JB155" s="30"/>
      <c r="JC155" s="30"/>
      <c r="JD155" s="30"/>
      <c r="JE155" s="30"/>
      <c r="JF155" s="30"/>
      <c r="JG155" s="30"/>
      <c r="JH155" s="30"/>
      <c r="JI155" s="30"/>
      <c r="JJ155" s="30"/>
      <c r="JK155" s="30"/>
      <c r="JL155" s="30"/>
      <c r="JM155" s="30"/>
      <c r="JN155" s="30"/>
      <c r="JO155" s="30"/>
      <c r="JP155" s="30"/>
      <c r="JQ155" s="30"/>
      <c r="JR155" s="30"/>
      <c r="JS155" s="30"/>
      <c r="JT155" s="30"/>
      <c r="JU155" s="30"/>
      <c r="JV155" s="30"/>
      <c r="JW155" s="30"/>
      <c r="JX155" s="30"/>
      <c r="JY155" s="30"/>
      <c r="JZ155" s="30"/>
      <c r="KA155" s="30"/>
      <c r="KB155" s="30"/>
      <c r="KC155" s="30"/>
      <c r="KD155" s="30"/>
      <c r="KE155" s="30"/>
      <c r="KF155" s="30"/>
      <c r="KG155" s="30"/>
      <c r="KH155" s="30"/>
      <c r="KI155" s="30"/>
      <c r="KJ155" s="30"/>
      <c r="KK155" s="30"/>
      <c r="KL155" s="30"/>
      <c r="KM155" s="30"/>
      <c r="KN155" s="30"/>
      <c r="KO155" s="30"/>
      <c r="KP155" s="30"/>
      <c r="KQ155" s="30"/>
      <c r="KR155" s="30"/>
      <c r="KS155" s="30"/>
      <c r="KT155" s="30"/>
      <c r="KU155" s="30"/>
      <c r="KV155" s="30"/>
      <c r="KW155" s="30"/>
      <c r="KX155" s="30"/>
      <c r="KY155" s="30"/>
      <c r="KZ155" s="30"/>
      <c r="LA155" s="30"/>
      <c r="LB155" s="30"/>
      <c r="LC155" s="30"/>
      <c r="LD155" s="30"/>
      <c r="LE155" s="30"/>
      <c r="LF155" s="30"/>
      <c r="LG155" s="30"/>
      <c r="LH155" s="30"/>
      <c r="LI155" s="30"/>
      <c r="LJ155" s="30"/>
      <c r="LK155" s="30"/>
      <c r="LL155" s="30"/>
      <c r="LM155" s="30"/>
      <c r="LN155" s="30"/>
      <c r="LO155" s="30"/>
      <c r="LP155" s="30"/>
      <c r="LQ155" s="30"/>
      <c r="LR155" s="30"/>
      <c r="LS155" s="30"/>
      <c r="LT155" s="30"/>
      <c r="LU155" s="30"/>
      <c r="LV155" s="30"/>
      <c r="LW155" s="30"/>
      <c r="LX155" s="30"/>
      <c r="LY155" s="30"/>
      <c r="LZ155" s="30"/>
      <c r="MA155" s="30"/>
      <c r="MB155" s="30"/>
      <c r="MC155" s="30"/>
      <c r="MD155" s="30"/>
      <c r="ME155" s="30"/>
      <c r="MF155" s="30"/>
      <c r="MG155" s="30"/>
      <c r="MH155" s="30"/>
      <c r="MI155" s="30"/>
      <c r="MJ155" s="30"/>
      <c r="MK155" s="30"/>
      <c r="ML155" s="30"/>
      <c r="MM155" s="30"/>
      <c r="MN155" s="30"/>
      <c r="MO155" s="30"/>
      <c r="MP155" s="30"/>
      <c r="MQ155" s="30"/>
      <c r="MR155" s="30"/>
      <c r="MS155" s="30"/>
      <c r="MT155" s="30"/>
      <c r="MU155" s="30"/>
      <c r="MV155" s="30"/>
      <c r="MW155" s="30"/>
      <c r="MX155" s="30"/>
      <c r="MY155" s="30"/>
      <c r="MZ155" s="30"/>
      <c r="NA155" s="30"/>
      <c r="NB155" s="30"/>
      <c r="NC155" s="30"/>
      <c r="ND155" s="30"/>
      <c r="NE155" s="30"/>
      <c r="NF155" s="30"/>
      <c r="NG155" s="30"/>
      <c r="NH155" s="30"/>
      <c r="NI155" s="30"/>
      <c r="NJ155" s="30"/>
      <c r="NK155" s="30"/>
      <c r="NL155" s="30"/>
      <c r="NM155" s="30"/>
      <c r="NN155" s="30"/>
      <c r="NO155" s="30"/>
      <c r="NP155" s="30"/>
      <c r="NQ155" s="30"/>
      <c r="NR155" s="30"/>
    </row>
    <row r="156" spans="1:382" s="3" customFormat="1" ht="20.100000000000001" customHeight="1" x14ac:dyDescent="0.4">
      <c r="A156" s="29">
        <v>1</v>
      </c>
      <c r="B156" s="5">
        <v>1393</v>
      </c>
      <c r="C156" s="5" t="s">
        <v>219</v>
      </c>
      <c r="D156" s="5" t="s">
        <v>220</v>
      </c>
      <c r="E156" s="5" t="s">
        <v>8</v>
      </c>
      <c r="F156" s="5" t="s">
        <v>32</v>
      </c>
      <c r="G156" s="5" t="s">
        <v>32</v>
      </c>
      <c r="H156" s="5" t="s">
        <v>32</v>
      </c>
      <c r="I156" s="8"/>
      <c r="J156" s="8"/>
      <c r="K156" s="8" t="str">
        <f>IF(OR(J156="",E156=""),"",J156+IFERROR(VLOOKUP(E156,リードタイム!$A$2:$C$9,3,FALSE),0))</f>
        <v/>
      </c>
      <c r="L156" s="5" t="s">
        <v>530</v>
      </c>
      <c r="M156" s="8"/>
      <c r="N156" s="8" t="str">
        <f>IF(OR(M156="",E156=""),"",M156+IFERROR(VLOOKUP(E156,リードタイム!$A$2:$D$9,4,FALSE),0))</f>
        <v/>
      </c>
      <c r="O156" s="5" t="s">
        <v>530</v>
      </c>
      <c r="P156" s="5" t="s">
        <v>530</v>
      </c>
      <c r="Q156" s="5" t="s">
        <v>221</v>
      </c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  <c r="FS156" s="30"/>
      <c r="FT156" s="30"/>
      <c r="FU156" s="30"/>
      <c r="FV156" s="30"/>
      <c r="FW156" s="30"/>
      <c r="FX156" s="30"/>
      <c r="FY156" s="30"/>
      <c r="FZ156" s="30"/>
      <c r="GA156" s="30"/>
      <c r="GB156" s="30"/>
      <c r="GC156" s="30"/>
      <c r="GD156" s="30"/>
      <c r="GE156" s="30"/>
      <c r="GF156" s="30"/>
      <c r="GG156" s="30"/>
      <c r="GH156" s="30"/>
      <c r="GI156" s="30"/>
      <c r="GJ156" s="30"/>
      <c r="GK156" s="30"/>
      <c r="GL156" s="30"/>
      <c r="GM156" s="30"/>
      <c r="GN156" s="30"/>
      <c r="GO156" s="30"/>
      <c r="GP156" s="30"/>
      <c r="GQ156" s="30"/>
      <c r="GR156" s="30"/>
      <c r="GS156" s="30"/>
      <c r="GT156" s="30"/>
      <c r="GU156" s="30"/>
      <c r="GV156" s="30"/>
      <c r="GW156" s="30"/>
      <c r="GX156" s="30"/>
      <c r="GY156" s="30"/>
      <c r="GZ156" s="30"/>
      <c r="HA156" s="30"/>
      <c r="HB156" s="30"/>
      <c r="HC156" s="30"/>
      <c r="HD156" s="30"/>
      <c r="HE156" s="30"/>
      <c r="HF156" s="30"/>
      <c r="HG156" s="30"/>
      <c r="HH156" s="30"/>
      <c r="HI156" s="30"/>
      <c r="HJ156" s="30"/>
      <c r="HK156" s="30"/>
      <c r="HL156" s="30"/>
      <c r="HM156" s="30"/>
      <c r="HN156" s="30"/>
      <c r="HO156" s="30"/>
      <c r="HP156" s="30"/>
      <c r="HQ156" s="30"/>
      <c r="HR156" s="30"/>
      <c r="HS156" s="30"/>
      <c r="HT156" s="30"/>
      <c r="HU156" s="30"/>
      <c r="HV156" s="30"/>
      <c r="HW156" s="30"/>
      <c r="HX156" s="30"/>
      <c r="HY156" s="30"/>
      <c r="HZ156" s="30"/>
      <c r="IA156" s="30"/>
      <c r="IB156" s="30"/>
      <c r="IC156" s="30"/>
      <c r="ID156" s="30"/>
      <c r="IE156" s="30"/>
      <c r="IF156" s="30"/>
      <c r="IG156" s="30"/>
      <c r="IH156" s="30"/>
      <c r="II156" s="30"/>
      <c r="IJ156" s="30"/>
      <c r="IK156" s="30"/>
      <c r="IL156" s="30"/>
      <c r="IM156" s="30"/>
      <c r="IN156" s="30"/>
      <c r="IO156" s="30"/>
      <c r="IP156" s="30"/>
      <c r="IQ156" s="30"/>
      <c r="IR156" s="30"/>
      <c r="IS156" s="30"/>
      <c r="IT156" s="30"/>
      <c r="IU156" s="30"/>
      <c r="IV156" s="30"/>
      <c r="IW156" s="30"/>
      <c r="IX156" s="30"/>
      <c r="IY156" s="30"/>
      <c r="IZ156" s="30"/>
      <c r="JA156" s="30"/>
      <c r="JB156" s="30"/>
      <c r="JC156" s="30"/>
      <c r="JD156" s="30"/>
      <c r="JE156" s="30"/>
      <c r="JF156" s="30"/>
      <c r="JG156" s="30"/>
      <c r="JH156" s="30"/>
      <c r="JI156" s="30"/>
      <c r="JJ156" s="30"/>
      <c r="JK156" s="30"/>
      <c r="JL156" s="30"/>
      <c r="JM156" s="30"/>
      <c r="JN156" s="30"/>
      <c r="JO156" s="30"/>
      <c r="JP156" s="30"/>
      <c r="JQ156" s="30"/>
      <c r="JR156" s="30"/>
      <c r="JS156" s="30"/>
      <c r="JT156" s="30"/>
      <c r="JU156" s="30"/>
      <c r="JV156" s="30"/>
      <c r="JW156" s="30"/>
      <c r="JX156" s="30"/>
      <c r="JY156" s="30"/>
      <c r="JZ156" s="30"/>
      <c r="KA156" s="30"/>
      <c r="KB156" s="30"/>
      <c r="KC156" s="30"/>
      <c r="KD156" s="30"/>
      <c r="KE156" s="30"/>
      <c r="KF156" s="30"/>
      <c r="KG156" s="30"/>
      <c r="KH156" s="30"/>
      <c r="KI156" s="30"/>
      <c r="KJ156" s="30"/>
      <c r="KK156" s="30"/>
      <c r="KL156" s="30"/>
      <c r="KM156" s="30"/>
      <c r="KN156" s="30"/>
      <c r="KO156" s="30"/>
      <c r="KP156" s="30"/>
      <c r="KQ156" s="30"/>
      <c r="KR156" s="30"/>
      <c r="KS156" s="30"/>
      <c r="KT156" s="30"/>
      <c r="KU156" s="30"/>
      <c r="KV156" s="30"/>
      <c r="KW156" s="30"/>
      <c r="KX156" s="30"/>
      <c r="KY156" s="30"/>
      <c r="KZ156" s="30"/>
      <c r="LA156" s="30"/>
      <c r="LB156" s="30"/>
      <c r="LC156" s="30"/>
      <c r="LD156" s="30"/>
      <c r="LE156" s="30"/>
      <c r="LF156" s="30"/>
      <c r="LG156" s="30"/>
      <c r="LH156" s="30"/>
      <c r="LI156" s="30"/>
      <c r="LJ156" s="30"/>
      <c r="LK156" s="30"/>
      <c r="LL156" s="30"/>
      <c r="LM156" s="30"/>
      <c r="LN156" s="30"/>
      <c r="LO156" s="30"/>
      <c r="LP156" s="30"/>
      <c r="LQ156" s="30"/>
      <c r="LR156" s="30"/>
      <c r="LS156" s="30"/>
      <c r="LT156" s="30"/>
      <c r="LU156" s="30"/>
      <c r="LV156" s="30"/>
      <c r="LW156" s="30"/>
      <c r="LX156" s="30"/>
      <c r="LY156" s="30"/>
      <c r="LZ156" s="30"/>
      <c r="MA156" s="30"/>
      <c r="MB156" s="30"/>
      <c r="MC156" s="30"/>
      <c r="MD156" s="30"/>
      <c r="ME156" s="30"/>
      <c r="MF156" s="30"/>
      <c r="MG156" s="30"/>
      <c r="MH156" s="30"/>
      <c r="MI156" s="30"/>
      <c r="MJ156" s="30"/>
      <c r="MK156" s="30"/>
      <c r="ML156" s="30"/>
      <c r="MM156" s="30"/>
      <c r="MN156" s="30"/>
      <c r="MO156" s="30"/>
      <c r="MP156" s="30"/>
      <c r="MQ156" s="30"/>
      <c r="MR156" s="30"/>
      <c r="MS156" s="30"/>
      <c r="MT156" s="30"/>
      <c r="MU156" s="30"/>
      <c r="MV156" s="30"/>
      <c r="MW156" s="30"/>
      <c r="MX156" s="30"/>
      <c r="MY156" s="30"/>
      <c r="MZ156" s="30"/>
      <c r="NA156" s="30"/>
      <c r="NB156" s="30"/>
      <c r="NC156" s="30"/>
      <c r="ND156" s="30"/>
      <c r="NE156" s="30"/>
      <c r="NF156" s="30"/>
      <c r="NG156" s="30"/>
      <c r="NH156" s="30"/>
      <c r="NI156" s="30"/>
      <c r="NJ156" s="30"/>
      <c r="NK156" s="30"/>
      <c r="NL156" s="30"/>
      <c r="NM156" s="30"/>
      <c r="NN156" s="30"/>
      <c r="NO156" s="30"/>
      <c r="NP156" s="30"/>
      <c r="NQ156" s="30"/>
      <c r="NR156" s="30"/>
    </row>
    <row r="157" spans="1:382" s="3" customFormat="1" ht="20.100000000000001" customHeight="1" x14ac:dyDescent="0.4">
      <c r="A157" s="29">
        <v>1</v>
      </c>
      <c r="B157" s="5">
        <v>1351</v>
      </c>
      <c r="C157" s="5" t="s">
        <v>222</v>
      </c>
      <c r="D157" s="5" t="s">
        <v>220</v>
      </c>
      <c r="E157" s="5" t="s">
        <v>8</v>
      </c>
      <c r="F157" s="5" t="s">
        <v>32</v>
      </c>
      <c r="G157" s="5" t="s">
        <v>32</v>
      </c>
      <c r="H157" s="5" t="s">
        <v>32</v>
      </c>
      <c r="I157" s="8"/>
      <c r="J157" s="8"/>
      <c r="K157" s="8" t="str">
        <f>IF(OR(J157="",E157=""),"",J157+IFERROR(VLOOKUP(E157,リードタイム!$A$2:$C$9,3,FALSE),0))</f>
        <v/>
      </c>
      <c r="L157" s="5" t="s">
        <v>530</v>
      </c>
      <c r="M157" s="8"/>
      <c r="N157" s="8" t="str">
        <f>IF(OR(M157="",E157=""),"",M157+IFERROR(VLOOKUP(E157,リードタイム!$A$2:$D$9,4,FALSE),0))</f>
        <v/>
      </c>
      <c r="O157" s="5" t="s">
        <v>530</v>
      </c>
      <c r="P157" s="5" t="s">
        <v>530</v>
      </c>
      <c r="Q157" s="5" t="s">
        <v>32</v>
      </c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  <c r="FS157" s="30"/>
      <c r="FT157" s="30"/>
      <c r="FU157" s="30"/>
      <c r="FV157" s="30"/>
      <c r="FW157" s="30"/>
      <c r="FX157" s="30"/>
      <c r="FY157" s="30"/>
      <c r="FZ157" s="30"/>
      <c r="GA157" s="30"/>
      <c r="GB157" s="30"/>
      <c r="GC157" s="30"/>
      <c r="GD157" s="30"/>
      <c r="GE157" s="30"/>
      <c r="GF157" s="30"/>
      <c r="GG157" s="30"/>
      <c r="GH157" s="30"/>
      <c r="GI157" s="30"/>
      <c r="GJ157" s="30"/>
      <c r="GK157" s="30"/>
      <c r="GL157" s="30"/>
      <c r="GM157" s="30"/>
      <c r="GN157" s="30"/>
      <c r="GO157" s="30"/>
      <c r="GP157" s="30"/>
      <c r="GQ157" s="30"/>
      <c r="GR157" s="30"/>
      <c r="GS157" s="30"/>
      <c r="GT157" s="30"/>
      <c r="GU157" s="30"/>
      <c r="GV157" s="30"/>
      <c r="GW157" s="30"/>
      <c r="GX157" s="30"/>
      <c r="GY157" s="30"/>
      <c r="GZ157" s="30"/>
      <c r="HA157" s="30"/>
      <c r="HB157" s="30"/>
      <c r="HC157" s="30"/>
      <c r="HD157" s="30"/>
      <c r="HE157" s="30"/>
      <c r="HF157" s="30"/>
      <c r="HG157" s="30"/>
      <c r="HH157" s="30"/>
      <c r="HI157" s="30"/>
      <c r="HJ157" s="30"/>
      <c r="HK157" s="30"/>
      <c r="HL157" s="30"/>
      <c r="HM157" s="30"/>
      <c r="HN157" s="30"/>
      <c r="HO157" s="30"/>
      <c r="HP157" s="30"/>
      <c r="HQ157" s="30"/>
      <c r="HR157" s="30"/>
      <c r="HS157" s="30"/>
      <c r="HT157" s="30"/>
      <c r="HU157" s="30"/>
      <c r="HV157" s="30"/>
      <c r="HW157" s="30"/>
      <c r="HX157" s="30"/>
      <c r="HY157" s="30"/>
      <c r="HZ157" s="30"/>
      <c r="IA157" s="30"/>
      <c r="IB157" s="30"/>
      <c r="IC157" s="30"/>
      <c r="ID157" s="30"/>
      <c r="IE157" s="30"/>
      <c r="IF157" s="30"/>
      <c r="IG157" s="30"/>
      <c r="IH157" s="30"/>
      <c r="II157" s="30"/>
      <c r="IJ157" s="30"/>
      <c r="IK157" s="30"/>
      <c r="IL157" s="30"/>
      <c r="IM157" s="30"/>
      <c r="IN157" s="30"/>
      <c r="IO157" s="30"/>
      <c r="IP157" s="30"/>
      <c r="IQ157" s="30"/>
      <c r="IR157" s="30"/>
      <c r="IS157" s="30"/>
      <c r="IT157" s="30"/>
      <c r="IU157" s="30"/>
      <c r="IV157" s="30"/>
      <c r="IW157" s="30"/>
      <c r="IX157" s="30"/>
      <c r="IY157" s="30"/>
      <c r="IZ157" s="30"/>
      <c r="JA157" s="30"/>
      <c r="JB157" s="30"/>
      <c r="JC157" s="30"/>
      <c r="JD157" s="30"/>
      <c r="JE157" s="30"/>
      <c r="JF157" s="30"/>
      <c r="JG157" s="30"/>
      <c r="JH157" s="30"/>
      <c r="JI157" s="30"/>
      <c r="JJ157" s="30"/>
      <c r="JK157" s="30"/>
      <c r="JL157" s="30"/>
      <c r="JM157" s="30"/>
      <c r="JN157" s="30"/>
      <c r="JO157" s="30"/>
      <c r="JP157" s="30"/>
      <c r="JQ157" s="30"/>
      <c r="JR157" s="30"/>
      <c r="JS157" s="30"/>
      <c r="JT157" s="30"/>
      <c r="JU157" s="30"/>
      <c r="JV157" s="30"/>
      <c r="JW157" s="30"/>
      <c r="JX157" s="30"/>
      <c r="JY157" s="30"/>
      <c r="JZ157" s="30"/>
      <c r="KA157" s="30"/>
      <c r="KB157" s="30"/>
      <c r="KC157" s="30"/>
      <c r="KD157" s="30"/>
      <c r="KE157" s="30"/>
      <c r="KF157" s="30"/>
      <c r="KG157" s="30"/>
      <c r="KH157" s="30"/>
      <c r="KI157" s="30"/>
      <c r="KJ157" s="30"/>
      <c r="KK157" s="30"/>
      <c r="KL157" s="30"/>
      <c r="KM157" s="30"/>
      <c r="KN157" s="30"/>
      <c r="KO157" s="30"/>
      <c r="KP157" s="30"/>
      <c r="KQ157" s="30"/>
      <c r="KR157" s="30"/>
      <c r="KS157" s="30"/>
      <c r="KT157" s="30"/>
      <c r="KU157" s="30"/>
      <c r="KV157" s="30"/>
      <c r="KW157" s="30"/>
      <c r="KX157" s="30"/>
      <c r="KY157" s="30"/>
      <c r="KZ157" s="30"/>
      <c r="LA157" s="30"/>
      <c r="LB157" s="30"/>
      <c r="LC157" s="30"/>
      <c r="LD157" s="30"/>
      <c r="LE157" s="30"/>
      <c r="LF157" s="30"/>
      <c r="LG157" s="30"/>
      <c r="LH157" s="30"/>
      <c r="LI157" s="30"/>
      <c r="LJ157" s="30"/>
      <c r="LK157" s="30"/>
      <c r="LL157" s="30"/>
      <c r="LM157" s="30"/>
      <c r="LN157" s="30"/>
      <c r="LO157" s="30"/>
      <c r="LP157" s="30"/>
      <c r="LQ157" s="30"/>
      <c r="LR157" s="30"/>
      <c r="LS157" s="30"/>
      <c r="LT157" s="30"/>
      <c r="LU157" s="30"/>
      <c r="LV157" s="30"/>
      <c r="LW157" s="30"/>
      <c r="LX157" s="30"/>
      <c r="LY157" s="30"/>
      <c r="LZ157" s="30"/>
      <c r="MA157" s="30"/>
      <c r="MB157" s="30"/>
      <c r="MC157" s="30"/>
      <c r="MD157" s="30"/>
      <c r="ME157" s="30"/>
      <c r="MF157" s="30"/>
      <c r="MG157" s="30"/>
      <c r="MH157" s="30"/>
      <c r="MI157" s="30"/>
      <c r="MJ157" s="30"/>
      <c r="MK157" s="30"/>
      <c r="ML157" s="30"/>
      <c r="MM157" s="30"/>
      <c r="MN157" s="30"/>
      <c r="MO157" s="30"/>
      <c r="MP157" s="30"/>
      <c r="MQ157" s="30"/>
      <c r="MR157" s="30"/>
      <c r="MS157" s="30"/>
      <c r="MT157" s="30"/>
      <c r="MU157" s="30"/>
      <c r="MV157" s="30"/>
      <c r="MW157" s="30"/>
      <c r="MX157" s="30"/>
      <c r="MY157" s="30"/>
      <c r="MZ157" s="30"/>
      <c r="NA157" s="30"/>
      <c r="NB157" s="30"/>
      <c r="NC157" s="30"/>
      <c r="ND157" s="30"/>
      <c r="NE157" s="30"/>
      <c r="NF157" s="30"/>
      <c r="NG157" s="30"/>
      <c r="NH157" s="30"/>
      <c r="NI157" s="30"/>
      <c r="NJ157" s="30"/>
      <c r="NK157" s="30"/>
      <c r="NL157" s="30"/>
      <c r="NM157" s="30"/>
      <c r="NN157" s="30"/>
      <c r="NO157" s="30"/>
      <c r="NP157" s="30"/>
      <c r="NQ157" s="30"/>
      <c r="NR157" s="30"/>
    </row>
    <row r="158" spans="1:382" s="3" customFormat="1" ht="20.100000000000001" customHeight="1" x14ac:dyDescent="0.4">
      <c r="A158" s="29">
        <v>1</v>
      </c>
      <c r="B158" s="5">
        <v>1408</v>
      </c>
      <c r="C158" s="5" t="s">
        <v>223</v>
      </c>
      <c r="D158" s="5" t="s">
        <v>122</v>
      </c>
      <c r="E158" s="5" t="s">
        <v>10</v>
      </c>
      <c r="F158" s="5" t="s">
        <v>32</v>
      </c>
      <c r="G158" s="5" t="s">
        <v>32</v>
      </c>
      <c r="H158" s="5" t="s">
        <v>32</v>
      </c>
      <c r="I158" s="8">
        <v>45953.625</v>
      </c>
      <c r="J158" s="8"/>
      <c r="K158" s="8" t="str">
        <f>IF(OR(J158="",E158=""),"",J158+IFERROR(VLOOKUP(E158,リードタイム!$A$2:$C$9,3,FALSE),0))</f>
        <v/>
      </c>
      <c r="L158" s="5" t="s">
        <v>531</v>
      </c>
      <c r="M158" s="8"/>
      <c r="N158" s="8" t="str">
        <f>IF(OR(M158="",E158=""),"",M158+IFERROR(VLOOKUP(E158,リードタイム!$A$2:$D$9,4,FALSE),0))</f>
        <v/>
      </c>
      <c r="O158" s="5" t="s">
        <v>531</v>
      </c>
      <c r="P158" s="5" t="s">
        <v>533</v>
      </c>
      <c r="Q158" s="5" t="s">
        <v>32</v>
      </c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  <c r="FS158" s="30"/>
      <c r="FT158" s="30"/>
      <c r="FU158" s="30"/>
      <c r="FV158" s="30"/>
      <c r="FW158" s="30"/>
      <c r="FX158" s="30"/>
      <c r="FY158" s="30"/>
      <c r="FZ158" s="30"/>
      <c r="GA158" s="30"/>
      <c r="GB158" s="30"/>
      <c r="GC158" s="30"/>
      <c r="GD158" s="30"/>
      <c r="GE158" s="30"/>
      <c r="GF158" s="30"/>
      <c r="GG158" s="30"/>
      <c r="GH158" s="30"/>
      <c r="GI158" s="30"/>
      <c r="GJ158" s="30"/>
      <c r="GK158" s="30"/>
      <c r="GL158" s="30"/>
      <c r="GM158" s="30"/>
      <c r="GN158" s="30"/>
      <c r="GO158" s="30"/>
      <c r="GP158" s="30"/>
      <c r="GQ158" s="30"/>
      <c r="GR158" s="30"/>
      <c r="GS158" s="30"/>
      <c r="GT158" s="30"/>
      <c r="GU158" s="30"/>
      <c r="GV158" s="30"/>
      <c r="GW158" s="30"/>
      <c r="GX158" s="30"/>
      <c r="GY158" s="30"/>
      <c r="GZ158" s="30"/>
      <c r="HA158" s="30"/>
      <c r="HB158" s="30"/>
      <c r="HC158" s="30"/>
      <c r="HD158" s="30"/>
      <c r="HE158" s="30"/>
      <c r="HF158" s="30"/>
      <c r="HG158" s="30"/>
      <c r="HH158" s="30"/>
      <c r="HI158" s="30"/>
      <c r="HJ158" s="30"/>
      <c r="HK158" s="30"/>
      <c r="HL158" s="30"/>
      <c r="HM158" s="30"/>
      <c r="HN158" s="30"/>
      <c r="HO158" s="30"/>
      <c r="HP158" s="30"/>
      <c r="HQ158" s="30"/>
      <c r="HR158" s="30"/>
      <c r="HS158" s="30"/>
      <c r="HT158" s="30"/>
      <c r="HU158" s="30"/>
      <c r="HV158" s="30"/>
      <c r="HW158" s="30"/>
      <c r="HX158" s="30"/>
      <c r="HY158" s="30"/>
      <c r="HZ158" s="30"/>
      <c r="IA158" s="30"/>
      <c r="IB158" s="30"/>
      <c r="IC158" s="30"/>
      <c r="ID158" s="30"/>
      <c r="IE158" s="30"/>
      <c r="IF158" s="30"/>
      <c r="IG158" s="30"/>
      <c r="IH158" s="30"/>
      <c r="II158" s="30"/>
      <c r="IJ158" s="30"/>
      <c r="IK158" s="30"/>
      <c r="IL158" s="30"/>
      <c r="IM158" s="30"/>
      <c r="IN158" s="30"/>
      <c r="IO158" s="30"/>
      <c r="IP158" s="30"/>
      <c r="IQ158" s="30"/>
      <c r="IR158" s="30"/>
      <c r="IS158" s="30"/>
      <c r="IT158" s="30"/>
      <c r="IU158" s="30"/>
      <c r="IV158" s="30"/>
      <c r="IW158" s="30"/>
      <c r="IX158" s="30"/>
      <c r="IY158" s="30"/>
      <c r="IZ158" s="30"/>
      <c r="JA158" s="30"/>
      <c r="JB158" s="30"/>
      <c r="JC158" s="30"/>
      <c r="JD158" s="30"/>
      <c r="JE158" s="30"/>
      <c r="JF158" s="30"/>
      <c r="JG158" s="30"/>
      <c r="JH158" s="30"/>
      <c r="JI158" s="30"/>
      <c r="JJ158" s="30"/>
      <c r="JK158" s="30"/>
      <c r="JL158" s="30"/>
      <c r="JM158" s="30"/>
      <c r="JN158" s="30"/>
      <c r="JO158" s="30"/>
      <c r="JP158" s="30"/>
      <c r="JQ158" s="30"/>
      <c r="JR158" s="30"/>
      <c r="JS158" s="30"/>
      <c r="JT158" s="30"/>
      <c r="JU158" s="30"/>
      <c r="JV158" s="30"/>
      <c r="JW158" s="30"/>
      <c r="JX158" s="30"/>
      <c r="JY158" s="30"/>
      <c r="JZ158" s="30"/>
      <c r="KA158" s="30"/>
      <c r="KB158" s="30"/>
      <c r="KC158" s="30"/>
      <c r="KD158" s="30"/>
      <c r="KE158" s="30"/>
      <c r="KF158" s="30"/>
      <c r="KG158" s="30"/>
      <c r="KH158" s="30"/>
      <c r="KI158" s="30"/>
      <c r="KJ158" s="30"/>
      <c r="KK158" s="30"/>
      <c r="KL158" s="30"/>
      <c r="KM158" s="30"/>
      <c r="KN158" s="30"/>
      <c r="KO158" s="30"/>
      <c r="KP158" s="30"/>
      <c r="KQ158" s="30"/>
      <c r="KR158" s="30"/>
      <c r="KS158" s="30"/>
      <c r="KT158" s="30"/>
      <c r="KU158" s="30"/>
      <c r="KV158" s="30"/>
      <c r="KW158" s="30"/>
      <c r="KX158" s="30"/>
      <c r="KY158" s="30"/>
      <c r="KZ158" s="30"/>
      <c r="LA158" s="30"/>
      <c r="LB158" s="30"/>
      <c r="LC158" s="30"/>
      <c r="LD158" s="30"/>
      <c r="LE158" s="30"/>
      <c r="LF158" s="30"/>
      <c r="LG158" s="30"/>
      <c r="LH158" s="30"/>
      <c r="LI158" s="30"/>
      <c r="LJ158" s="30"/>
      <c r="LK158" s="30"/>
      <c r="LL158" s="30"/>
      <c r="LM158" s="30"/>
      <c r="LN158" s="30"/>
      <c r="LO158" s="30"/>
      <c r="LP158" s="30"/>
      <c r="LQ158" s="30"/>
      <c r="LR158" s="30"/>
      <c r="LS158" s="30"/>
      <c r="LT158" s="30"/>
      <c r="LU158" s="30"/>
      <c r="LV158" s="30"/>
      <c r="LW158" s="30"/>
      <c r="LX158" s="30"/>
      <c r="LY158" s="30"/>
      <c r="LZ158" s="30"/>
      <c r="MA158" s="30"/>
      <c r="MB158" s="30"/>
      <c r="MC158" s="30"/>
      <c r="MD158" s="30"/>
      <c r="ME158" s="30"/>
      <c r="MF158" s="30"/>
      <c r="MG158" s="30"/>
      <c r="MH158" s="30"/>
      <c r="MI158" s="30"/>
      <c r="MJ158" s="30"/>
      <c r="MK158" s="30"/>
      <c r="ML158" s="30"/>
      <c r="MM158" s="30"/>
      <c r="MN158" s="30"/>
      <c r="MO158" s="30"/>
      <c r="MP158" s="30"/>
      <c r="MQ158" s="30"/>
      <c r="MR158" s="30"/>
      <c r="MS158" s="30"/>
      <c r="MT158" s="30"/>
      <c r="MU158" s="30"/>
      <c r="MV158" s="30"/>
      <c r="MW158" s="30"/>
      <c r="MX158" s="30"/>
      <c r="MY158" s="30"/>
      <c r="MZ158" s="30"/>
      <c r="NA158" s="30"/>
      <c r="NB158" s="30"/>
      <c r="NC158" s="30"/>
      <c r="ND158" s="30"/>
      <c r="NE158" s="30"/>
      <c r="NF158" s="30"/>
      <c r="NG158" s="30"/>
      <c r="NH158" s="30"/>
      <c r="NI158" s="30"/>
      <c r="NJ158" s="30"/>
      <c r="NK158" s="30"/>
      <c r="NL158" s="30"/>
      <c r="NM158" s="30"/>
      <c r="NN158" s="30"/>
      <c r="NO158" s="30"/>
      <c r="NP158" s="30"/>
      <c r="NQ158" s="30"/>
      <c r="NR158" s="30"/>
    </row>
    <row r="159" spans="1:382" s="3" customFormat="1" ht="20.100000000000001" customHeight="1" x14ac:dyDescent="0.4">
      <c r="A159" s="29">
        <v>1</v>
      </c>
      <c r="B159" s="5">
        <v>1391</v>
      </c>
      <c r="C159" s="5" t="s">
        <v>224</v>
      </c>
      <c r="D159" s="5" t="s">
        <v>220</v>
      </c>
      <c r="E159" s="5" t="s">
        <v>8</v>
      </c>
      <c r="F159" s="5" t="s">
        <v>32</v>
      </c>
      <c r="G159" s="5" t="s">
        <v>32</v>
      </c>
      <c r="H159" s="5" t="s">
        <v>32</v>
      </c>
      <c r="I159" s="8"/>
      <c r="J159" s="8"/>
      <c r="K159" s="8" t="str">
        <f>IF(OR(J159="",E159=""),"",J159+IFERROR(VLOOKUP(E159,リードタイム!$A$2:$C$9,3,FALSE),0))</f>
        <v/>
      </c>
      <c r="L159" s="5" t="s">
        <v>530</v>
      </c>
      <c r="M159" s="8"/>
      <c r="N159" s="8" t="str">
        <f>IF(OR(M159="",E159=""),"",M159+IFERROR(VLOOKUP(E159,リードタイム!$A$2:$D$9,4,FALSE),0))</f>
        <v/>
      </c>
      <c r="O159" s="5" t="s">
        <v>530</v>
      </c>
      <c r="P159" s="5" t="s">
        <v>530</v>
      </c>
      <c r="Q159" s="5" t="s">
        <v>221</v>
      </c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  <c r="FS159" s="30"/>
      <c r="FT159" s="30"/>
      <c r="FU159" s="30"/>
      <c r="FV159" s="30"/>
      <c r="FW159" s="30"/>
      <c r="FX159" s="30"/>
      <c r="FY159" s="30"/>
      <c r="FZ159" s="30"/>
      <c r="GA159" s="30"/>
      <c r="GB159" s="30"/>
      <c r="GC159" s="30"/>
      <c r="GD159" s="30"/>
      <c r="GE159" s="30"/>
      <c r="GF159" s="30"/>
      <c r="GG159" s="30"/>
      <c r="GH159" s="30"/>
      <c r="GI159" s="30"/>
      <c r="GJ159" s="30"/>
      <c r="GK159" s="30"/>
      <c r="GL159" s="30"/>
      <c r="GM159" s="30"/>
      <c r="GN159" s="30"/>
      <c r="GO159" s="30"/>
      <c r="GP159" s="30"/>
      <c r="GQ159" s="30"/>
      <c r="GR159" s="30"/>
      <c r="GS159" s="30"/>
      <c r="GT159" s="30"/>
      <c r="GU159" s="30"/>
      <c r="GV159" s="30"/>
      <c r="GW159" s="30"/>
      <c r="GX159" s="30"/>
      <c r="GY159" s="30"/>
      <c r="GZ159" s="30"/>
      <c r="HA159" s="30"/>
      <c r="HB159" s="30"/>
      <c r="HC159" s="30"/>
      <c r="HD159" s="30"/>
      <c r="HE159" s="30"/>
      <c r="HF159" s="30"/>
      <c r="HG159" s="30"/>
      <c r="HH159" s="30"/>
      <c r="HI159" s="30"/>
      <c r="HJ159" s="30"/>
      <c r="HK159" s="30"/>
      <c r="HL159" s="30"/>
      <c r="HM159" s="30"/>
      <c r="HN159" s="30"/>
      <c r="HO159" s="30"/>
      <c r="HP159" s="30"/>
      <c r="HQ159" s="30"/>
      <c r="HR159" s="30"/>
      <c r="HS159" s="30"/>
      <c r="HT159" s="30"/>
      <c r="HU159" s="30"/>
      <c r="HV159" s="30"/>
      <c r="HW159" s="30"/>
      <c r="HX159" s="30"/>
      <c r="HY159" s="30"/>
      <c r="HZ159" s="30"/>
      <c r="IA159" s="30"/>
      <c r="IB159" s="30"/>
      <c r="IC159" s="30"/>
      <c r="ID159" s="30"/>
      <c r="IE159" s="30"/>
      <c r="IF159" s="30"/>
      <c r="IG159" s="30"/>
      <c r="IH159" s="30"/>
      <c r="II159" s="30"/>
      <c r="IJ159" s="30"/>
      <c r="IK159" s="30"/>
      <c r="IL159" s="30"/>
      <c r="IM159" s="30"/>
      <c r="IN159" s="30"/>
      <c r="IO159" s="30"/>
      <c r="IP159" s="30"/>
      <c r="IQ159" s="30"/>
      <c r="IR159" s="30"/>
      <c r="IS159" s="30"/>
      <c r="IT159" s="30"/>
      <c r="IU159" s="30"/>
      <c r="IV159" s="30"/>
      <c r="IW159" s="30"/>
      <c r="IX159" s="30"/>
      <c r="IY159" s="30"/>
      <c r="IZ159" s="30"/>
      <c r="JA159" s="30"/>
      <c r="JB159" s="30"/>
      <c r="JC159" s="30"/>
      <c r="JD159" s="30"/>
      <c r="JE159" s="30"/>
      <c r="JF159" s="30"/>
      <c r="JG159" s="30"/>
      <c r="JH159" s="30"/>
      <c r="JI159" s="30"/>
      <c r="JJ159" s="30"/>
      <c r="JK159" s="30"/>
      <c r="JL159" s="30"/>
      <c r="JM159" s="30"/>
      <c r="JN159" s="30"/>
      <c r="JO159" s="30"/>
      <c r="JP159" s="30"/>
      <c r="JQ159" s="30"/>
      <c r="JR159" s="30"/>
      <c r="JS159" s="30"/>
      <c r="JT159" s="30"/>
      <c r="JU159" s="30"/>
      <c r="JV159" s="30"/>
      <c r="JW159" s="30"/>
      <c r="JX159" s="30"/>
      <c r="JY159" s="30"/>
      <c r="JZ159" s="30"/>
      <c r="KA159" s="30"/>
      <c r="KB159" s="30"/>
      <c r="KC159" s="30"/>
      <c r="KD159" s="30"/>
      <c r="KE159" s="30"/>
      <c r="KF159" s="30"/>
      <c r="KG159" s="30"/>
      <c r="KH159" s="30"/>
      <c r="KI159" s="30"/>
      <c r="KJ159" s="30"/>
      <c r="KK159" s="30"/>
      <c r="KL159" s="30"/>
      <c r="KM159" s="30"/>
      <c r="KN159" s="30"/>
      <c r="KO159" s="30"/>
      <c r="KP159" s="30"/>
      <c r="KQ159" s="30"/>
      <c r="KR159" s="30"/>
      <c r="KS159" s="30"/>
      <c r="KT159" s="30"/>
      <c r="KU159" s="30"/>
      <c r="KV159" s="30"/>
      <c r="KW159" s="30"/>
      <c r="KX159" s="30"/>
      <c r="KY159" s="30"/>
      <c r="KZ159" s="30"/>
      <c r="LA159" s="30"/>
      <c r="LB159" s="30"/>
      <c r="LC159" s="30"/>
      <c r="LD159" s="30"/>
      <c r="LE159" s="30"/>
      <c r="LF159" s="30"/>
      <c r="LG159" s="30"/>
      <c r="LH159" s="30"/>
      <c r="LI159" s="30"/>
      <c r="LJ159" s="30"/>
      <c r="LK159" s="30"/>
      <c r="LL159" s="30"/>
      <c r="LM159" s="30"/>
      <c r="LN159" s="30"/>
      <c r="LO159" s="30"/>
      <c r="LP159" s="30"/>
      <c r="LQ159" s="30"/>
      <c r="LR159" s="30"/>
      <c r="LS159" s="30"/>
      <c r="LT159" s="30"/>
      <c r="LU159" s="30"/>
      <c r="LV159" s="30"/>
      <c r="LW159" s="30"/>
      <c r="LX159" s="30"/>
      <c r="LY159" s="30"/>
      <c r="LZ159" s="30"/>
      <c r="MA159" s="30"/>
      <c r="MB159" s="30"/>
      <c r="MC159" s="30"/>
      <c r="MD159" s="30"/>
      <c r="ME159" s="30"/>
      <c r="MF159" s="30"/>
      <c r="MG159" s="30"/>
      <c r="MH159" s="30"/>
      <c r="MI159" s="30"/>
      <c r="MJ159" s="30"/>
      <c r="MK159" s="30"/>
      <c r="ML159" s="30"/>
      <c r="MM159" s="30"/>
      <c r="MN159" s="30"/>
      <c r="MO159" s="30"/>
      <c r="MP159" s="30"/>
      <c r="MQ159" s="30"/>
      <c r="MR159" s="30"/>
      <c r="MS159" s="30"/>
      <c r="MT159" s="30"/>
      <c r="MU159" s="30"/>
      <c r="MV159" s="30"/>
      <c r="MW159" s="30"/>
      <c r="MX159" s="30"/>
      <c r="MY159" s="30"/>
      <c r="MZ159" s="30"/>
      <c r="NA159" s="30"/>
      <c r="NB159" s="30"/>
      <c r="NC159" s="30"/>
      <c r="ND159" s="30"/>
      <c r="NE159" s="30"/>
      <c r="NF159" s="30"/>
      <c r="NG159" s="30"/>
      <c r="NH159" s="30"/>
      <c r="NI159" s="30"/>
      <c r="NJ159" s="30"/>
      <c r="NK159" s="30"/>
      <c r="NL159" s="30"/>
      <c r="NM159" s="30"/>
      <c r="NN159" s="30"/>
      <c r="NO159" s="30"/>
      <c r="NP159" s="30"/>
      <c r="NQ159" s="30"/>
      <c r="NR159" s="30"/>
    </row>
    <row r="160" spans="1:382" s="3" customFormat="1" ht="20.100000000000001" customHeight="1" x14ac:dyDescent="0.4">
      <c r="A160" s="29">
        <v>1</v>
      </c>
      <c r="B160" s="5">
        <v>1927</v>
      </c>
      <c r="C160" s="5" t="s">
        <v>225</v>
      </c>
      <c r="D160" s="5" t="s">
        <v>226</v>
      </c>
      <c r="E160" s="5" t="s">
        <v>4</v>
      </c>
      <c r="F160" s="5" t="s">
        <v>32</v>
      </c>
      <c r="G160" s="5" t="s">
        <v>32</v>
      </c>
      <c r="H160" s="5" t="s">
        <v>32</v>
      </c>
      <c r="I160" s="8"/>
      <c r="J160" s="8"/>
      <c r="K160" s="8" t="str">
        <f>IF(OR(J160="",E160=""),"",J160+IFERROR(VLOOKUP(E160,リードタイム!$A$2:$C$9,3,FALSE),0))</f>
        <v/>
      </c>
      <c r="L160" s="5" t="s">
        <v>531</v>
      </c>
      <c r="M160" s="8"/>
      <c r="N160" s="8" t="str">
        <f>IF(OR(M160="",E160=""),"",M160+IFERROR(VLOOKUP(E160,リードタイム!$A$2:$D$9,4,FALSE),0))</f>
        <v/>
      </c>
      <c r="O160" s="5" t="s">
        <v>531</v>
      </c>
      <c r="P160" s="5" t="s">
        <v>533</v>
      </c>
      <c r="Q160" s="5" t="s">
        <v>70</v>
      </c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  <c r="FS160" s="30"/>
      <c r="FT160" s="30"/>
      <c r="FU160" s="30"/>
      <c r="FV160" s="30"/>
      <c r="FW160" s="30"/>
      <c r="FX160" s="30"/>
      <c r="FY160" s="30"/>
      <c r="FZ160" s="30"/>
      <c r="GA160" s="30"/>
      <c r="GB160" s="30"/>
      <c r="GC160" s="30"/>
      <c r="GD160" s="30"/>
      <c r="GE160" s="30"/>
      <c r="GF160" s="30"/>
      <c r="GG160" s="30"/>
      <c r="GH160" s="30"/>
      <c r="GI160" s="30"/>
      <c r="GJ160" s="30"/>
      <c r="GK160" s="30"/>
      <c r="GL160" s="30"/>
      <c r="GM160" s="30"/>
      <c r="GN160" s="30"/>
      <c r="GO160" s="30"/>
      <c r="GP160" s="30"/>
      <c r="GQ160" s="30"/>
      <c r="GR160" s="30"/>
      <c r="GS160" s="30"/>
      <c r="GT160" s="30"/>
      <c r="GU160" s="30"/>
      <c r="GV160" s="30"/>
      <c r="GW160" s="30"/>
      <c r="GX160" s="30"/>
      <c r="GY160" s="30"/>
      <c r="GZ160" s="30"/>
      <c r="HA160" s="30"/>
      <c r="HB160" s="30"/>
      <c r="HC160" s="30"/>
      <c r="HD160" s="30"/>
      <c r="HE160" s="30"/>
      <c r="HF160" s="30"/>
      <c r="HG160" s="30"/>
      <c r="HH160" s="30"/>
      <c r="HI160" s="30"/>
      <c r="HJ160" s="30"/>
      <c r="HK160" s="30"/>
      <c r="HL160" s="30"/>
      <c r="HM160" s="30"/>
      <c r="HN160" s="30"/>
      <c r="HO160" s="30"/>
      <c r="HP160" s="30"/>
      <c r="HQ160" s="30"/>
      <c r="HR160" s="30"/>
      <c r="HS160" s="30"/>
      <c r="HT160" s="30"/>
      <c r="HU160" s="30"/>
      <c r="HV160" s="30"/>
      <c r="HW160" s="30"/>
      <c r="HX160" s="30"/>
      <c r="HY160" s="30"/>
      <c r="HZ160" s="30"/>
      <c r="IA160" s="30"/>
      <c r="IB160" s="30"/>
      <c r="IC160" s="30"/>
      <c r="ID160" s="30"/>
      <c r="IE160" s="30"/>
      <c r="IF160" s="30"/>
      <c r="IG160" s="30"/>
      <c r="IH160" s="30"/>
      <c r="II160" s="30"/>
      <c r="IJ160" s="30"/>
      <c r="IK160" s="30"/>
      <c r="IL160" s="30"/>
      <c r="IM160" s="30"/>
      <c r="IN160" s="30"/>
      <c r="IO160" s="30"/>
      <c r="IP160" s="30"/>
      <c r="IQ160" s="30"/>
      <c r="IR160" s="30"/>
      <c r="IS160" s="30"/>
      <c r="IT160" s="30"/>
      <c r="IU160" s="30"/>
      <c r="IV160" s="30"/>
      <c r="IW160" s="30"/>
      <c r="IX160" s="30"/>
      <c r="IY160" s="30"/>
      <c r="IZ160" s="30"/>
      <c r="JA160" s="30"/>
      <c r="JB160" s="30"/>
      <c r="JC160" s="30"/>
      <c r="JD160" s="30"/>
      <c r="JE160" s="30"/>
      <c r="JF160" s="30"/>
      <c r="JG160" s="30"/>
      <c r="JH160" s="30"/>
      <c r="JI160" s="30"/>
      <c r="JJ160" s="30"/>
      <c r="JK160" s="30"/>
      <c r="JL160" s="30"/>
      <c r="JM160" s="30"/>
      <c r="JN160" s="30"/>
      <c r="JO160" s="30"/>
      <c r="JP160" s="30"/>
      <c r="JQ160" s="30"/>
      <c r="JR160" s="30"/>
      <c r="JS160" s="30"/>
      <c r="JT160" s="30"/>
      <c r="JU160" s="30"/>
      <c r="JV160" s="30"/>
      <c r="JW160" s="30"/>
      <c r="JX160" s="30"/>
      <c r="JY160" s="30"/>
      <c r="JZ160" s="30"/>
      <c r="KA160" s="30"/>
      <c r="KB160" s="30"/>
      <c r="KC160" s="30"/>
      <c r="KD160" s="30"/>
      <c r="KE160" s="30"/>
      <c r="KF160" s="30"/>
      <c r="KG160" s="30"/>
      <c r="KH160" s="30"/>
      <c r="KI160" s="30"/>
      <c r="KJ160" s="30"/>
      <c r="KK160" s="30"/>
      <c r="KL160" s="30"/>
      <c r="KM160" s="30"/>
      <c r="KN160" s="30"/>
      <c r="KO160" s="30"/>
      <c r="KP160" s="30"/>
      <c r="KQ160" s="30"/>
      <c r="KR160" s="30"/>
      <c r="KS160" s="30"/>
      <c r="KT160" s="30"/>
      <c r="KU160" s="30"/>
      <c r="KV160" s="30"/>
      <c r="KW160" s="30"/>
      <c r="KX160" s="30"/>
      <c r="KY160" s="30"/>
      <c r="KZ160" s="30"/>
      <c r="LA160" s="30"/>
      <c r="LB160" s="30"/>
      <c r="LC160" s="30"/>
      <c r="LD160" s="30"/>
      <c r="LE160" s="30"/>
      <c r="LF160" s="30"/>
      <c r="LG160" s="30"/>
      <c r="LH160" s="30"/>
      <c r="LI160" s="30"/>
      <c r="LJ160" s="30"/>
      <c r="LK160" s="30"/>
      <c r="LL160" s="30"/>
      <c r="LM160" s="30"/>
      <c r="LN160" s="30"/>
      <c r="LO160" s="30"/>
      <c r="LP160" s="30"/>
      <c r="LQ160" s="30"/>
      <c r="LR160" s="30"/>
      <c r="LS160" s="30"/>
      <c r="LT160" s="30"/>
      <c r="LU160" s="30"/>
      <c r="LV160" s="30"/>
      <c r="LW160" s="30"/>
      <c r="LX160" s="30"/>
      <c r="LY160" s="30"/>
      <c r="LZ160" s="30"/>
      <c r="MA160" s="30"/>
      <c r="MB160" s="30"/>
      <c r="MC160" s="30"/>
      <c r="MD160" s="30"/>
      <c r="ME160" s="30"/>
      <c r="MF160" s="30"/>
      <c r="MG160" s="30"/>
      <c r="MH160" s="30"/>
      <c r="MI160" s="30"/>
      <c r="MJ160" s="30"/>
      <c r="MK160" s="30"/>
      <c r="ML160" s="30"/>
      <c r="MM160" s="30"/>
      <c r="MN160" s="30"/>
      <c r="MO160" s="30"/>
      <c r="MP160" s="30"/>
      <c r="MQ160" s="30"/>
      <c r="MR160" s="30"/>
      <c r="MS160" s="30"/>
      <c r="MT160" s="30"/>
      <c r="MU160" s="30"/>
      <c r="MV160" s="30"/>
      <c r="MW160" s="30"/>
      <c r="MX160" s="30"/>
      <c r="MY160" s="30"/>
      <c r="MZ160" s="30"/>
      <c r="NA160" s="30"/>
      <c r="NB160" s="30"/>
      <c r="NC160" s="30"/>
      <c r="ND160" s="30"/>
      <c r="NE160" s="30"/>
      <c r="NF160" s="30"/>
      <c r="NG160" s="30"/>
      <c r="NH160" s="30"/>
      <c r="NI160" s="30"/>
      <c r="NJ160" s="30"/>
      <c r="NK160" s="30"/>
      <c r="NL160" s="30"/>
      <c r="NM160" s="30"/>
      <c r="NN160" s="30"/>
      <c r="NO160" s="30"/>
      <c r="NP160" s="30"/>
      <c r="NQ160" s="30"/>
      <c r="NR160" s="30"/>
    </row>
    <row r="161" spans="1:382" s="3" customFormat="1" ht="20.100000000000001" customHeight="1" x14ac:dyDescent="0.4">
      <c r="A161" s="29">
        <v>1</v>
      </c>
      <c r="B161" s="5">
        <v>1927</v>
      </c>
      <c r="C161" s="5" t="s">
        <v>227</v>
      </c>
      <c r="D161" s="5" t="s">
        <v>228</v>
      </c>
      <c r="E161" s="5" t="s">
        <v>4</v>
      </c>
      <c r="F161" s="5" t="s">
        <v>32</v>
      </c>
      <c r="G161" s="5" t="s">
        <v>32</v>
      </c>
      <c r="H161" s="5" t="s">
        <v>32</v>
      </c>
      <c r="I161" s="8"/>
      <c r="J161" s="8"/>
      <c r="K161" s="8" t="str">
        <f>IF(OR(J161="",E161=""),"",J161+IFERROR(VLOOKUP(E161,リードタイム!$A$2:$C$9,3,FALSE),0))</f>
        <v/>
      </c>
      <c r="L161" s="5" t="s">
        <v>530</v>
      </c>
      <c r="M161" s="8"/>
      <c r="N161" s="8" t="str">
        <f>IF(OR(M161="",E161=""),"",M161+IFERROR(VLOOKUP(E161,リードタイム!$A$2:$D$9,4,FALSE),0))</f>
        <v/>
      </c>
      <c r="O161" s="5" t="s">
        <v>530</v>
      </c>
      <c r="P161" s="5" t="s">
        <v>530</v>
      </c>
      <c r="Q161" s="5" t="s">
        <v>70</v>
      </c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  <c r="FS161" s="30"/>
      <c r="FT161" s="30"/>
      <c r="FU161" s="30"/>
      <c r="FV161" s="30"/>
      <c r="FW161" s="30"/>
      <c r="FX161" s="30"/>
      <c r="FY161" s="30"/>
      <c r="FZ161" s="30"/>
      <c r="GA161" s="30"/>
      <c r="GB161" s="30"/>
      <c r="GC161" s="30"/>
      <c r="GD161" s="30"/>
      <c r="GE161" s="30"/>
      <c r="GF161" s="30"/>
      <c r="GG161" s="30"/>
      <c r="GH161" s="30"/>
      <c r="GI161" s="30"/>
      <c r="GJ161" s="30"/>
      <c r="GK161" s="30"/>
      <c r="GL161" s="30"/>
      <c r="GM161" s="30"/>
      <c r="GN161" s="30"/>
      <c r="GO161" s="30"/>
      <c r="GP161" s="30"/>
      <c r="GQ161" s="30"/>
      <c r="GR161" s="30"/>
      <c r="GS161" s="30"/>
      <c r="GT161" s="30"/>
      <c r="GU161" s="30"/>
      <c r="GV161" s="30"/>
      <c r="GW161" s="30"/>
      <c r="GX161" s="30"/>
      <c r="GY161" s="30"/>
      <c r="GZ161" s="30"/>
      <c r="HA161" s="30"/>
      <c r="HB161" s="30"/>
      <c r="HC161" s="30"/>
      <c r="HD161" s="30"/>
      <c r="HE161" s="30"/>
      <c r="HF161" s="30"/>
      <c r="HG161" s="30"/>
      <c r="HH161" s="30"/>
      <c r="HI161" s="30"/>
      <c r="HJ161" s="30"/>
      <c r="HK161" s="30"/>
      <c r="HL161" s="30"/>
      <c r="HM161" s="30"/>
      <c r="HN161" s="30"/>
      <c r="HO161" s="30"/>
      <c r="HP161" s="30"/>
      <c r="HQ161" s="30"/>
      <c r="HR161" s="30"/>
      <c r="HS161" s="30"/>
      <c r="HT161" s="30"/>
      <c r="HU161" s="30"/>
      <c r="HV161" s="30"/>
      <c r="HW161" s="30"/>
      <c r="HX161" s="30"/>
      <c r="HY161" s="30"/>
      <c r="HZ161" s="30"/>
      <c r="IA161" s="30"/>
      <c r="IB161" s="30"/>
      <c r="IC161" s="30"/>
      <c r="ID161" s="30"/>
      <c r="IE161" s="30"/>
      <c r="IF161" s="30"/>
      <c r="IG161" s="30"/>
      <c r="IH161" s="30"/>
      <c r="II161" s="30"/>
      <c r="IJ161" s="30"/>
      <c r="IK161" s="30"/>
      <c r="IL161" s="30"/>
      <c r="IM161" s="30"/>
      <c r="IN161" s="30"/>
      <c r="IO161" s="30"/>
      <c r="IP161" s="30"/>
      <c r="IQ161" s="30"/>
      <c r="IR161" s="30"/>
      <c r="IS161" s="30"/>
      <c r="IT161" s="30"/>
      <c r="IU161" s="30"/>
      <c r="IV161" s="30"/>
      <c r="IW161" s="30"/>
      <c r="IX161" s="30"/>
      <c r="IY161" s="30"/>
      <c r="IZ161" s="30"/>
      <c r="JA161" s="30"/>
      <c r="JB161" s="30"/>
      <c r="JC161" s="30"/>
      <c r="JD161" s="30"/>
      <c r="JE161" s="30"/>
      <c r="JF161" s="30"/>
      <c r="JG161" s="30"/>
      <c r="JH161" s="30"/>
      <c r="JI161" s="30"/>
      <c r="JJ161" s="30"/>
      <c r="JK161" s="30"/>
      <c r="JL161" s="30"/>
      <c r="JM161" s="30"/>
      <c r="JN161" s="30"/>
      <c r="JO161" s="30"/>
      <c r="JP161" s="30"/>
      <c r="JQ161" s="30"/>
      <c r="JR161" s="30"/>
      <c r="JS161" s="30"/>
      <c r="JT161" s="30"/>
      <c r="JU161" s="30"/>
      <c r="JV161" s="30"/>
      <c r="JW161" s="30"/>
      <c r="JX161" s="30"/>
      <c r="JY161" s="30"/>
      <c r="JZ161" s="30"/>
      <c r="KA161" s="30"/>
      <c r="KB161" s="30"/>
      <c r="KC161" s="30"/>
      <c r="KD161" s="30"/>
      <c r="KE161" s="30"/>
      <c r="KF161" s="30"/>
      <c r="KG161" s="30"/>
      <c r="KH161" s="30"/>
      <c r="KI161" s="30"/>
      <c r="KJ161" s="30"/>
      <c r="KK161" s="30"/>
      <c r="KL161" s="30"/>
      <c r="KM161" s="30"/>
      <c r="KN161" s="30"/>
      <c r="KO161" s="30"/>
      <c r="KP161" s="30"/>
      <c r="KQ161" s="30"/>
      <c r="KR161" s="30"/>
      <c r="KS161" s="30"/>
      <c r="KT161" s="30"/>
      <c r="KU161" s="30"/>
      <c r="KV161" s="30"/>
      <c r="KW161" s="30"/>
      <c r="KX161" s="30"/>
      <c r="KY161" s="30"/>
      <c r="KZ161" s="30"/>
      <c r="LA161" s="30"/>
      <c r="LB161" s="30"/>
      <c r="LC161" s="30"/>
      <c r="LD161" s="30"/>
      <c r="LE161" s="30"/>
      <c r="LF161" s="30"/>
      <c r="LG161" s="30"/>
      <c r="LH161" s="30"/>
      <c r="LI161" s="30"/>
      <c r="LJ161" s="30"/>
      <c r="LK161" s="30"/>
      <c r="LL161" s="30"/>
      <c r="LM161" s="30"/>
      <c r="LN161" s="30"/>
      <c r="LO161" s="30"/>
      <c r="LP161" s="30"/>
      <c r="LQ161" s="30"/>
      <c r="LR161" s="30"/>
      <c r="LS161" s="30"/>
      <c r="LT161" s="30"/>
      <c r="LU161" s="30"/>
      <c r="LV161" s="30"/>
      <c r="LW161" s="30"/>
      <c r="LX161" s="30"/>
      <c r="LY161" s="30"/>
      <c r="LZ161" s="30"/>
      <c r="MA161" s="30"/>
      <c r="MB161" s="30"/>
      <c r="MC161" s="30"/>
      <c r="MD161" s="30"/>
      <c r="ME161" s="30"/>
      <c r="MF161" s="30"/>
      <c r="MG161" s="30"/>
      <c r="MH161" s="30"/>
      <c r="MI161" s="30"/>
      <c r="MJ161" s="30"/>
      <c r="MK161" s="30"/>
      <c r="ML161" s="30"/>
      <c r="MM161" s="30"/>
      <c r="MN161" s="30"/>
      <c r="MO161" s="30"/>
      <c r="MP161" s="30"/>
      <c r="MQ161" s="30"/>
      <c r="MR161" s="30"/>
      <c r="MS161" s="30"/>
      <c r="MT161" s="30"/>
      <c r="MU161" s="30"/>
      <c r="MV161" s="30"/>
      <c r="MW161" s="30"/>
      <c r="MX161" s="30"/>
      <c r="MY161" s="30"/>
      <c r="MZ161" s="30"/>
      <c r="NA161" s="30"/>
      <c r="NB161" s="30"/>
      <c r="NC161" s="30"/>
      <c r="ND161" s="30"/>
      <c r="NE161" s="30"/>
      <c r="NF161" s="30"/>
      <c r="NG161" s="30"/>
      <c r="NH161" s="30"/>
      <c r="NI161" s="30"/>
      <c r="NJ161" s="30"/>
      <c r="NK161" s="30"/>
      <c r="NL161" s="30"/>
      <c r="NM161" s="30"/>
      <c r="NN161" s="30"/>
      <c r="NO161" s="30"/>
      <c r="NP161" s="30"/>
      <c r="NQ161" s="30"/>
      <c r="NR161" s="30"/>
    </row>
    <row r="162" spans="1:382" s="3" customFormat="1" ht="20.100000000000001" customHeight="1" x14ac:dyDescent="0.4">
      <c r="A162" s="29">
        <v>1</v>
      </c>
      <c r="B162" s="5">
        <v>1927</v>
      </c>
      <c r="C162" s="5" t="s">
        <v>229</v>
      </c>
      <c r="D162" s="5" t="s">
        <v>54</v>
      </c>
      <c r="E162" s="5" t="s">
        <v>4</v>
      </c>
      <c r="F162" s="5" t="s">
        <v>32</v>
      </c>
      <c r="G162" s="5" t="s">
        <v>32</v>
      </c>
      <c r="H162" s="5" t="s">
        <v>32</v>
      </c>
      <c r="I162" s="8"/>
      <c r="J162" s="8"/>
      <c r="K162" s="8" t="str">
        <f>IF(OR(J162="",E162=""),"",J162+IFERROR(VLOOKUP(E162,リードタイム!$A$2:$C$9,3,FALSE),0))</f>
        <v/>
      </c>
      <c r="L162" s="5" t="s">
        <v>531</v>
      </c>
      <c r="M162" s="8"/>
      <c r="N162" s="8" t="str">
        <f>IF(OR(M162="",E162=""),"",M162+IFERROR(VLOOKUP(E162,リードタイム!$A$2:$D$9,4,FALSE),0))</f>
        <v/>
      </c>
      <c r="O162" s="5" t="s">
        <v>531</v>
      </c>
      <c r="P162" s="5" t="s">
        <v>532</v>
      </c>
      <c r="Q162" s="5" t="s">
        <v>32</v>
      </c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  <c r="FS162" s="30"/>
      <c r="FT162" s="30"/>
      <c r="FU162" s="30"/>
      <c r="FV162" s="30"/>
      <c r="FW162" s="30"/>
      <c r="FX162" s="30"/>
      <c r="FY162" s="30"/>
      <c r="FZ162" s="30"/>
      <c r="GA162" s="30"/>
      <c r="GB162" s="30"/>
      <c r="GC162" s="30"/>
      <c r="GD162" s="30"/>
      <c r="GE162" s="30"/>
      <c r="GF162" s="30"/>
      <c r="GG162" s="30"/>
      <c r="GH162" s="30"/>
      <c r="GI162" s="30"/>
      <c r="GJ162" s="30"/>
      <c r="GK162" s="30"/>
      <c r="GL162" s="30"/>
      <c r="GM162" s="30"/>
      <c r="GN162" s="30"/>
      <c r="GO162" s="30"/>
      <c r="GP162" s="30"/>
      <c r="GQ162" s="30"/>
      <c r="GR162" s="30"/>
      <c r="GS162" s="30"/>
      <c r="GT162" s="30"/>
      <c r="GU162" s="30"/>
      <c r="GV162" s="30"/>
      <c r="GW162" s="30"/>
      <c r="GX162" s="30"/>
      <c r="GY162" s="30"/>
      <c r="GZ162" s="30"/>
      <c r="HA162" s="30"/>
      <c r="HB162" s="30"/>
      <c r="HC162" s="30"/>
      <c r="HD162" s="30"/>
      <c r="HE162" s="30"/>
      <c r="HF162" s="30"/>
      <c r="HG162" s="30"/>
      <c r="HH162" s="30"/>
      <c r="HI162" s="30"/>
      <c r="HJ162" s="30"/>
      <c r="HK162" s="30"/>
      <c r="HL162" s="30"/>
      <c r="HM162" s="30"/>
      <c r="HN162" s="30"/>
      <c r="HO162" s="30"/>
      <c r="HP162" s="30"/>
      <c r="HQ162" s="30"/>
      <c r="HR162" s="30"/>
      <c r="HS162" s="30"/>
      <c r="HT162" s="30"/>
      <c r="HU162" s="30"/>
      <c r="HV162" s="30"/>
      <c r="HW162" s="30"/>
      <c r="HX162" s="30"/>
      <c r="HY162" s="30"/>
      <c r="HZ162" s="30"/>
      <c r="IA162" s="30"/>
      <c r="IB162" s="30"/>
      <c r="IC162" s="30"/>
      <c r="ID162" s="30"/>
      <c r="IE162" s="30"/>
      <c r="IF162" s="30"/>
      <c r="IG162" s="30"/>
      <c r="IH162" s="30"/>
      <c r="II162" s="30"/>
      <c r="IJ162" s="30"/>
      <c r="IK162" s="30"/>
      <c r="IL162" s="30"/>
      <c r="IM162" s="30"/>
      <c r="IN162" s="30"/>
      <c r="IO162" s="30"/>
      <c r="IP162" s="30"/>
      <c r="IQ162" s="30"/>
      <c r="IR162" s="30"/>
      <c r="IS162" s="30"/>
      <c r="IT162" s="30"/>
      <c r="IU162" s="30"/>
      <c r="IV162" s="30"/>
      <c r="IW162" s="30"/>
      <c r="IX162" s="30"/>
      <c r="IY162" s="30"/>
      <c r="IZ162" s="30"/>
      <c r="JA162" s="30"/>
      <c r="JB162" s="30"/>
      <c r="JC162" s="30"/>
      <c r="JD162" s="30"/>
      <c r="JE162" s="30"/>
      <c r="JF162" s="30"/>
      <c r="JG162" s="30"/>
      <c r="JH162" s="30"/>
      <c r="JI162" s="30"/>
      <c r="JJ162" s="30"/>
      <c r="JK162" s="30"/>
      <c r="JL162" s="30"/>
      <c r="JM162" s="30"/>
      <c r="JN162" s="30"/>
      <c r="JO162" s="30"/>
      <c r="JP162" s="30"/>
      <c r="JQ162" s="30"/>
      <c r="JR162" s="30"/>
      <c r="JS162" s="30"/>
      <c r="JT162" s="30"/>
      <c r="JU162" s="30"/>
      <c r="JV162" s="30"/>
      <c r="JW162" s="30"/>
      <c r="JX162" s="30"/>
      <c r="JY162" s="30"/>
      <c r="JZ162" s="30"/>
      <c r="KA162" s="30"/>
      <c r="KB162" s="30"/>
      <c r="KC162" s="30"/>
      <c r="KD162" s="30"/>
      <c r="KE162" s="30"/>
      <c r="KF162" s="30"/>
      <c r="KG162" s="30"/>
      <c r="KH162" s="30"/>
      <c r="KI162" s="30"/>
      <c r="KJ162" s="30"/>
      <c r="KK162" s="30"/>
      <c r="KL162" s="30"/>
      <c r="KM162" s="30"/>
      <c r="KN162" s="30"/>
      <c r="KO162" s="30"/>
      <c r="KP162" s="30"/>
      <c r="KQ162" s="30"/>
      <c r="KR162" s="30"/>
      <c r="KS162" s="30"/>
      <c r="KT162" s="30"/>
      <c r="KU162" s="30"/>
      <c r="KV162" s="30"/>
      <c r="KW162" s="30"/>
      <c r="KX162" s="30"/>
      <c r="KY162" s="30"/>
      <c r="KZ162" s="30"/>
      <c r="LA162" s="30"/>
      <c r="LB162" s="30"/>
      <c r="LC162" s="30"/>
      <c r="LD162" s="30"/>
      <c r="LE162" s="30"/>
      <c r="LF162" s="30"/>
      <c r="LG162" s="30"/>
      <c r="LH162" s="30"/>
      <c r="LI162" s="30"/>
      <c r="LJ162" s="30"/>
      <c r="LK162" s="30"/>
      <c r="LL162" s="30"/>
      <c r="LM162" s="30"/>
      <c r="LN162" s="30"/>
      <c r="LO162" s="30"/>
      <c r="LP162" s="30"/>
      <c r="LQ162" s="30"/>
      <c r="LR162" s="30"/>
      <c r="LS162" s="30"/>
      <c r="LT162" s="30"/>
      <c r="LU162" s="30"/>
      <c r="LV162" s="30"/>
      <c r="LW162" s="30"/>
      <c r="LX162" s="30"/>
      <c r="LY162" s="30"/>
      <c r="LZ162" s="30"/>
      <c r="MA162" s="30"/>
      <c r="MB162" s="30"/>
      <c r="MC162" s="30"/>
      <c r="MD162" s="30"/>
      <c r="ME162" s="30"/>
      <c r="MF162" s="30"/>
      <c r="MG162" s="30"/>
      <c r="MH162" s="30"/>
      <c r="MI162" s="30"/>
      <c r="MJ162" s="30"/>
      <c r="MK162" s="30"/>
      <c r="ML162" s="30"/>
      <c r="MM162" s="30"/>
      <c r="MN162" s="30"/>
      <c r="MO162" s="30"/>
      <c r="MP162" s="30"/>
      <c r="MQ162" s="30"/>
      <c r="MR162" s="30"/>
      <c r="MS162" s="30"/>
      <c r="MT162" s="30"/>
      <c r="MU162" s="30"/>
      <c r="MV162" s="30"/>
      <c r="MW162" s="30"/>
      <c r="MX162" s="30"/>
      <c r="MY162" s="30"/>
      <c r="MZ162" s="30"/>
      <c r="NA162" s="30"/>
      <c r="NB162" s="30"/>
      <c r="NC162" s="30"/>
      <c r="ND162" s="30"/>
      <c r="NE162" s="30"/>
      <c r="NF162" s="30"/>
      <c r="NG162" s="30"/>
      <c r="NH162" s="30"/>
      <c r="NI162" s="30"/>
      <c r="NJ162" s="30"/>
      <c r="NK162" s="30"/>
      <c r="NL162" s="30"/>
      <c r="NM162" s="30"/>
      <c r="NN162" s="30"/>
      <c r="NO162" s="30"/>
      <c r="NP162" s="30"/>
      <c r="NQ162" s="30"/>
      <c r="NR162" s="30"/>
    </row>
    <row r="163" spans="1:382" s="3" customFormat="1" ht="20.100000000000001" customHeight="1" x14ac:dyDescent="0.4">
      <c r="A163" s="29">
        <v>1</v>
      </c>
      <c r="B163" s="5">
        <v>1927</v>
      </c>
      <c r="C163" s="5" t="s">
        <v>230</v>
      </c>
      <c r="D163" s="5" t="s">
        <v>226</v>
      </c>
      <c r="E163" s="5" t="s">
        <v>4</v>
      </c>
      <c r="F163" s="5" t="s">
        <v>32</v>
      </c>
      <c r="G163" s="5" t="s">
        <v>32</v>
      </c>
      <c r="H163" s="5" t="s">
        <v>32</v>
      </c>
      <c r="I163" s="8"/>
      <c r="J163" s="8"/>
      <c r="K163" s="8" t="str">
        <f>IF(OR(J163="",E163=""),"",J163+IFERROR(VLOOKUP(E163,リードタイム!$A$2:$C$9,3,FALSE),0))</f>
        <v/>
      </c>
      <c r="L163" s="5" t="s">
        <v>531</v>
      </c>
      <c r="M163" s="8"/>
      <c r="N163" s="8" t="str">
        <f>IF(OR(M163="",E163=""),"",M163+IFERROR(VLOOKUP(E163,リードタイム!$A$2:$D$9,4,FALSE),0))</f>
        <v/>
      </c>
      <c r="O163" s="5" t="s">
        <v>531</v>
      </c>
      <c r="P163" s="5" t="s">
        <v>533</v>
      </c>
      <c r="Q163" s="5" t="s">
        <v>70</v>
      </c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  <c r="FS163" s="30"/>
      <c r="FT163" s="30"/>
      <c r="FU163" s="30"/>
      <c r="FV163" s="30"/>
      <c r="FW163" s="30"/>
      <c r="FX163" s="30"/>
      <c r="FY163" s="30"/>
      <c r="FZ163" s="30"/>
      <c r="GA163" s="30"/>
      <c r="GB163" s="30"/>
      <c r="GC163" s="30"/>
      <c r="GD163" s="30"/>
      <c r="GE163" s="30"/>
      <c r="GF163" s="30"/>
      <c r="GG163" s="30"/>
      <c r="GH163" s="30"/>
      <c r="GI163" s="30"/>
      <c r="GJ163" s="30"/>
      <c r="GK163" s="30"/>
      <c r="GL163" s="30"/>
      <c r="GM163" s="30"/>
      <c r="GN163" s="30"/>
      <c r="GO163" s="30"/>
      <c r="GP163" s="30"/>
      <c r="GQ163" s="30"/>
      <c r="GR163" s="30"/>
      <c r="GS163" s="30"/>
      <c r="GT163" s="30"/>
      <c r="GU163" s="30"/>
      <c r="GV163" s="30"/>
      <c r="GW163" s="30"/>
      <c r="GX163" s="30"/>
      <c r="GY163" s="30"/>
      <c r="GZ163" s="30"/>
      <c r="HA163" s="30"/>
      <c r="HB163" s="30"/>
      <c r="HC163" s="30"/>
      <c r="HD163" s="30"/>
      <c r="HE163" s="30"/>
      <c r="HF163" s="30"/>
      <c r="HG163" s="30"/>
      <c r="HH163" s="30"/>
      <c r="HI163" s="30"/>
      <c r="HJ163" s="30"/>
      <c r="HK163" s="30"/>
      <c r="HL163" s="30"/>
      <c r="HM163" s="30"/>
      <c r="HN163" s="30"/>
      <c r="HO163" s="30"/>
      <c r="HP163" s="30"/>
      <c r="HQ163" s="30"/>
      <c r="HR163" s="30"/>
      <c r="HS163" s="30"/>
      <c r="HT163" s="30"/>
      <c r="HU163" s="30"/>
      <c r="HV163" s="30"/>
      <c r="HW163" s="30"/>
      <c r="HX163" s="30"/>
      <c r="HY163" s="30"/>
      <c r="HZ163" s="30"/>
      <c r="IA163" s="30"/>
      <c r="IB163" s="30"/>
      <c r="IC163" s="30"/>
      <c r="ID163" s="30"/>
      <c r="IE163" s="30"/>
      <c r="IF163" s="30"/>
      <c r="IG163" s="30"/>
      <c r="IH163" s="30"/>
      <c r="II163" s="30"/>
      <c r="IJ163" s="30"/>
      <c r="IK163" s="30"/>
      <c r="IL163" s="30"/>
      <c r="IM163" s="30"/>
      <c r="IN163" s="30"/>
      <c r="IO163" s="30"/>
      <c r="IP163" s="30"/>
      <c r="IQ163" s="30"/>
      <c r="IR163" s="30"/>
      <c r="IS163" s="30"/>
      <c r="IT163" s="30"/>
      <c r="IU163" s="30"/>
      <c r="IV163" s="30"/>
      <c r="IW163" s="30"/>
      <c r="IX163" s="30"/>
      <c r="IY163" s="30"/>
      <c r="IZ163" s="30"/>
      <c r="JA163" s="30"/>
      <c r="JB163" s="30"/>
      <c r="JC163" s="30"/>
      <c r="JD163" s="30"/>
      <c r="JE163" s="30"/>
      <c r="JF163" s="30"/>
      <c r="JG163" s="30"/>
      <c r="JH163" s="30"/>
      <c r="JI163" s="30"/>
      <c r="JJ163" s="30"/>
      <c r="JK163" s="30"/>
      <c r="JL163" s="30"/>
      <c r="JM163" s="30"/>
      <c r="JN163" s="30"/>
      <c r="JO163" s="30"/>
      <c r="JP163" s="30"/>
      <c r="JQ163" s="30"/>
      <c r="JR163" s="30"/>
      <c r="JS163" s="30"/>
      <c r="JT163" s="30"/>
      <c r="JU163" s="30"/>
      <c r="JV163" s="30"/>
      <c r="JW163" s="30"/>
      <c r="JX163" s="30"/>
      <c r="JY163" s="30"/>
      <c r="JZ163" s="30"/>
      <c r="KA163" s="30"/>
      <c r="KB163" s="30"/>
      <c r="KC163" s="30"/>
      <c r="KD163" s="30"/>
      <c r="KE163" s="30"/>
      <c r="KF163" s="30"/>
      <c r="KG163" s="30"/>
      <c r="KH163" s="30"/>
      <c r="KI163" s="30"/>
      <c r="KJ163" s="30"/>
      <c r="KK163" s="30"/>
      <c r="KL163" s="30"/>
      <c r="KM163" s="30"/>
      <c r="KN163" s="30"/>
      <c r="KO163" s="30"/>
      <c r="KP163" s="30"/>
      <c r="KQ163" s="30"/>
      <c r="KR163" s="30"/>
      <c r="KS163" s="30"/>
      <c r="KT163" s="30"/>
      <c r="KU163" s="30"/>
      <c r="KV163" s="30"/>
      <c r="KW163" s="30"/>
      <c r="KX163" s="30"/>
      <c r="KY163" s="30"/>
      <c r="KZ163" s="30"/>
      <c r="LA163" s="30"/>
      <c r="LB163" s="30"/>
      <c r="LC163" s="30"/>
      <c r="LD163" s="30"/>
      <c r="LE163" s="30"/>
      <c r="LF163" s="30"/>
      <c r="LG163" s="30"/>
      <c r="LH163" s="30"/>
      <c r="LI163" s="30"/>
      <c r="LJ163" s="30"/>
      <c r="LK163" s="30"/>
      <c r="LL163" s="30"/>
      <c r="LM163" s="30"/>
      <c r="LN163" s="30"/>
      <c r="LO163" s="30"/>
      <c r="LP163" s="30"/>
      <c r="LQ163" s="30"/>
      <c r="LR163" s="30"/>
      <c r="LS163" s="30"/>
      <c r="LT163" s="30"/>
      <c r="LU163" s="30"/>
      <c r="LV163" s="30"/>
      <c r="LW163" s="30"/>
      <c r="LX163" s="30"/>
      <c r="LY163" s="30"/>
      <c r="LZ163" s="30"/>
      <c r="MA163" s="30"/>
      <c r="MB163" s="30"/>
      <c r="MC163" s="30"/>
      <c r="MD163" s="30"/>
      <c r="ME163" s="30"/>
      <c r="MF163" s="30"/>
      <c r="MG163" s="30"/>
      <c r="MH163" s="30"/>
      <c r="MI163" s="30"/>
      <c r="MJ163" s="30"/>
      <c r="MK163" s="30"/>
      <c r="ML163" s="30"/>
      <c r="MM163" s="30"/>
      <c r="MN163" s="30"/>
      <c r="MO163" s="30"/>
      <c r="MP163" s="30"/>
      <c r="MQ163" s="30"/>
      <c r="MR163" s="30"/>
      <c r="MS163" s="30"/>
      <c r="MT163" s="30"/>
      <c r="MU163" s="30"/>
      <c r="MV163" s="30"/>
      <c r="MW163" s="30"/>
      <c r="MX163" s="30"/>
      <c r="MY163" s="30"/>
      <c r="MZ163" s="30"/>
      <c r="NA163" s="30"/>
      <c r="NB163" s="30"/>
      <c r="NC163" s="30"/>
      <c r="ND163" s="30"/>
      <c r="NE163" s="30"/>
      <c r="NF163" s="30"/>
      <c r="NG163" s="30"/>
      <c r="NH163" s="30"/>
      <c r="NI163" s="30"/>
      <c r="NJ163" s="30"/>
      <c r="NK163" s="30"/>
      <c r="NL163" s="30"/>
      <c r="NM163" s="30"/>
      <c r="NN163" s="30"/>
      <c r="NO163" s="30"/>
      <c r="NP163" s="30"/>
      <c r="NQ163" s="30"/>
      <c r="NR163" s="30"/>
    </row>
    <row r="164" spans="1:382" s="3" customFormat="1" ht="20.100000000000001" customHeight="1" x14ac:dyDescent="0.4">
      <c r="A164" s="29">
        <v>2</v>
      </c>
      <c r="B164" s="5">
        <v>1982</v>
      </c>
      <c r="C164" s="5" t="s">
        <v>230</v>
      </c>
      <c r="D164" s="5" t="s">
        <v>231</v>
      </c>
      <c r="E164" s="5" t="s">
        <v>4</v>
      </c>
      <c r="F164" s="5" t="s">
        <v>32</v>
      </c>
      <c r="G164" s="5" t="s">
        <v>32</v>
      </c>
      <c r="H164" s="5" t="s">
        <v>32</v>
      </c>
      <c r="I164" s="8"/>
      <c r="J164" s="8"/>
      <c r="K164" s="8" t="str">
        <f>IF(OR(J164="",E164=""),"",J164+IFERROR(VLOOKUP(E164,リードタイム!$A$2:$C$9,3,FALSE),0))</f>
        <v/>
      </c>
      <c r="L164" s="5" t="s">
        <v>530</v>
      </c>
      <c r="M164" s="8"/>
      <c r="N164" s="8" t="str">
        <f>IF(OR(M164="",E164=""),"",M164+IFERROR(VLOOKUP(E164,リードタイム!$A$2:$D$9,4,FALSE),0))</f>
        <v/>
      </c>
      <c r="O164" s="5" t="s">
        <v>530</v>
      </c>
      <c r="P164" s="5" t="s">
        <v>530</v>
      </c>
      <c r="Q164" s="5" t="s">
        <v>232</v>
      </c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  <c r="FS164" s="30"/>
      <c r="FT164" s="30"/>
      <c r="FU164" s="30"/>
      <c r="FV164" s="30"/>
      <c r="FW164" s="30"/>
      <c r="FX164" s="30"/>
      <c r="FY164" s="30"/>
      <c r="FZ164" s="30"/>
      <c r="GA164" s="30"/>
      <c r="GB164" s="30"/>
      <c r="GC164" s="30"/>
      <c r="GD164" s="30"/>
      <c r="GE164" s="30"/>
      <c r="GF164" s="30"/>
      <c r="GG164" s="30"/>
      <c r="GH164" s="30"/>
      <c r="GI164" s="30"/>
      <c r="GJ164" s="30"/>
      <c r="GK164" s="30"/>
      <c r="GL164" s="30"/>
      <c r="GM164" s="30"/>
      <c r="GN164" s="30"/>
      <c r="GO164" s="30"/>
      <c r="GP164" s="30"/>
      <c r="GQ164" s="30"/>
      <c r="GR164" s="30"/>
      <c r="GS164" s="30"/>
      <c r="GT164" s="30"/>
      <c r="GU164" s="30"/>
      <c r="GV164" s="30"/>
      <c r="GW164" s="30"/>
      <c r="GX164" s="30"/>
      <c r="GY164" s="30"/>
      <c r="GZ164" s="30"/>
      <c r="HA164" s="30"/>
      <c r="HB164" s="30"/>
      <c r="HC164" s="30"/>
      <c r="HD164" s="30"/>
      <c r="HE164" s="30"/>
      <c r="HF164" s="30"/>
      <c r="HG164" s="30"/>
      <c r="HH164" s="30"/>
      <c r="HI164" s="30"/>
      <c r="HJ164" s="30"/>
      <c r="HK164" s="30"/>
      <c r="HL164" s="30"/>
      <c r="HM164" s="30"/>
      <c r="HN164" s="30"/>
      <c r="HO164" s="30"/>
      <c r="HP164" s="30"/>
      <c r="HQ164" s="30"/>
      <c r="HR164" s="30"/>
      <c r="HS164" s="30"/>
      <c r="HT164" s="30"/>
      <c r="HU164" s="30"/>
      <c r="HV164" s="30"/>
      <c r="HW164" s="30"/>
      <c r="HX164" s="30"/>
      <c r="HY164" s="30"/>
      <c r="HZ164" s="30"/>
      <c r="IA164" s="30"/>
      <c r="IB164" s="30"/>
      <c r="IC164" s="30"/>
      <c r="ID164" s="30"/>
      <c r="IE164" s="30"/>
      <c r="IF164" s="30"/>
      <c r="IG164" s="30"/>
      <c r="IH164" s="30"/>
      <c r="II164" s="30"/>
      <c r="IJ164" s="30"/>
      <c r="IK164" s="30"/>
      <c r="IL164" s="30"/>
      <c r="IM164" s="30"/>
      <c r="IN164" s="30"/>
      <c r="IO164" s="30"/>
      <c r="IP164" s="30"/>
      <c r="IQ164" s="30"/>
      <c r="IR164" s="30"/>
      <c r="IS164" s="30"/>
      <c r="IT164" s="30"/>
      <c r="IU164" s="30"/>
      <c r="IV164" s="30"/>
      <c r="IW164" s="30"/>
      <c r="IX164" s="30"/>
      <c r="IY164" s="30"/>
      <c r="IZ164" s="30"/>
      <c r="JA164" s="30"/>
      <c r="JB164" s="30"/>
      <c r="JC164" s="30"/>
      <c r="JD164" s="30"/>
      <c r="JE164" s="30"/>
      <c r="JF164" s="30"/>
      <c r="JG164" s="30"/>
      <c r="JH164" s="30"/>
      <c r="JI164" s="30"/>
      <c r="JJ164" s="30"/>
      <c r="JK164" s="30"/>
      <c r="JL164" s="30"/>
      <c r="JM164" s="30"/>
      <c r="JN164" s="30"/>
      <c r="JO164" s="30"/>
      <c r="JP164" s="30"/>
      <c r="JQ164" s="30"/>
      <c r="JR164" s="30"/>
      <c r="JS164" s="30"/>
      <c r="JT164" s="30"/>
      <c r="JU164" s="30"/>
      <c r="JV164" s="30"/>
      <c r="JW164" s="30"/>
      <c r="JX164" s="30"/>
      <c r="JY164" s="30"/>
      <c r="JZ164" s="30"/>
      <c r="KA164" s="30"/>
      <c r="KB164" s="30"/>
      <c r="KC164" s="30"/>
      <c r="KD164" s="30"/>
      <c r="KE164" s="30"/>
      <c r="KF164" s="30"/>
      <c r="KG164" s="30"/>
      <c r="KH164" s="30"/>
      <c r="KI164" s="30"/>
      <c r="KJ164" s="30"/>
      <c r="KK164" s="30"/>
      <c r="KL164" s="30"/>
      <c r="KM164" s="30"/>
      <c r="KN164" s="30"/>
      <c r="KO164" s="30"/>
      <c r="KP164" s="30"/>
      <c r="KQ164" s="30"/>
      <c r="KR164" s="30"/>
      <c r="KS164" s="30"/>
      <c r="KT164" s="30"/>
      <c r="KU164" s="30"/>
      <c r="KV164" s="30"/>
      <c r="KW164" s="30"/>
      <c r="KX164" s="30"/>
      <c r="KY164" s="30"/>
      <c r="KZ164" s="30"/>
      <c r="LA164" s="30"/>
      <c r="LB164" s="30"/>
      <c r="LC164" s="30"/>
      <c r="LD164" s="30"/>
      <c r="LE164" s="30"/>
      <c r="LF164" s="30"/>
      <c r="LG164" s="30"/>
      <c r="LH164" s="30"/>
      <c r="LI164" s="30"/>
      <c r="LJ164" s="30"/>
      <c r="LK164" s="30"/>
      <c r="LL164" s="30"/>
      <c r="LM164" s="30"/>
      <c r="LN164" s="30"/>
      <c r="LO164" s="30"/>
      <c r="LP164" s="30"/>
      <c r="LQ164" s="30"/>
      <c r="LR164" s="30"/>
      <c r="LS164" s="30"/>
      <c r="LT164" s="30"/>
      <c r="LU164" s="30"/>
      <c r="LV164" s="30"/>
      <c r="LW164" s="30"/>
      <c r="LX164" s="30"/>
      <c r="LY164" s="30"/>
      <c r="LZ164" s="30"/>
      <c r="MA164" s="30"/>
      <c r="MB164" s="30"/>
      <c r="MC164" s="30"/>
      <c r="MD164" s="30"/>
      <c r="ME164" s="30"/>
      <c r="MF164" s="30"/>
      <c r="MG164" s="30"/>
      <c r="MH164" s="30"/>
      <c r="MI164" s="30"/>
      <c r="MJ164" s="30"/>
      <c r="MK164" s="30"/>
      <c r="ML164" s="30"/>
      <c r="MM164" s="30"/>
      <c r="MN164" s="30"/>
      <c r="MO164" s="30"/>
      <c r="MP164" s="30"/>
      <c r="MQ164" s="30"/>
      <c r="MR164" s="30"/>
      <c r="MS164" s="30"/>
      <c r="MT164" s="30"/>
      <c r="MU164" s="30"/>
      <c r="MV164" s="30"/>
      <c r="MW164" s="30"/>
      <c r="MX164" s="30"/>
      <c r="MY164" s="30"/>
      <c r="MZ164" s="30"/>
      <c r="NA164" s="30"/>
      <c r="NB164" s="30"/>
      <c r="NC164" s="30"/>
      <c r="ND164" s="30"/>
      <c r="NE164" s="30"/>
      <c r="NF164" s="30"/>
      <c r="NG164" s="30"/>
      <c r="NH164" s="30"/>
      <c r="NI164" s="30"/>
      <c r="NJ164" s="30"/>
      <c r="NK164" s="30"/>
      <c r="NL164" s="30"/>
      <c r="NM164" s="30"/>
      <c r="NN164" s="30"/>
      <c r="NO164" s="30"/>
      <c r="NP164" s="30"/>
      <c r="NQ164" s="30"/>
      <c r="NR164" s="30"/>
    </row>
    <row r="165" spans="1:382" s="3" customFormat="1" ht="20.100000000000001" customHeight="1" x14ac:dyDescent="0.4">
      <c r="A165" s="29">
        <v>1</v>
      </c>
      <c r="B165" s="5">
        <v>1927</v>
      </c>
      <c r="C165" s="5" t="s">
        <v>233</v>
      </c>
      <c r="D165" s="5" t="s">
        <v>54</v>
      </c>
      <c r="E165" s="5" t="s">
        <v>4</v>
      </c>
      <c r="F165" s="5" t="s">
        <v>32</v>
      </c>
      <c r="G165" s="5" t="s">
        <v>32</v>
      </c>
      <c r="H165" s="5" t="s">
        <v>32</v>
      </c>
      <c r="I165" s="8"/>
      <c r="J165" s="8"/>
      <c r="K165" s="8" t="str">
        <f>IF(OR(J165="",E165=""),"",J165+IFERROR(VLOOKUP(E165,リードタイム!$A$2:$C$9,3,FALSE),0))</f>
        <v/>
      </c>
      <c r="L165" s="5" t="s">
        <v>531</v>
      </c>
      <c r="M165" s="8"/>
      <c r="N165" s="8" t="str">
        <f>IF(OR(M165="",E165=""),"",M165+IFERROR(VLOOKUP(E165,リードタイム!$A$2:$D$9,4,FALSE),0))</f>
        <v/>
      </c>
      <c r="O165" s="5" t="s">
        <v>531</v>
      </c>
      <c r="P165" s="5" t="s">
        <v>533</v>
      </c>
      <c r="Q165" s="5" t="s">
        <v>70</v>
      </c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  <c r="FS165" s="30"/>
      <c r="FT165" s="30"/>
      <c r="FU165" s="30"/>
      <c r="FV165" s="30"/>
      <c r="FW165" s="30"/>
      <c r="FX165" s="30"/>
      <c r="FY165" s="30"/>
      <c r="FZ165" s="30"/>
      <c r="GA165" s="30"/>
      <c r="GB165" s="30"/>
      <c r="GC165" s="30"/>
      <c r="GD165" s="30"/>
      <c r="GE165" s="30"/>
      <c r="GF165" s="30"/>
      <c r="GG165" s="30"/>
      <c r="GH165" s="30"/>
      <c r="GI165" s="30"/>
      <c r="GJ165" s="30"/>
      <c r="GK165" s="30"/>
      <c r="GL165" s="30"/>
      <c r="GM165" s="30"/>
      <c r="GN165" s="30"/>
      <c r="GO165" s="30"/>
      <c r="GP165" s="30"/>
      <c r="GQ165" s="30"/>
      <c r="GR165" s="30"/>
      <c r="GS165" s="30"/>
      <c r="GT165" s="30"/>
      <c r="GU165" s="30"/>
      <c r="GV165" s="30"/>
      <c r="GW165" s="30"/>
      <c r="GX165" s="30"/>
      <c r="GY165" s="30"/>
      <c r="GZ165" s="30"/>
      <c r="HA165" s="30"/>
      <c r="HB165" s="30"/>
      <c r="HC165" s="30"/>
      <c r="HD165" s="30"/>
      <c r="HE165" s="30"/>
      <c r="HF165" s="30"/>
      <c r="HG165" s="30"/>
      <c r="HH165" s="30"/>
      <c r="HI165" s="30"/>
      <c r="HJ165" s="30"/>
      <c r="HK165" s="30"/>
      <c r="HL165" s="30"/>
      <c r="HM165" s="30"/>
      <c r="HN165" s="30"/>
      <c r="HO165" s="30"/>
      <c r="HP165" s="30"/>
      <c r="HQ165" s="30"/>
      <c r="HR165" s="30"/>
      <c r="HS165" s="30"/>
      <c r="HT165" s="30"/>
      <c r="HU165" s="30"/>
      <c r="HV165" s="30"/>
      <c r="HW165" s="30"/>
      <c r="HX165" s="30"/>
      <c r="HY165" s="30"/>
      <c r="HZ165" s="30"/>
      <c r="IA165" s="30"/>
      <c r="IB165" s="30"/>
      <c r="IC165" s="30"/>
      <c r="ID165" s="30"/>
      <c r="IE165" s="30"/>
      <c r="IF165" s="30"/>
      <c r="IG165" s="30"/>
      <c r="IH165" s="30"/>
      <c r="II165" s="30"/>
      <c r="IJ165" s="30"/>
      <c r="IK165" s="30"/>
      <c r="IL165" s="30"/>
      <c r="IM165" s="30"/>
      <c r="IN165" s="30"/>
      <c r="IO165" s="30"/>
      <c r="IP165" s="30"/>
      <c r="IQ165" s="30"/>
      <c r="IR165" s="30"/>
      <c r="IS165" s="30"/>
      <c r="IT165" s="30"/>
      <c r="IU165" s="30"/>
      <c r="IV165" s="30"/>
      <c r="IW165" s="30"/>
      <c r="IX165" s="30"/>
      <c r="IY165" s="30"/>
      <c r="IZ165" s="30"/>
      <c r="JA165" s="30"/>
      <c r="JB165" s="30"/>
      <c r="JC165" s="30"/>
      <c r="JD165" s="30"/>
      <c r="JE165" s="30"/>
      <c r="JF165" s="30"/>
      <c r="JG165" s="30"/>
      <c r="JH165" s="30"/>
      <c r="JI165" s="30"/>
      <c r="JJ165" s="30"/>
      <c r="JK165" s="30"/>
      <c r="JL165" s="30"/>
      <c r="JM165" s="30"/>
      <c r="JN165" s="30"/>
      <c r="JO165" s="30"/>
      <c r="JP165" s="30"/>
      <c r="JQ165" s="30"/>
      <c r="JR165" s="30"/>
      <c r="JS165" s="30"/>
      <c r="JT165" s="30"/>
      <c r="JU165" s="30"/>
      <c r="JV165" s="30"/>
      <c r="JW165" s="30"/>
      <c r="JX165" s="30"/>
      <c r="JY165" s="30"/>
      <c r="JZ165" s="30"/>
      <c r="KA165" s="30"/>
      <c r="KB165" s="30"/>
      <c r="KC165" s="30"/>
      <c r="KD165" s="30"/>
      <c r="KE165" s="30"/>
      <c r="KF165" s="30"/>
      <c r="KG165" s="30"/>
      <c r="KH165" s="30"/>
      <c r="KI165" s="30"/>
      <c r="KJ165" s="30"/>
      <c r="KK165" s="30"/>
      <c r="KL165" s="30"/>
      <c r="KM165" s="30"/>
      <c r="KN165" s="30"/>
      <c r="KO165" s="30"/>
      <c r="KP165" s="30"/>
      <c r="KQ165" s="30"/>
      <c r="KR165" s="30"/>
      <c r="KS165" s="30"/>
      <c r="KT165" s="30"/>
      <c r="KU165" s="30"/>
      <c r="KV165" s="30"/>
      <c r="KW165" s="30"/>
      <c r="KX165" s="30"/>
      <c r="KY165" s="30"/>
      <c r="KZ165" s="30"/>
      <c r="LA165" s="30"/>
      <c r="LB165" s="30"/>
      <c r="LC165" s="30"/>
      <c r="LD165" s="30"/>
      <c r="LE165" s="30"/>
      <c r="LF165" s="30"/>
      <c r="LG165" s="30"/>
      <c r="LH165" s="30"/>
      <c r="LI165" s="30"/>
      <c r="LJ165" s="30"/>
      <c r="LK165" s="30"/>
      <c r="LL165" s="30"/>
      <c r="LM165" s="30"/>
      <c r="LN165" s="30"/>
      <c r="LO165" s="30"/>
      <c r="LP165" s="30"/>
      <c r="LQ165" s="30"/>
      <c r="LR165" s="30"/>
      <c r="LS165" s="30"/>
      <c r="LT165" s="30"/>
      <c r="LU165" s="30"/>
      <c r="LV165" s="30"/>
      <c r="LW165" s="30"/>
      <c r="LX165" s="30"/>
      <c r="LY165" s="30"/>
      <c r="LZ165" s="30"/>
      <c r="MA165" s="30"/>
      <c r="MB165" s="30"/>
      <c r="MC165" s="30"/>
      <c r="MD165" s="30"/>
      <c r="ME165" s="30"/>
      <c r="MF165" s="30"/>
      <c r="MG165" s="30"/>
      <c r="MH165" s="30"/>
      <c r="MI165" s="30"/>
      <c r="MJ165" s="30"/>
      <c r="MK165" s="30"/>
      <c r="ML165" s="30"/>
      <c r="MM165" s="30"/>
      <c r="MN165" s="30"/>
      <c r="MO165" s="30"/>
      <c r="MP165" s="30"/>
      <c r="MQ165" s="30"/>
      <c r="MR165" s="30"/>
      <c r="MS165" s="30"/>
      <c r="MT165" s="30"/>
      <c r="MU165" s="30"/>
      <c r="MV165" s="30"/>
      <c r="MW165" s="30"/>
      <c r="MX165" s="30"/>
      <c r="MY165" s="30"/>
      <c r="MZ165" s="30"/>
      <c r="NA165" s="30"/>
      <c r="NB165" s="30"/>
      <c r="NC165" s="30"/>
      <c r="ND165" s="30"/>
      <c r="NE165" s="30"/>
      <c r="NF165" s="30"/>
      <c r="NG165" s="30"/>
      <c r="NH165" s="30"/>
      <c r="NI165" s="30"/>
      <c r="NJ165" s="30"/>
      <c r="NK165" s="30"/>
      <c r="NL165" s="30"/>
      <c r="NM165" s="30"/>
      <c r="NN165" s="30"/>
      <c r="NO165" s="30"/>
      <c r="NP165" s="30"/>
      <c r="NQ165" s="30"/>
      <c r="NR165" s="30"/>
    </row>
    <row r="166" spans="1:382" s="3" customFormat="1" ht="20.100000000000001" customHeight="1" x14ac:dyDescent="0.4">
      <c r="A166" s="29">
        <v>1</v>
      </c>
      <c r="B166" s="5">
        <v>1927</v>
      </c>
      <c r="C166" s="5" t="s">
        <v>234</v>
      </c>
      <c r="D166" s="5" t="s">
        <v>228</v>
      </c>
      <c r="E166" s="5" t="s">
        <v>4</v>
      </c>
      <c r="F166" s="5" t="s">
        <v>32</v>
      </c>
      <c r="G166" s="5" t="s">
        <v>32</v>
      </c>
      <c r="H166" s="5" t="s">
        <v>32</v>
      </c>
      <c r="I166" s="8"/>
      <c r="J166" s="8"/>
      <c r="K166" s="8" t="str">
        <f>IF(OR(J166="",E166=""),"",J166+IFERROR(VLOOKUP(E166,リードタイム!$A$2:$C$9,3,FALSE),0))</f>
        <v/>
      </c>
      <c r="L166" s="5" t="s">
        <v>531</v>
      </c>
      <c r="M166" s="8"/>
      <c r="N166" s="8" t="str">
        <f>IF(OR(M166="",E166=""),"",M166+IFERROR(VLOOKUP(E166,リードタイム!$A$2:$D$9,4,FALSE),0))</f>
        <v/>
      </c>
      <c r="O166" s="5" t="s">
        <v>531</v>
      </c>
      <c r="P166" s="5" t="s">
        <v>533</v>
      </c>
      <c r="Q166" s="5" t="s">
        <v>70</v>
      </c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  <c r="FS166" s="30"/>
      <c r="FT166" s="30"/>
      <c r="FU166" s="30"/>
      <c r="FV166" s="30"/>
      <c r="FW166" s="30"/>
      <c r="FX166" s="30"/>
      <c r="FY166" s="30"/>
      <c r="FZ166" s="30"/>
      <c r="GA166" s="30"/>
      <c r="GB166" s="30"/>
      <c r="GC166" s="30"/>
      <c r="GD166" s="30"/>
      <c r="GE166" s="30"/>
      <c r="GF166" s="30"/>
      <c r="GG166" s="30"/>
      <c r="GH166" s="30"/>
      <c r="GI166" s="30"/>
      <c r="GJ166" s="30"/>
      <c r="GK166" s="30"/>
      <c r="GL166" s="30"/>
      <c r="GM166" s="30"/>
      <c r="GN166" s="30"/>
      <c r="GO166" s="30"/>
      <c r="GP166" s="30"/>
      <c r="GQ166" s="30"/>
      <c r="GR166" s="30"/>
      <c r="GS166" s="30"/>
      <c r="GT166" s="30"/>
      <c r="GU166" s="30"/>
      <c r="GV166" s="30"/>
      <c r="GW166" s="30"/>
      <c r="GX166" s="30"/>
      <c r="GY166" s="30"/>
      <c r="GZ166" s="30"/>
      <c r="HA166" s="30"/>
      <c r="HB166" s="30"/>
      <c r="HC166" s="30"/>
      <c r="HD166" s="30"/>
      <c r="HE166" s="30"/>
      <c r="HF166" s="30"/>
      <c r="HG166" s="30"/>
      <c r="HH166" s="30"/>
      <c r="HI166" s="30"/>
      <c r="HJ166" s="30"/>
      <c r="HK166" s="30"/>
      <c r="HL166" s="30"/>
      <c r="HM166" s="30"/>
      <c r="HN166" s="30"/>
      <c r="HO166" s="30"/>
      <c r="HP166" s="30"/>
      <c r="HQ166" s="30"/>
      <c r="HR166" s="30"/>
      <c r="HS166" s="30"/>
      <c r="HT166" s="30"/>
      <c r="HU166" s="30"/>
      <c r="HV166" s="30"/>
      <c r="HW166" s="30"/>
      <c r="HX166" s="30"/>
      <c r="HY166" s="30"/>
      <c r="HZ166" s="30"/>
      <c r="IA166" s="30"/>
      <c r="IB166" s="30"/>
      <c r="IC166" s="30"/>
      <c r="ID166" s="30"/>
      <c r="IE166" s="30"/>
      <c r="IF166" s="30"/>
      <c r="IG166" s="30"/>
      <c r="IH166" s="30"/>
      <c r="II166" s="30"/>
      <c r="IJ166" s="30"/>
      <c r="IK166" s="30"/>
      <c r="IL166" s="30"/>
      <c r="IM166" s="30"/>
      <c r="IN166" s="30"/>
      <c r="IO166" s="30"/>
      <c r="IP166" s="30"/>
      <c r="IQ166" s="30"/>
      <c r="IR166" s="30"/>
      <c r="IS166" s="30"/>
      <c r="IT166" s="30"/>
      <c r="IU166" s="30"/>
      <c r="IV166" s="30"/>
      <c r="IW166" s="30"/>
      <c r="IX166" s="30"/>
      <c r="IY166" s="30"/>
      <c r="IZ166" s="30"/>
      <c r="JA166" s="30"/>
      <c r="JB166" s="30"/>
      <c r="JC166" s="30"/>
      <c r="JD166" s="30"/>
      <c r="JE166" s="30"/>
      <c r="JF166" s="30"/>
      <c r="JG166" s="30"/>
      <c r="JH166" s="30"/>
      <c r="JI166" s="30"/>
      <c r="JJ166" s="30"/>
      <c r="JK166" s="30"/>
      <c r="JL166" s="30"/>
      <c r="JM166" s="30"/>
      <c r="JN166" s="30"/>
      <c r="JO166" s="30"/>
      <c r="JP166" s="30"/>
      <c r="JQ166" s="30"/>
      <c r="JR166" s="30"/>
      <c r="JS166" s="30"/>
      <c r="JT166" s="30"/>
      <c r="JU166" s="30"/>
      <c r="JV166" s="30"/>
      <c r="JW166" s="30"/>
      <c r="JX166" s="30"/>
      <c r="JY166" s="30"/>
      <c r="JZ166" s="30"/>
      <c r="KA166" s="30"/>
      <c r="KB166" s="30"/>
      <c r="KC166" s="30"/>
      <c r="KD166" s="30"/>
      <c r="KE166" s="30"/>
      <c r="KF166" s="30"/>
      <c r="KG166" s="30"/>
      <c r="KH166" s="30"/>
      <c r="KI166" s="30"/>
      <c r="KJ166" s="30"/>
      <c r="KK166" s="30"/>
      <c r="KL166" s="30"/>
      <c r="KM166" s="30"/>
      <c r="KN166" s="30"/>
      <c r="KO166" s="30"/>
      <c r="KP166" s="30"/>
      <c r="KQ166" s="30"/>
      <c r="KR166" s="30"/>
      <c r="KS166" s="30"/>
      <c r="KT166" s="30"/>
      <c r="KU166" s="30"/>
      <c r="KV166" s="30"/>
      <c r="KW166" s="30"/>
      <c r="KX166" s="30"/>
      <c r="KY166" s="30"/>
      <c r="KZ166" s="30"/>
      <c r="LA166" s="30"/>
      <c r="LB166" s="30"/>
      <c r="LC166" s="30"/>
      <c r="LD166" s="30"/>
      <c r="LE166" s="30"/>
      <c r="LF166" s="30"/>
      <c r="LG166" s="30"/>
      <c r="LH166" s="30"/>
      <c r="LI166" s="30"/>
      <c r="LJ166" s="30"/>
      <c r="LK166" s="30"/>
      <c r="LL166" s="30"/>
      <c r="LM166" s="30"/>
      <c r="LN166" s="30"/>
      <c r="LO166" s="30"/>
      <c r="LP166" s="30"/>
      <c r="LQ166" s="30"/>
      <c r="LR166" s="30"/>
      <c r="LS166" s="30"/>
      <c r="LT166" s="30"/>
      <c r="LU166" s="30"/>
      <c r="LV166" s="30"/>
      <c r="LW166" s="30"/>
      <c r="LX166" s="30"/>
      <c r="LY166" s="30"/>
      <c r="LZ166" s="30"/>
      <c r="MA166" s="30"/>
      <c r="MB166" s="30"/>
      <c r="MC166" s="30"/>
      <c r="MD166" s="30"/>
      <c r="ME166" s="30"/>
      <c r="MF166" s="30"/>
      <c r="MG166" s="30"/>
      <c r="MH166" s="30"/>
      <c r="MI166" s="30"/>
      <c r="MJ166" s="30"/>
      <c r="MK166" s="30"/>
      <c r="ML166" s="30"/>
      <c r="MM166" s="30"/>
      <c r="MN166" s="30"/>
      <c r="MO166" s="30"/>
      <c r="MP166" s="30"/>
      <c r="MQ166" s="30"/>
      <c r="MR166" s="30"/>
      <c r="MS166" s="30"/>
      <c r="MT166" s="30"/>
      <c r="MU166" s="30"/>
      <c r="MV166" s="30"/>
      <c r="MW166" s="30"/>
      <c r="MX166" s="30"/>
      <c r="MY166" s="30"/>
      <c r="MZ166" s="30"/>
      <c r="NA166" s="30"/>
      <c r="NB166" s="30"/>
      <c r="NC166" s="30"/>
      <c r="ND166" s="30"/>
      <c r="NE166" s="30"/>
      <c r="NF166" s="30"/>
      <c r="NG166" s="30"/>
      <c r="NH166" s="30"/>
      <c r="NI166" s="30"/>
      <c r="NJ166" s="30"/>
      <c r="NK166" s="30"/>
      <c r="NL166" s="30"/>
      <c r="NM166" s="30"/>
      <c r="NN166" s="30"/>
      <c r="NO166" s="30"/>
      <c r="NP166" s="30"/>
      <c r="NQ166" s="30"/>
      <c r="NR166" s="30"/>
    </row>
    <row r="167" spans="1:382" s="3" customFormat="1" ht="20.100000000000001" customHeight="1" x14ac:dyDescent="0.4">
      <c r="A167" s="29">
        <v>1</v>
      </c>
      <c r="B167" s="5">
        <v>1927</v>
      </c>
      <c r="C167" s="5" t="s">
        <v>235</v>
      </c>
      <c r="D167" s="5" t="s">
        <v>236</v>
      </c>
      <c r="E167" s="5" t="s">
        <v>4</v>
      </c>
      <c r="F167" s="5" t="s">
        <v>32</v>
      </c>
      <c r="G167" s="5" t="s">
        <v>32</v>
      </c>
      <c r="H167" s="5" t="s">
        <v>32</v>
      </c>
      <c r="I167" s="8"/>
      <c r="J167" s="8"/>
      <c r="K167" s="8" t="str">
        <f>IF(OR(J167="",E167=""),"",J167+IFERROR(VLOOKUP(E167,リードタイム!$A$2:$C$9,3,FALSE),0))</f>
        <v/>
      </c>
      <c r="L167" s="5" t="s">
        <v>531</v>
      </c>
      <c r="M167" s="8"/>
      <c r="N167" s="8" t="str">
        <f>IF(OR(M167="",E167=""),"",M167+IFERROR(VLOOKUP(E167,リードタイム!$A$2:$D$9,4,FALSE),0))</f>
        <v/>
      </c>
      <c r="O167" s="5" t="s">
        <v>531</v>
      </c>
      <c r="P167" s="5" t="s">
        <v>533</v>
      </c>
      <c r="Q167" s="5" t="s">
        <v>32</v>
      </c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  <c r="FS167" s="30"/>
      <c r="FT167" s="30"/>
      <c r="FU167" s="30"/>
      <c r="FV167" s="30"/>
      <c r="FW167" s="30"/>
      <c r="FX167" s="30"/>
      <c r="FY167" s="30"/>
      <c r="FZ167" s="30"/>
      <c r="GA167" s="30"/>
      <c r="GB167" s="30"/>
      <c r="GC167" s="30"/>
      <c r="GD167" s="30"/>
      <c r="GE167" s="30"/>
      <c r="GF167" s="30"/>
      <c r="GG167" s="30"/>
      <c r="GH167" s="30"/>
      <c r="GI167" s="30"/>
      <c r="GJ167" s="30"/>
      <c r="GK167" s="30"/>
      <c r="GL167" s="30"/>
      <c r="GM167" s="30"/>
      <c r="GN167" s="30"/>
      <c r="GO167" s="30"/>
      <c r="GP167" s="30"/>
      <c r="GQ167" s="30"/>
      <c r="GR167" s="30"/>
      <c r="GS167" s="30"/>
      <c r="GT167" s="30"/>
      <c r="GU167" s="30"/>
      <c r="GV167" s="30"/>
      <c r="GW167" s="30"/>
      <c r="GX167" s="30"/>
      <c r="GY167" s="30"/>
      <c r="GZ167" s="30"/>
      <c r="HA167" s="30"/>
      <c r="HB167" s="30"/>
      <c r="HC167" s="30"/>
      <c r="HD167" s="30"/>
      <c r="HE167" s="30"/>
      <c r="HF167" s="30"/>
      <c r="HG167" s="30"/>
      <c r="HH167" s="30"/>
      <c r="HI167" s="30"/>
      <c r="HJ167" s="30"/>
      <c r="HK167" s="30"/>
      <c r="HL167" s="30"/>
      <c r="HM167" s="30"/>
      <c r="HN167" s="30"/>
      <c r="HO167" s="30"/>
      <c r="HP167" s="30"/>
      <c r="HQ167" s="30"/>
      <c r="HR167" s="30"/>
      <c r="HS167" s="30"/>
      <c r="HT167" s="30"/>
      <c r="HU167" s="30"/>
      <c r="HV167" s="30"/>
      <c r="HW167" s="30"/>
      <c r="HX167" s="30"/>
      <c r="HY167" s="30"/>
      <c r="HZ167" s="30"/>
      <c r="IA167" s="30"/>
      <c r="IB167" s="30"/>
      <c r="IC167" s="30"/>
      <c r="ID167" s="30"/>
      <c r="IE167" s="30"/>
      <c r="IF167" s="30"/>
      <c r="IG167" s="30"/>
      <c r="IH167" s="30"/>
      <c r="II167" s="30"/>
      <c r="IJ167" s="30"/>
      <c r="IK167" s="30"/>
      <c r="IL167" s="30"/>
      <c r="IM167" s="30"/>
      <c r="IN167" s="30"/>
      <c r="IO167" s="30"/>
      <c r="IP167" s="30"/>
      <c r="IQ167" s="30"/>
      <c r="IR167" s="30"/>
      <c r="IS167" s="30"/>
      <c r="IT167" s="30"/>
      <c r="IU167" s="30"/>
      <c r="IV167" s="30"/>
      <c r="IW167" s="30"/>
      <c r="IX167" s="30"/>
      <c r="IY167" s="30"/>
      <c r="IZ167" s="30"/>
      <c r="JA167" s="30"/>
      <c r="JB167" s="30"/>
      <c r="JC167" s="30"/>
      <c r="JD167" s="30"/>
      <c r="JE167" s="30"/>
      <c r="JF167" s="30"/>
      <c r="JG167" s="30"/>
      <c r="JH167" s="30"/>
      <c r="JI167" s="30"/>
      <c r="JJ167" s="30"/>
      <c r="JK167" s="30"/>
      <c r="JL167" s="30"/>
      <c r="JM167" s="30"/>
      <c r="JN167" s="30"/>
      <c r="JO167" s="30"/>
      <c r="JP167" s="30"/>
      <c r="JQ167" s="30"/>
      <c r="JR167" s="30"/>
      <c r="JS167" s="30"/>
      <c r="JT167" s="30"/>
      <c r="JU167" s="30"/>
      <c r="JV167" s="30"/>
      <c r="JW167" s="30"/>
      <c r="JX167" s="30"/>
      <c r="JY167" s="30"/>
      <c r="JZ167" s="30"/>
      <c r="KA167" s="30"/>
      <c r="KB167" s="30"/>
      <c r="KC167" s="30"/>
      <c r="KD167" s="30"/>
      <c r="KE167" s="30"/>
      <c r="KF167" s="30"/>
      <c r="KG167" s="30"/>
      <c r="KH167" s="30"/>
      <c r="KI167" s="30"/>
      <c r="KJ167" s="30"/>
      <c r="KK167" s="30"/>
      <c r="KL167" s="30"/>
      <c r="KM167" s="30"/>
      <c r="KN167" s="30"/>
      <c r="KO167" s="30"/>
      <c r="KP167" s="30"/>
      <c r="KQ167" s="30"/>
      <c r="KR167" s="30"/>
      <c r="KS167" s="30"/>
      <c r="KT167" s="30"/>
      <c r="KU167" s="30"/>
      <c r="KV167" s="30"/>
      <c r="KW167" s="30"/>
      <c r="KX167" s="30"/>
      <c r="KY167" s="30"/>
      <c r="KZ167" s="30"/>
      <c r="LA167" s="30"/>
      <c r="LB167" s="30"/>
      <c r="LC167" s="30"/>
      <c r="LD167" s="30"/>
      <c r="LE167" s="30"/>
      <c r="LF167" s="30"/>
      <c r="LG167" s="30"/>
      <c r="LH167" s="30"/>
      <c r="LI167" s="30"/>
      <c r="LJ167" s="30"/>
      <c r="LK167" s="30"/>
      <c r="LL167" s="30"/>
      <c r="LM167" s="30"/>
      <c r="LN167" s="30"/>
      <c r="LO167" s="30"/>
      <c r="LP167" s="30"/>
      <c r="LQ167" s="30"/>
      <c r="LR167" s="30"/>
      <c r="LS167" s="30"/>
      <c r="LT167" s="30"/>
      <c r="LU167" s="30"/>
      <c r="LV167" s="30"/>
      <c r="LW167" s="30"/>
      <c r="LX167" s="30"/>
      <c r="LY167" s="30"/>
      <c r="LZ167" s="30"/>
      <c r="MA167" s="30"/>
      <c r="MB167" s="30"/>
      <c r="MC167" s="30"/>
      <c r="MD167" s="30"/>
      <c r="ME167" s="30"/>
      <c r="MF167" s="30"/>
      <c r="MG167" s="30"/>
      <c r="MH167" s="30"/>
      <c r="MI167" s="30"/>
      <c r="MJ167" s="30"/>
      <c r="MK167" s="30"/>
      <c r="ML167" s="30"/>
      <c r="MM167" s="30"/>
      <c r="MN167" s="30"/>
      <c r="MO167" s="30"/>
      <c r="MP167" s="30"/>
      <c r="MQ167" s="30"/>
      <c r="MR167" s="30"/>
      <c r="MS167" s="30"/>
      <c r="MT167" s="30"/>
      <c r="MU167" s="30"/>
      <c r="MV167" s="30"/>
      <c r="MW167" s="30"/>
      <c r="MX167" s="30"/>
      <c r="MY167" s="30"/>
      <c r="MZ167" s="30"/>
      <c r="NA167" s="30"/>
      <c r="NB167" s="30"/>
      <c r="NC167" s="30"/>
      <c r="ND167" s="30"/>
      <c r="NE167" s="30"/>
      <c r="NF167" s="30"/>
      <c r="NG167" s="30"/>
      <c r="NH167" s="30"/>
      <c r="NI167" s="30"/>
      <c r="NJ167" s="30"/>
      <c r="NK167" s="30"/>
      <c r="NL167" s="30"/>
      <c r="NM167" s="30"/>
      <c r="NN167" s="30"/>
      <c r="NO167" s="30"/>
      <c r="NP167" s="30"/>
      <c r="NQ167" s="30"/>
      <c r="NR167" s="30"/>
    </row>
    <row r="168" spans="1:382" s="3" customFormat="1" ht="20.100000000000001" customHeight="1" x14ac:dyDescent="0.4">
      <c r="A168" s="29">
        <v>1</v>
      </c>
      <c r="B168" s="5">
        <v>1977</v>
      </c>
      <c r="C168" s="5" t="s">
        <v>237</v>
      </c>
      <c r="D168" s="5" t="s">
        <v>41</v>
      </c>
      <c r="E168" s="5" t="s">
        <v>6</v>
      </c>
      <c r="F168" s="5" t="s">
        <v>32</v>
      </c>
      <c r="G168" s="5" t="s">
        <v>32</v>
      </c>
      <c r="H168" s="5" t="s">
        <v>32</v>
      </c>
      <c r="I168" s="8">
        <v>46121.625</v>
      </c>
      <c r="J168" s="8"/>
      <c r="K168" s="8" t="str">
        <f>IF(OR(J168="",E168=""),"",J168+IFERROR(VLOOKUP(E168,リードタイム!$A$2:$C$9,3,FALSE),0))</f>
        <v/>
      </c>
      <c r="L168" s="5" t="s">
        <v>531</v>
      </c>
      <c r="M168" s="8"/>
      <c r="N168" s="8" t="str">
        <f>IF(OR(M168="",E168=""),"",M168+IFERROR(VLOOKUP(E168,リードタイム!$A$2:$D$9,4,FALSE),0))</f>
        <v/>
      </c>
      <c r="O168" s="5" t="s">
        <v>531</v>
      </c>
      <c r="P168" s="5" t="s">
        <v>532</v>
      </c>
      <c r="Q168" s="5" t="s">
        <v>238</v>
      </c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  <c r="FS168" s="30"/>
      <c r="FT168" s="30"/>
      <c r="FU168" s="30"/>
      <c r="FV168" s="30"/>
      <c r="FW168" s="30"/>
      <c r="FX168" s="30"/>
      <c r="FY168" s="30"/>
      <c r="FZ168" s="30"/>
      <c r="GA168" s="30"/>
      <c r="GB168" s="30"/>
      <c r="GC168" s="30"/>
      <c r="GD168" s="30"/>
      <c r="GE168" s="30"/>
      <c r="GF168" s="30"/>
      <c r="GG168" s="30"/>
      <c r="GH168" s="30"/>
      <c r="GI168" s="30"/>
      <c r="GJ168" s="30"/>
      <c r="GK168" s="30"/>
      <c r="GL168" s="30"/>
      <c r="GM168" s="30"/>
      <c r="GN168" s="30"/>
      <c r="GO168" s="30"/>
      <c r="GP168" s="30"/>
      <c r="GQ168" s="30"/>
      <c r="GR168" s="30"/>
      <c r="GS168" s="30"/>
      <c r="GT168" s="30"/>
      <c r="GU168" s="30"/>
      <c r="GV168" s="30"/>
      <c r="GW168" s="30"/>
      <c r="GX168" s="30"/>
      <c r="GY168" s="30"/>
      <c r="GZ168" s="30"/>
      <c r="HA168" s="30"/>
      <c r="HB168" s="30"/>
      <c r="HC168" s="30"/>
      <c r="HD168" s="30"/>
      <c r="HE168" s="30"/>
      <c r="HF168" s="30"/>
      <c r="HG168" s="30"/>
      <c r="HH168" s="30"/>
      <c r="HI168" s="30"/>
      <c r="HJ168" s="30"/>
      <c r="HK168" s="30"/>
      <c r="HL168" s="30"/>
      <c r="HM168" s="30"/>
      <c r="HN168" s="30"/>
      <c r="HO168" s="30"/>
      <c r="HP168" s="30"/>
      <c r="HQ168" s="30"/>
      <c r="HR168" s="30"/>
      <c r="HS168" s="30"/>
      <c r="HT168" s="30"/>
      <c r="HU168" s="30"/>
      <c r="HV168" s="30"/>
      <c r="HW168" s="30"/>
      <c r="HX168" s="30"/>
      <c r="HY168" s="30"/>
      <c r="HZ168" s="30"/>
      <c r="IA168" s="30"/>
      <c r="IB168" s="30"/>
      <c r="IC168" s="30"/>
      <c r="ID168" s="30"/>
      <c r="IE168" s="30"/>
      <c r="IF168" s="30"/>
      <c r="IG168" s="30"/>
      <c r="IH168" s="30"/>
      <c r="II168" s="30"/>
      <c r="IJ168" s="30"/>
      <c r="IK168" s="30"/>
      <c r="IL168" s="30"/>
      <c r="IM168" s="30"/>
      <c r="IN168" s="30"/>
      <c r="IO168" s="30"/>
      <c r="IP168" s="30"/>
      <c r="IQ168" s="30"/>
      <c r="IR168" s="30"/>
      <c r="IS168" s="30"/>
      <c r="IT168" s="30"/>
      <c r="IU168" s="30"/>
      <c r="IV168" s="30"/>
      <c r="IW168" s="30"/>
      <c r="IX168" s="30"/>
      <c r="IY168" s="30"/>
      <c r="IZ168" s="30"/>
      <c r="JA168" s="30"/>
      <c r="JB168" s="30"/>
      <c r="JC168" s="30"/>
      <c r="JD168" s="30"/>
      <c r="JE168" s="30"/>
      <c r="JF168" s="30"/>
      <c r="JG168" s="30"/>
      <c r="JH168" s="30"/>
      <c r="JI168" s="30"/>
      <c r="JJ168" s="30"/>
      <c r="JK168" s="30"/>
      <c r="JL168" s="30"/>
      <c r="JM168" s="30"/>
      <c r="JN168" s="30"/>
      <c r="JO168" s="30"/>
      <c r="JP168" s="30"/>
      <c r="JQ168" s="30"/>
      <c r="JR168" s="30"/>
      <c r="JS168" s="30"/>
      <c r="JT168" s="30"/>
      <c r="JU168" s="30"/>
      <c r="JV168" s="30"/>
      <c r="JW168" s="30"/>
      <c r="JX168" s="30"/>
      <c r="JY168" s="30"/>
      <c r="JZ168" s="30"/>
      <c r="KA168" s="30"/>
      <c r="KB168" s="30"/>
      <c r="KC168" s="30"/>
      <c r="KD168" s="30"/>
      <c r="KE168" s="30"/>
      <c r="KF168" s="30"/>
      <c r="KG168" s="30"/>
      <c r="KH168" s="30"/>
      <c r="KI168" s="30"/>
      <c r="KJ168" s="30"/>
      <c r="KK168" s="30"/>
      <c r="KL168" s="30"/>
      <c r="KM168" s="30"/>
      <c r="KN168" s="30"/>
      <c r="KO168" s="30"/>
      <c r="KP168" s="30"/>
      <c r="KQ168" s="30"/>
      <c r="KR168" s="30"/>
      <c r="KS168" s="30"/>
      <c r="KT168" s="30"/>
      <c r="KU168" s="30"/>
      <c r="KV168" s="30"/>
      <c r="KW168" s="30"/>
      <c r="KX168" s="30"/>
      <c r="KY168" s="30"/>
      <c r="KZ168" s="30"/>
      <c r="LA168" s="30"/>
      <c r="LB168" s="30"/>
      <c r="LC168" s="30"/>
      <c r="LD168" s="30"/>
      <c r="LE168" s="30"/>
      <c r="LF168" s="30"/>
      <c r="LG168" s="30"/>
      <c r="LH168" s="30"/>
      <c r="LI168" s="30"/>
      <c r="LJ168" s="30"/>
      <c r="LK168" s="30"/>
      <c r="LL168" s="30"/>
      <c r="LM168" s="30"/>
      <c r="LN168" s="30"/>
      <c r="LO168" s="30"/>
      <c r="LP168" s="30"/>
      <c r="LQ168" s="30"/>
      <c r="LR168" s="30"/>
      <c r="LS168" s="30"/>
      <c r="LT168" s="30"/>
      <c r="LU168" s="30"/>
      <c r="LV168" s="30"/>
      <c r="LW168" s="30"/>
      <c r="LX168" s="30"/>
      <c r="LY168" s="30"/>
      <c r="LZ168" s="30"/>
      <c r="MA168" s="30"/>
      <c r="MB168" s="30"/>
      <c r="MC168" s="30"/>
      <c r="MD168" s="30"/>
      <c r="ME168" s="30"/>
      <c r="MF168" s="30"/>
      <c r="MG168" s="30"/>
      <c r="MH168" s="30"/>
      <c r="MI168" s="30"/>
      <c r="MJ168" s="30"/>
      <c r="MK168" s="30"/>
      <c r="ML168" s="30"/>
      <c r="MM168" s="30"/>
      <c r="MN168" s="30"/>
      <c r="MO168" s="30"/>
      <c r="MP168" s="30"/>
      <c r="MQ168" s="30"/>
      <c r="MR168" s="30"/>
      <c r="MS168" s="30"/>
      <c r="MT168" s="30"/>
      <c r="MU168" s="30"/>
      <c r="MV168" s="30"/>
      <c r="MW168" s="30"/>
      <c r="MX168" s="30"/>
      <c r="MY168" s="30"/>
      <c r="MZ168" s="30"/>
      <c r="NA168" s="30"/>
      <c r="NB168" s="30"/>
      <c r="NC168" s="30"/>
      <c r="ND168" s="30"/>
      <c r="NE168" s="30"/>
      <c r="NF168" s="30"/>
      <c r="NG168" s="30"/>
      <c r="NH168" s="30"/>
      <c r="NI168" s="30"/>
      <c r="NJ168" s="30"/>
      <c r="NK168" s="30"/>
      <c r="NL168" s="30"/>
      <c r="NM168" s="30"/>
      <c r="NN168" s="30"/>
      <c r="NO168" s="30"/>
      <c r="NP168" s="30"/>
      <c r="NQ168" s="30"/>
      <c r="NR168" s="30"/>
    </row>
    <row r="169" spans="1:382" s="3" customFormat="1" ht="20.100000000000001" customHeight="1" x14ac:dyDescent="0.4">
      <c r="A169" s="29">
        <v>1</v>
      </c>
      <c r="B169" s="5">
        <v>740</v>
      </c>
      <c r="C169" s="5" t="s">
        <v>239</v>
      </c>
      <c r="D169" s="5" t="s">
        <v>76</v>
      </c>
      <c r="E169" s="5" t="s">
        <v>6</v>
      </c>
      <c r="F169" s="5" t="s">
        <v>32</v>
      </c>
      <c r="G169" s="5" t="s">
        <v>32</v>
      </c>
      <c r="H169" s="5" t="s">
        <v>32</v>
      </c>
      <c r="I169" s="8"/>
      <c r="J169" s="8"/>
      <c r="K169" s="8" t="str">
        <f>IF(OR(J169="",E169=""),"",J169+IFERROR(VLOOKUP(E169,リードタイム!$A$2:$C$9,3,FALSE),0))</f>
        <v/>
      </c>
      <c r="L169" s="5" t="s">
        <v>530</v>
      </c>
      <c r="M169" s="8"/>
      <c r="N169" s="8" t="str">
        <f>IF(OR(M169="",E169=""),"",M169+IFERROR(VLOOKUP(E169,リードタイム!$A$2:$D$9,4,FALSE),0))</f>
        <v/>
      </c>
      <c r="O169" s="5" t="s">
        <v>530</v>
      </c>
      <c r="P169" s="5" t="s">
        <v>530</v>
      </c>
      <c r="Q169" s="5" t="s">
        <v>32</v>
      </c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  <c r="FS169" s="30"/>
      <c r="FT169" s="30"/>
      <c r="FU169" s="30"/>
      <c r="FV169" s="30"/>
      <c r="FW169" s="30"/>
      <c r="FX169" s="30"/>
      <c r="FY169" s="30"/>
      <c r="FZ169" s="30"/>
      <c r="GA169" s="30"/>
      <c r="GB169" s="30"/>
      <c r="GC169" s="30"/>
      <c r="GD169" s="30"/>
      <c r="GE169" s="30"/>
      <c r="GF169" s="30"/>
      <c r="GG169" s="30"/>
      <c r="GH169" s="30"/>
      <c r="GI169" s="30"/>
      <c r="GJ169" s="30"/>
      <c r="GK169" s="30"/>
      <c r="GL169" s="30"/>
      <c r="GM169" s="30"/>
      <c r="GN169" s="30"/>
      <c r="GO169" s="30"/>
      <c r="GP169" s="30"/>
      <c r="GQ169" s="30"/>
      <c r="GR169" s="30"/>
      <c r="GS169" s="30"/>
      <c r="GT169" s="30"/>
      <c r="GU169" s="30"/>
      <c r="GV169" s="30"/>
      <c r="GW169" s="30"/>
      <c r="GX169" s="30"/>
      <c r="GY169" s="30"/>
      <c r="GZ169" s="30"/>
      <c r="HA169" s="30"/>
      <c r="HB169" s="30"/>
      <c r="HC169" s="30"/>
      <c r="HD169" s="30"/>
      <c r="HE169" s="30"/>
      <c r="HF169" s="30"/>
      <c r="HG169" s="30"/>
      <c r="HH169" s="30"/>
      <c r="HI169" s="30"/>
      <c r="HJ169" s="30"/>
      <c r="HK169" s="30"/>
      <c r="HL169" s="30"/>
      <c r="HM169" s="30"/>
      <c r="HN169" s="30"/>
      <c r="HO169" s="30"/>
      <c r="HP169" s="30"/>
      <c r="HQ169" s="30"/>
      <c r="HR169" s="30"/>
      <c r="HS169" s="30"/>
      <c r="HT169" s="30"/>
      <c r="HU169" s="30"/>
      <c r="HV169" s="30"/>
      <c r="HW169" s="30"/>
      <c r="HX169" s="30"/>
      <c r="HY169" s="30"/>
      <c r="HZ169" s="30"/>
      <c r="IA169" s="30"/>
      <c r="IB169" s="30"/>
      <c r="IC169" s="30"/>
      <c r="ID169" s="30"/>
      <c r="IE169" s="30"/>
      <c r="IF169" s="30"/>
      <c r="IG169" s="30"/>
      <c r="IH169" s="30"/>
      <c r="II169" s="30"/>
      <c r="IJ169" s="30"/>
      <c r="IK169" s="30"/>
      <c r="IL169" s="30"/>
      <c r="IM169" s="30"/>
      <c r="IN169" s="30"/>
      <c r="IO169" s="30"/>
      <c r="IP169" s="30"/>
      <c r="IQ169" s="30"/>
      <c r="IR169" s="30"/>
      <c r="IS169" s="30"/>
      <c r="IT169" s="30"/>
      <c r="IU169" s="30"/>
      <c r="IV169" s="30"/>
      <c r="IW169" s="30"/>
      <c r="IX169" s="30"/>
      <c r="IY169" s="30"/>
      <c r="IZ169" s="30"/>
      <c r="JA169" s="30"/>
      <c r="JB169" s="30"/>
      <c r="JC169" s="30"/>
      <c r="JD169" s="30"/>
      <c r="JE169" s="30"/>
      <c r="JF169" s="30"/>
      <c r="JG169" s="30"/>
      <c r="JH169" s="30"/>
      <c r="JI169" s="30"/>
      <c r="JJ169" s="30"/>
      <c r="JK169" s="30"/>
      <c r="JL169" s="30"/>
      <c r="JM169" s="30"/>
      <c r="JN169" s="30"/>
      <c r="JO169" s="30"/>
      <c r="JP169" s="30"/>
      <c r="JQ169" s="30"/>
      <c r="JR169" s="30"/>
      <c r="JS169" s="30"/>
      <c r="JT169" s="30"/>
      <c r="JU169" s="30"/>
      <c r="JV169" s="30"/>
      <c r="JW169" s="30"/>
      <c r="JX169" s="30"/>
      <c r="JY169" s="30"/>
      <c r="JZ169" s="30"/>
      <c r="KA169" s="30"/>
      <c r="KB169" s="30"/>
      <c r="KC169" s="30"/>
      <c r="KD169" s="30"/>
      <c r="KE169" s="30"/>
      <c r="KF169" s="30"/>
      <c r="KG169" s="30"/>
      <c r="KH169" s="30"/>
      <c r="KI169" s="30"/>
      <c r="KJ169" s="30"/>
      <c r="KK169" s="30"/>
      <c r="KL169" s="30"/>
      <c r="KM169" s="30"/>
      <c r="KN169" s="30"/>
      <c r="KO169" s="30"/>
      <c r="KP169" s="30"/>
      <c r="KQ169" s="30"/>
      <c r="KR169" s="30"/>
      <c r="KS169" s="30"/>
      <c r="KT169" s="30"/>
      <c r="KU169" s="30"/>
      <c r="KV169" s="30"/>
      <c r="KW169" s="30"/>
      <c r="KX169" s="30"/>
      <c r="KY169" s="30"/>
      <c r="KZ169" s="30"/>
      <c r="LA169" s="30"/>
      <c r="LB169" s="30"/>
      <c r="LC169" s="30"/>
      <c r="LD169" s="30"/>
      <c r="LE169" s="30"/>
      <c r="LF169" s="30"/>
      <c r="LG169" s="30"/>
      <c r="LH169" s="30"/>
      <c r="LI169" s="30"/>
      <c r="LJ169" s="30"/>
      <c r="LK169" s="30"/>
      <c r="LL169" s="30"/>
      <c r="LM169" s="30"/>
      <c r="LN169" s="30"/>
      <c r="LO169" s="30"/>
      <c r="LP169" s="30"/>
      <c r="LQ169" s="30"/>
      <c r="LR169" s="30"/>
      <c r="LS169" s="30"/>
      <c r="LT169" s="30"/>
      <c r="LU169" s="30"/>
      <c r="LV169" s="30"/>
      <c r="LW169" s="30"/>
      <c r="LX169" s="30"/>
      <c r="LY169" s="30"/>
      <c r="LZ169" s="30"/>
      <c r="MA169" s="30"/>
      <c r="MB169" s="30"/>
      <c r="MC169" s="30"/>
      <c r="MD169" s="30"/>
      <c r="ME169" s="30"/>
      <c r="MF169" s="30"/>
      <c r="MG169" s="30"/>
      <c r="MH169" s="30"/>
      <c r="MI169" s="30"/>
      <c r="MJ169" s="30"/>
      <c r="MK169" s="30"/>
      <c r="ML169" s="30"/>
      <c r="MM169" s="30"/>
      <c r="MN169" s="30"/>
      <c r="MO169" s="30"/>
      <c r="MP169" s="30"/>
      <c r="MQ169" s="30"/>
      <c r="MR169" s="30"/>
      <c r="MS169" s="30"/>
      <c r="MT169" s="30"/>
      <c r="MU169" s="30"/>
      <c r="MV169" s="30"/>
      <c r="MW169" s="30"/>
      <c r="MX169" s="30"/>
      <c r="MY169" s="30"/>
      <c r="MZ169" s="30"/>
      <c r="NA169" s="30"/>
      <c r="NB169" s="30"/>
      <c r="NC169" s="30"/>
      <c r="ND169" s="30"/>
      <c r="NE169" s="30"/>
      <c r="NF169" s="30"/>
      <c r="NG169" s="30"/>
      <c r="NH169" s="30"/>
      <c r="NI169" s="30"/>
      <c r="NJ169" s="30"/>
      <c r="NK169" s="30"/>
      <c r="NL169" s="30"/>
      <c r="NM169" s="30"/>
      <c r="NN169" s="30"/>
      <c r="NO169" s="30"/>
      <c r="NP169" s="30"/>
      <c r="NQ169" s="30"/>
      <c r="NR169" s="30"/>
    </row>
    <row r="170" spans="1:382" s="3" customFormat="1" ht="20.100000000000001" customHeight="1" x14ac:dyDescent="0.4">
      <c r="A170" s="29">
        <v>1</v>
      </c>
      <c r="B170" s="5">
        <v>440</v>
      </c>
      <c r="C170" s="5" t="s">
        <v>240</v>
      </c>
      <c r="D170" s="5" t="s">
        <v>241</v>
      </c>
      <c r="E170" s="5" t="s">
        <v>6</v>
      </c>
      <c r="F170" s="5" t="s">
        <v>32</v>
      </c>
      <c r="G170" s="5" t="s">
        <v>32</v>
      </c>
      <c r="H170" s="5" t="s">
        <v>32</v>
      </c>
      <c r="I170" s="8"/>
      <c r="J170" s="8"/>
      <c r="K170" s="8" t="str">
        <f>IF(OR(J170="",E170=""),"",J170+IFERROR(VLOOKUP(E170,リードタイム!$A$2:$C$9,3,FALSE),0))</f>
        <v/>
      </c>
      <c r="L170" s="5" t="s">
        <v>530</v>
      </c>
      <c r="M170" s="8"/>
      <c r="N170" s="8" t="str">
        <f>IF(OR(M170="",E170=""),"",M170+IFERROR(VLOOKUP(E170,リードタイム!$A$2:$D$9,4,FALSE),0))</f>
        <v/>
      </c>
      <c r="O170" s="5" t="s">
        <v>530</v>
      </c>
      <c r="P170" s="5" t="s">
        <v>530</v>
      </c>
      <c r="Q170" s="5" t="s">
        <v>242</v>
      </c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  <c r="FS170" s="30"/>
      <c r="FT170" s="30"/>
      <c r="FU170" s="30"/>
      <c r="FV170" s="30"/>
      <c r="FW170" s="30"/>
      <c r="FX170" s="30"/>
      <c r="FY170" s="30"/>
      <c r="FZ170" s="30"/>
      <c r="GA170" s="30"/>
      <c r="GB170" s="30"/>
      <c r="GC170" s="30"/>
      <c r="GD170" s="30"/>
      <c r="GE170" s="30"/>
      <c r="GF170" s="30"/>
      <c r="GG170" s="30"/>
      <c r="GH170" s="30"/>
      <c r="GI170" s="30"/>
      <c r="GJ170" s="30"/>
      <c r="GK170" s="30"/>
      <c r="GL170" s="30"/>
      <c r="GM170" s="30"/>
      <c r="GN170" s="30"/>
      <c r="GO170" s="30"/>
      <c r="GP170" s="30"/>
      <c r="GQ170" s="30"/>
      <c r="GR170" s="30"/>
      <c r="GS170" s="30"/>
      <c r="GT170" s="30"/>
      <c r="GU170" s="30"/>
      <c r="GV170" s="30"/>
      <c r="GW170" s="30"/>
      <c r="GX170" s="30"/>
      <c r="GY170" s="30"/>
      <c r="GZ170" s="30"/>
      <c r="HA170" s="30"/>
      <c r="HB170" s="30"/>
      <c r="HC170" s="30"/>
      <c r="HD170" s="30"/>
      <c r="HE170" s="30"/>
      <c r="HF170" s="30"/>
      <c r="HG170" s="30"/>
      <c r="HH170" s="30"/>
      <c r="HI170" s="30"/>
      <c r="HJ170" s="30"/>
      <c r="HK170" s="30"/>
      <c r="HL170" s="30"/>
      <c r="HM170" s="30"/>
      <c r="HN170" s="30"/>
      <c r="HO170" s="30"/>
      <c r="HP170" s="30"/>
      <c r="HQ170" s="30"/>
      <c r="HR170" s="30"/>
      <c r="HS170" s="30"/>
      <c r="HT170" s="30"/>
      <c r="HU170" s="30"/>
      <c r="HV170" s="30"/>
      <c r="HW170" s="30"/>
      <c r="HX170" s="30"/>
      <c r="HY170" s="30"/>
      <c r="HZ170" s="30"/>
      <c r="IA170" s="30"/>
      <c r="IB170" s="30"/>
      <c r="IC170" s="30"/>
      <c r="ID170" s="30"/>
      <c r="IE170" s="30"/>
      <c r="IF170" s="30"/>
      <c r="IG170" s="30"/>
      <c r="IH170" s="30"/>
      <c r="II170" s="30"/>
      <c r="IJ170" s="30"/>
      <c r="IK170" s="30"/>
      <c r="IL170" s="30"/>
      <c r="IM170" s="30"/>
      <c r="IN170" s="30"/>
      <c r="IO170" s="30"/>
      <c r="IP170" s="30"/>
      <c r="IQ170" s="30"/>
      <c r="IR170" s="30"/>
      <c r="IS170" s="30"/>
      <c r="IT170" s="30"/>
      <c r="IU170" s="30"/>
      <c r="IV170" s="30"/>
      <c r="IW170" s="30"/>
      <c r="IX170" s="30"/>
      <c r="IY170" s="30"/>
      <c r="IZ170" s="30"/>
      <c r="JA170" s="30"/>
      <c r="JB170" s="30"/>
      <c r="JC170" s="30"/>
      <c r="JD170" s="30"/>
      <c r="JE170" s="30"/>
      <c r="JF170" s="30"/>
      <c r="JG170" s="30"/>
      <c r="JH170" s="30"/>
      <c r="JI170" s="30"/>
      <c r="JJ170" s="30"/>
      <c r="JK170" s="30"/>
      <c r="JL170" s="30"/>
      <c r="JM170" s="30"/>
      <c r="JN170" s="30"/>
      <c r="JO170" s="30"/>
      <c r="JP170" s="30"/>
      <c r="JQ170" s="30"/>
      <c r="JR170" s="30"/>
      <c r="JS170" s="30"/>
      <c r="JT170" s="30"/>
      <c r="JU170" s="30"/>
      <c r="JV170" s="30"/>
      <c r="JW170" s="30"/>
      <c r="JX170" s="30"/>
      <c r="JY170" s="30"/>
      <c r="JZ170" s="30"/>
      <c r="KA170" s="30"/>
      <c r="KB170" s="30"/>
      <c r="KC170" s="30"/>
      <c r="KD170" s="30"/>
      <c r="KE170" s="30"/>
      <c r="KF170" s="30"/>
      <c r="KG170" s="30"/>
      <c r="KH170" s="30"/>
      <c r="KI170" s="30"/>
      <c r="KJ170" s="30"/>
      <c r="KK170" s="30"/>
      <c r="KL170" s="30"/>
      <c r="KM170" s="30"/>
      <c r="KN170" s="30"/>
      <c r="KO170" s="30"/>
      <c r="KP170" s="30"/>
      <c r="KQ170" s="30"/>
      <c r="KR170" s="30"/>
      <c r="KS170" s="30"/>
      <c r="KT170" s="30"/>
      <c r="KU170" s="30"/>
      <c r="KV170" s="30"/>
      <c r="KW170" s="30"/>
      <c r="KX170" s="30"/>
      <c r="KY170" s="30"/>
      <c r="KZ170" s="30"/>
      <c r="LA170" s="30"/>
      <c r="LB170" s="30"/>
      <c r="LC170" s="30"/>
      <c r="LD170" s="30"/>
      <c r="LE170" s="30"/>
      <c r="LF170" s="30"/>
      <c r="LG170" s="30"/>
      <c r="LH170" s="30"/>
      <c r="LI170" s="30"/>
      <c r="LJ170" s="30"/>
      <c r="LK170" s="30"/>
      <c r="LL170" s="30"/>
      <c r="LM170" s="30"/>
      <c r="LN170" s="30"/>
      <c r="LO170" s="30"/>
      <c r="LP170" s="30"/>
      <c r="LQ170" s="30"/>
      <c r="LR170" s="30"/>
      <c r="LS170" s="30"/>
      <c r="LT170" s="30"/>
      <c r="LU170" s="30"/>
      <c r="LV170" s="30"/>
      <c r="LW170" s="30"/>
      <c r="LX170" s="30"/>
      <c r="LY170" s="30"/>
      <c r="LZ170" s="30"/>
      <c r="MA170" s="30"/>
      <c r="MB170" s="30"/>
      <c r="MC170" s="30"/>
      <c r="MD170" s="30"/>
      <c r="ME170" s="30"/>
      <c r="MF170" s="30"/>
      <c r="MG170" s="30"/>
      <c r="MH170" s="30"/>
      <c r="MI170" s="30"/>
      <c r="MJ170" s="30"/>
      <c r="MK170" s="30"/>
      <c r="ML170" s="30"/>
      <c r="MM170" s="30"/>
      <c r="MN170" s="30"/>
      <c r="MO170" s="30"/>
      <c r="MP170" s="30"/>
      <c r="MQ170" s="30"/>
      <c r="MR170" s="30"/>
      <c r="MS170" s="30"/>
      <c r="MT170" s="30"/>
      <c r="MU170" s="30"/>
      <c r="MV170" s="30"/>
      <c r="MW170" s="30"/>
      <c r="MX170" s="30"/>
      <c r="MY170" s="30"/>
      <c r="MZ170" s="30"/>
      <c r="NA170" s="30"/>
      <c r="NB170" s="30"/>
      <c r="NC170" s="30"/>
      <c r="ND170" s="30"/>
      <c r="NE170" s="30"/>
      <c r="NF170" s="30"/>
      <c r="NG170" s="30"/>
      <c r="NH170" s="30"/>
      <c r="NI170" s="30"/>
      <c r="NJ170" s="30"/>
      <c r="NK170" s="30"/>
      <c r="NL170" s="30"/>
      <c r="NM170" s="30"/>
      <c r="NN170" s="30"/>
      <c r="NO170" s="30"/>
      <c r="NP170" s="30"/>
      <c r="NQ170" s="30"/>
      <c r="NR170" s="30"/>
    </row>
    <row r="171" spans="1:382" s="3" customFormat="1" ht="20.100000000000001" customHeight="1" x14ac:dyDescent="0.4">
      <c r="A171" s="29">
        <v>1</v>
      </c>
      <c r="B171" s="5">
        <v>440</v>
      </c>
      <c r="C171" s="5" t="s">
        <v>243</v>
      </c>
      <c r="D171" s="5" t="s">
        <v>41</v>
      </c>
      <c r="E171" s="5" t="s">
        <v>6</v>
      </c>
      <c r="F171" s="5" t="s">
        <v>32</v>
      </c>
      <c r="G171" s="5" t="s">
        <v>32</v>
      </c>
      <c r="H171" s="5" t="s">
        <v>32</v>
      </c>
      <c r="I171" s="8"/>
      <c r="J171" s="8"/>
      <c r="K171" s="8" t="str">
        <f>IF(OR(J171="",E171=""),"",J171+IFERROR(VLOOKUP(E171,リードタイム!$A$2:$C$9,3,FALSE),0))</f>
        <v/>
      </c>
      <c r="L171" s="5" t="s">
        <v>530</v>
      </c>
      <c r="M171" s="8"/>
      <c r="N171" s="8" t="str">
        <f>IF(OR(M171="",E171=""),"",M171+IFERROR(VLOOKUP(E171,リードタイム!$A$2:$D$9,4,FALSE),0))</f>
        <v/>
      </c>
      <c r="O171" s="5" t="s">
        <v>530</v>
      </c>
      <c r="P171" s="5" t="s">
        <v>530</v>
      </c>
      <c r="Q171" s="5" t="s">
        <v>32</v>
      </c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  <c r="FS171" s="30"/>
      <c r="FT171" s="30"/>
      <c r="FU171" s="30"/>
      <c r="FV171" s="30"/>
      <c r="FW171" s="30"/>
      <c r="FX171" s="30"/>
      <c r="FY171" s="30"/>
      <c r="FZ171" s="30"/>
      <c r="GA171" s="30"/>
      <c r="GB171" s="30"/>
      <c r="GC171" s="30"/>
      <c r="GD171" s="30"/>
      <c r="GE171" s="30"/>
      <c r="GF171" s="30"/>
      <c r="GG171" s="30"/>
      <c r="GH171" s="30"/>
      <c r="GI171" s="30"/>
      <c r="GJ171" s="30"/>
      <c r="GK171" s="30"/>
      <c r="GL171" s="30"/>
      <c r="GM171" s="30"/>
      <c r="GN171" s="30"/>
      <c r="GO171" s="30"/>
      <c r="GP171" s="30"/>
      <c r="GQ171" s="30"/>
      <c r="GR171" s="30"/>
      <c r="GS171" s="30"/>
      <c r="GT171" s="30"/>
      <c r="GU171" s="30"/>
      <c r="GV171" s="30"/>
      <c r="GW171" s="30"/>
      <c r="GX171" s="30"/>
      <c r="GY171" s="30"/>
      <c r="GZ171" s="30"/>
      <c r="HA171" s="30"/>
      <c r="HB171" s="30"/>
      <c r="HC171" s="30"/>
      <c r="HD171" s="30"/>
      <c r="HE171" s="30"/>
      <c r="HF171" s="30"/>
      <c r="HG171" s="30"/>
      <c r="HH171" s="30"/>
      <c r="HI171" s="30"/>
      <c r="HJ171" s="30"/>
      <c r="HK171" s="30"/>
      <c r="HL171" s="30"/>
      <c r="HM171" s="30"/>
      <c r="HN171" s="30"/>
      <c r="HO171" s="30"/>
      <c r="HP171" s="30"/>
      <c r="HQ171" s="30"/>
      <c r="HR171" s="30"/>
      <c r="HS171" s="30"/>
      <c r="HT171" s="30"/>
      <c r="HU171" s="30"/>
      <c r="HV171" s="30"/>
      <c r="HW171" s="30"/>
      <c r="HX171" s="30"/>
      <c r="HY171" s="30"/>
      <c r="HZ171" s="30"/>
      <c r="IA171" s="30"/>
      <c r="IB171" s="30"/>
      <c r="IC171" s="30"/>
      <c r="ID171" s="30"/>
      <c r="IE171" s="30"/>
      <c r="IF171" s="30"/>
      <c r="IG171" s="30"/>
      <c r="IH171" s="30"/>
      <c r="II171" s="30"/>
      <c r="IJ171" s="30"/>
      <c r="IK171" s="30"/>
      <c r="IL171" s="30"/>
      <c r="IM171" s="30"/>
      <c r="IN171" s="30"/>
      <c r="IO171" s="30"/>
      <c r="IP171" s="30"/>
      <c r="IQ171" s="30"/>
      <c r="IR171" s="30"/>
      <c r="IS171" s="30"/>
      <c r="IT171" s="30"/>
      <c r="IU171" s="30"/>
      <c r="IV171" s="30"/>
      <c r="IW171" s="30"/>
      <c r="IX171" s="30"/>
      <c r="IY171" s="30"/>
      <c r="IZ171" s="30"/>
      <c r="JA171" s="30"/>
      <c r="JB171" s="30"/>
      <c r="JC171" s="30"/>
      <c r="JD171" s="30"/>
      <c r="JE171" s="30"/>
      <c r="JF171" s="30"/>
      <c r="JG171" s="30"/>
      <c r="JH171" s="30"/>
      <c r="JI171" s="30"/>
      <c r="JJ171" s="30"/>
      <c r="JK171" s="30"/>
      <c r="JL171" s="30"/>
      <c r="JM171" s="30"/>
      <c r="JN171" s="30"/>
      <c r="JO171" s="30"/>
      <c r="JP171" s="30"/>
      <c r="JQ171" s="30"/>
      <c r="JR171" s="30"/>
      <c r="JS171" s="30"/>
      <c r="JT171" s="30"/>
      <c r="JU171" s="30"/>
      <c r="JV171" s="30"/>
      <c r="JW171" s="30"/>
      <c r="JX171" s="30"/>
      <c r="JY171" s="30"/>
      <c r="JZ171" s="30"/>
      <c r="KA171" s="30"/>
      <c r="KB171" s="30"/>
      <c r="KC171" s="30"/>
      <c r="KD171" s="30"/>
      <c r="KE171" s="30"/>
      <c r="KF171" s="30"/>
      <c r="KG171" s="30"/>
      <c r="KH171" s="30"/>
      <c r="KI171" s="30"/>
      <c r="KJ171" s="30"/>
      <c r="KK171" s="30"/>
      <c r="KL171" s="30"/>
      <c r="KM171" s="30"/>
      <c r="KN171" s="30"/>
      <c r="KO171" s="30"/>
      <c r="KP171" s="30"/>
      <c r="KQ171" s="30"/>
      <c r="KR171" s="30"/>
      <c r="KS171" s="30"/>
      <c r="KT171" s="30"/>
      <c r="KU171" s="30"/>
      <c r="KV171" s="30"/>
      <c r="KW171" s="30"/>
      <c r="KX171" s="30"/>
      <c r="KY171" s="30"/>
      <c r="KZ171" s="30"/>
      <c r="LA171" s="30"/>
      <c r="LB171" s="30"/>
      <c r="LC171" s="30"/>
      <c r="LD171" s="30"/>
      <c r="LE171" s="30"/>
      <c r="LF171" s="30"/>
      <c r="LG171" s="30"/>
      <c r="LH171" s="30"/>
      <c r="LI171" s="30"/>
      <c r="LJ171" s="30"/>
      <c r="LK171" s="30"/>
      <c r="LL171" s="30"/>
      <c r="LM171" s="30"/>
      <c r="LN171" s="30"/>
      <c r="LO171" s="30"/>
      <c r="LP171" s="30"/>
      <c r="LQ171" s="30"/>
      <c r="LR171" s="30"/>
      <c r="LS171" s="30"/>
      <c r="LT171" s="30"/>
      <c r="LU171" s="30"/>
      <c r="LV171" s="30"/>
      <c r="LW171" s="30"/>
      <c r="LX171" s="30"/>
      <c r="LY171" s="30"/>
      <c r="LZ171" s="30"/>
      <c r="MA171" s="30"/>
      <c r="MB171" s="30"/>
      <c r="MC171" s="30"/>
      <c r="MD171" s="30"/>
      <c r="ME171" s="30"/>
      <c r="MF171" s="30"/>
      <c r="MG171" s="30"/>
      <c r="MH171" s="30"/>
      <c r="MI171" s="30"/>
      <c r="MJ171" s="30"/>
      <c r="MK171" s="30"/>
      <c r="ML171" s="30"/>
      <c r="MM171" s="30"/>
      <c r="MN171" s="30"/>
      <c r="MO171" s="30"/>
      <c r="MP171" s="30"/>
      <c r="MQ171" s="30"/>
      <c r="MR171" s="30"/>
      <c r="MS171" s="30"/>
      <c r="MT171" s="30"/>
      <c r="MU171" s="30"/>
      <c r="MV171" s="30"/>
      <c r="MW171" s="30"/>
      <c r="MX171" s="30"/>
      <c r="MY171" s="30"/>
      <c r="MZ171" s="30"/>
      <c r="NA171" s="30"/>
      <c r="NB171" s="30"/>
      <c r="NC171" s="30"/>
      <c r="ND171" s="30"/>
      <c r="NE171" s="30"/>
      <c r="NF171" s="30"/>
      <c r="NG171" s="30"/>
      <c r="NH171" s="30"/>
      <c r="NI171" s="30"/>
      <c r="NJ171" s="30"/>
      <c r="NK171" s="30"/>
      <c r="NL171" s="30"/>
      <c r="NM171" s="30"/>
      <c r="NN171" s="30"/>
      <c r="NO171" s="30"/>
      <c r="NP171" s="30"/>
      <c r="NQ171" s="30"/>
      <c r="NR171" s="30"/>
    </row>
    <row r="172" spans="1:382" s="3" customFormat="1" ht="20.100000000000001" customHeight="1" x14ac:dyDescent="0.4">
      <c r="A172" s="29">
        <v>1</v>
      </c>
      <c r="B172" s="5">
        <v>1927</v>
      </c>
      <c r="C172" s="5" t="s">
        <v>244</v>
      </c>
      <c r="D172" s="5" t="s">
        <v>245</v>
      </c>
      <c r="E172" s="5" t="s">
        <v>4</v>
      </c>
      <c r="F172" s="5" t="s">
        <v>32</v>
      </c>
      <c r="G172" s="5" t="s">
        <v>32</v>
      </c>
      <c r="H172" s="5" t="s">
        <v>32</v>
      </c>
      <c r="I172" s="8"/>
      <c r="J172" s="8"/>
      <c r="K172" s="8" t="str">
        <f>IF(OR(J172="",E172=""),"",J172+IFERROR(VLOOKUP(E172,リードタイム!$A$2:$C$9,3,FALSE),0))</f>
        <v/>
      </c>
      <c r="L172" s="5" t="s">
        <v>531</v>
      </c>
      <c r="M172" s="8"/>
      <c r="N172" s="8" t="str">
        <f>IF(OR(M172="",E172=""),"",M172+IFERROR(VLOOKUP(E172,リードタイム!$A$2:$D$9,4,FALSE),0))</f>
        <v/>
      </c>
      <c r="O172" s="5" t="s">
        <v>531</v>
      </c>
      <c r="P172" s="5" t="s">
        <v>533</v>
      </c>
      <c r="Q172" s="5" t="s">
        <v>70</v>
      </c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  <c r="FS172" s="30"/>
      <c r="FT172" s="30"/>
      <c r="FU172" s="30"/>
      <c r="FV172" s="30"/>
      <c r="FW172" s="30"/>
      <c r="FX172" s="30"/>
      <c r="FY172" s="30"/>
      <c r="FZ172" s="30"/>
      <c r="GA172" s="30"/>
      <c r="GB172" s="30"/>
      <c r="GC172" s="30"/>
      <c r="GD172" s="30"/>
      <c r="GE172" s="30"/>
      <c r="GF172" s="30"/>
      <c r="GG172" s="30"/>
      <c r="GH172" s="30"/>
      <c r="GI172" s="30"/>
      <c r="GJ172" s="30"/>
      <c r="GK172" s="30"/>
      <c r="GL172" s="30"/>
      <c r="GM172" s="30"/>
      <c r="GN172" s="30"/>
      <c r="GO172" s="30"/>
      <c r="GP172" s="30"/>
      <c r="GQ172" s="30"/>
      <c r="GR172" s="30"/>
      <c r="GS172" s="30"/>
      <c r="GT172" s="30"/>
      <c r="GU172" s="30"/>
      <c r="GV172" s="30"/>
      <c r="GW172" s="30"/>
      <c r="GX172" s="30"/>
      <c r="GY172" s="30"/>
      <c r="GZ172" s="30"/>
      <c r="HA172" s="30"/>
      <c r="HB172" s="30"/>
      <c r="HC172" s="30"/>
      <c r="HD172" s="30"/>
      <c r="HE172" s="30"/>
      <c r="HF172" s="30"/>
      <c r="HG172" s="30"/>
      <c r="HH172" s="30"/>
      <c r="HI172" s="30"/>
      <c r="HJ172" s="30"/>
      <c r="HK172" s="30"/>
      <c r="HL172" s="30"/>
      <c r="HM172" s="30"/>
      <c r="HN172" s="30"/>
      <c r="HO172" s="30"/>
      <c r="HP172" s="30"/>
      <c r="HQ172" s="30"/>
      <c r="HR172" s="30"/>
      <c r="HS172" s="30"/>
      <c r="HT172" s="30"/>
      <c r="HU172" s="30"/>
      <c r="HV172" s="30"/>
      <c r="HW172" s="30"/>
      <c r="HX172" s="30"/>
      <c r="HY172" s="30"/>
      <c r="HZ172" s="30"/>
      <c r="IA172" s="30"/>
      <c r="IB172" s="30"/>
      <c r="IC172" s="30"/>
      <c r="ID172" s="30"/>
      <c r="IE172" s="30"/>
      <c r="IF172" s="30"/>
      <c r="IG172" s="30"/>
      <c r="IH172" s="30"/>
      <c r="II172" s="30"/>
      <c r="IJ172" s="30"/>
      <c r="IK172" s="30"/>
      <c r="IL172" s="30"/>
      <c r="IM172" s="30"/>
      <c r="IN172" s="30"/>
      <c r="IO172" s="30"/>
      <c r="IP172" s="30"/>
      <c r="IQ172" s="30"/>
      <c r="IR172" s="30"/>
      <c r="IS172" s="30"/>
      <c r="IT172" s="30"/>
      <c r="IU172" s="30"/>
      <c r="IV172" s="30"/>
      <c r="IW172" s="30"/>
      <c r="IX172" s="30"/>
      <c r="IY172" s="30"/>
      <c r="IZ172" s="30"/>
      <c r="JA172" s="30"/>
      <c r="JB172" s="30"/>
      <c r="JC172" s="30"/>
      <c r="JD172" s="30"/>
      <c r="JE172" s="30"/>
      <c r="JF172" s="30"/>
      <c r="JG172" s="30"/>
      <c r="JH172" s="30"/>
      <c r="JI172" s="30"/>
      <c r="JJ172" s="30"/>
      <c r="JK172" s="30"/>
      <c r="JL172" s="30"/>
      <c r="JM172" s="30"/>
      <c r="JN172" s="30"/>
      <c r="JO172" s="30"/>
      <c r="JP172" s="30"/>
      <c r="JQ172" s="30"/>
      <c r="JR172" s="30"/>
      <c r="JS172" s="30"/>
      <c r="JT172" s="30"/>
      <c r="JU172" s="30"/>
      <c r="JV172" s="30"/>
      <c r="JW172" s="30"/>
      <c r="JX172" s="30"/>
      <c r="JY172" s="30"/>
      <c r="JZ172" s="30"/>
      <c r="KA172" s="30"/>
      <c r="KB172" s="30"/>
      <c r="KC172" s="30"/>
      <c r="KD172" s="30"/>
      <c r="KE172" s="30"/>
      <c r="KF172" s="30"/>
      <c r="KG172" s="30"/>
      <c r="KH172" s="30"/>
      <c r="KI172" s="30"/>
      <c r="KJ172" s="30"/>
      <c r="KK172" s="30"/>
      <c r="KL172" s="30"/>
      <c r="KM172" s="30"/>
      <c r="KN172" s="30"/>
      <c r="KO172" s="30"/>
      <c r="KP172" s="30"/>
      <c r="KQ172" s="30"/>
      <c r="KR172" s="30"/>
      <c r="KS172" s="30"/>
      <c r="KT172" s="30"/>
      <c r="KU172" s="30"/>
      <c r="KV172" s="30"/>
      <c r="KW172" s="30"/>
      <c r="KX172" s="30"/>
      <c r="KY172" s="30"/>
      <c r="KZ172" s="30"/>
      <c r="LA172" s="30"/>
      <c r="LB172" s="30"/>
      <c r="LC172" s="30"/>
      <c r="LD172" s="30"/>
      <c r="LE172" s="30"/>
      <c r="LF172" s="30"/>
      <c r="LG172" s="30"/>
      <c r="LH172" s="30"/>
      <c r="LI172" s="30"/>
      <c r="LJ172" s="30"/>
      <c r="LK172" s="30"/>
      <c r="LL172" s="30"/>
      <c r="LM172" s="30"/>
      <c r="LN172" s="30"/>
      <c r="LO172" s="30"/>
      <c r="LP172" s="30"/>
      <c r="LQ172" s="30"/>
      <c r="LR172" s="30"/>
      <c r="LS172" s="30"/>
      <c r="LT172" s="30"/>
      <c r="LU172" s="30"/>
      <c r="LV172" s="30"/>
      <c r="LW172" s="30"/>
      <c r="LX172" s="30"/>
      <c r="LY172" s="30"/>
      <c r="LZ172" s="30"/>
      <c r="MA172" s="30"/>
      <c r="MB172" s="30"/>
      <c r="MC172" s="30"/>
      <c r="MD172" s="30"/>
      <c r="ME172" s="30"/>
      <c r="MF172" s="30"/>
      <c r="MG172" s="30"/>
      <c r="MH172" s="30"/>
      <c r="MI172" s="30"/>
      <c r="MJ172" s="30"/>
      <c r="MK172" s="30"/>
      <c r="ML172" s="30"/>
      <c r="MM172" s="30"/>
      <c r="MN172" s="30"/>
      <c r="MO172" s="30"/>
      <c r="MP172" s="30"/>
      <c r="MQ172" s="30"/>
      <c r="MR172" s="30"/>
      <c r="MS172" s="30"/>
      <c r="MT172" s="30"/>
      <c r="MU172" s="30"/>
      <c r="MV172" s="30"/>
      <c r="MW172" s="30"/>
      <c r="MX172" s="30"/>
      <c r="MY172" s="30"/>
      <c r="MZ172" s="30"/>
      <c r="NA172" s="30"/>
      <c r="NB172" s="30"/>
      <c r="NC172" s="30"/>
      <c r="ND172" s="30"/>
      <c r="NE172" s="30"/>
      <c r="NF172" s="30"/>
      <c r="NG172" s="30"/>
      <c r="NH172" s="30"/>
      <c r="NI172" s="30"/>
      <c r="NJ172" s="30"/>
      <c r="NK172" s="30"/>
      <c r="NL172" s="30"/>
      <c r="NM172" s="30"/>
      <c r="NN172" s="30"/>
      <c r="NO172" s="30"/>
      <c r="NP172" s="30"/>
      <c r="NQ172" s="30"/>
      <c r="NR172" s="30"/>
    </row>
    <row r="173" spans="1:382" s="3" customFormat="1" ht="20.100000000000001" customHeight="1" x14ac:dyDescent="0.4">
      <c r="A173" s="29">
        <v>2</v>
      </c>
      <c r="B173" s="5">
        <v>78</v>
      </c>
      <c r="C173" s="5" t="s">
        <v>244</v>
      </c>
      <c r="D173" s="5" t="s">
        <v>76</v>
      </c>
      <c r="E173" s="5" t="s">
        <v>6</v>
      </c>
      <c r="F173" s="5" t="s">
        <v>32</v>
      </c>
      <c r="G173" s="5" t="s">
        <v>32</v>
      </c>
      <c r="H173" s="5" t="s">
        <v>32</v>
      </c>
      <c r="I173" s="8">
        <v>46090.625</v>
      </c>
      <c r="J173" s="8"/>
      <c r="K173" s="8" t="str">
        <f>IF(OR(J173="",E173=""),"",J173+IFERROR(VLOOKUP(E173,リードタイム!$A$2:$C$9,3,FALSE),0))</f>
        <v/>
      </c>
      <c r="L173" s="5" t="s">
        <v>531</v>
      </c>
      <c r="M173" s="8"/>
      <c r="N173" s="8" t="str">
        <f>IF(OR(M173="",E173=""),"",M173+IFERROR(VLOOKUP(E173,リードタイム!$A$2:$D$9,4,FALSE),0))</f>
        <v/>
      </c>
      <c r="O173" s="5" t="s">
        <v>531</v>
      </c>
      <c r="P173" s="5" t="s">
        <v>532</v>
      </c>
      <c r="Q173" s="5" t="s">
        <v>32</v>
      </c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  <c r="FS173" s="30"/>
      <c r="FT173" s="30"/>
      <c r="FU173" s="30"/>
      <c r="FV173" s="30"/>
      <c r="FW173" s="30"/>
      <c r="FX173" s="30"/>
      <c r="FY173" s="30"/>
      <c r="FZ173" s="30"/>
      <c r="GA173" s="30"/>
      <c r="GB173" s="30"/>
      <c r="GC173" s="30"/>
      <c r="GD173" s="30"/>
      <c r="GE173" s="30"/>
      <c r="GF173" s="30"/>
      <c r="GG173" s="30"/>
      <c r="GH173" s="30"/>
      <c r="GI173" s="30"/>
      <c r="GJ173" s="30"/>
      <c r="GK173" s="30"/>
      <c r="GL173" s="30"/>
      <c r="GM173" s="30"/>
      <c r="GN173" s="30"/>
      <c r="GO173" s="30"/>
      <c r="GP173" s="30"/>
      <c r="GQ173" s="30"/>
      <c r="GR173" s="30"/>
      <c r="GS173" s="30"/>
      <c r="GT173" s="30"/>
      <c r="GU173" s="30"/>
      <c r="GV173" s="30"/>
      <c r="GW173" s="30"/>
      <c r="GX173" s="30"/>
      <c r="GY173" s="30"/>
      <c r="GZ173" s="30"/>
      <c r="HA173" s="30"/>
      <c r="HB173" s="30"/>
      <c r="HC173" s="30"/>
      <c r="HD173" s="30"/>
      <c r="HE173" s="30"/>
      <c r="HF173" s="30"/>
      <c r="HG173" s="30"/>
      <c r="HH173" s="30"/>
      <c r="HI173" s="30"/>
      <c r="HJ173" s="30"/>
      <c r="HK173" s="30"/>
      <c r="HL173" s="30"/>
      <c r="HM173" s="30"/>
      <c r="HN173" s="30"/>
      <c r="HO173" s="30"/>
      <c r="HP173" s="30"/>
      <c r="HQ173" s="30"/>
      <c r="HR173" s="30"/>
      <c r="HS173" s="30"/>
      <c r="HT173" s="30"/>
      <c r="HU173" s="30"/>
      <c r="HV173" s="30"/>
      <c r="HW173" s="30"/>
      <c r="HX173" s="30"/>
      <c r="HY173" s="30"/>
      <c r="HZ173" s="30"/>
      <c r="IA173" s="30"/>
      <c r="IB173" s="30"/>
      <c r="IC173" s="30"/>
      <c r="ID173" s="30"/>
      <c r="IE173" s="30"/>
      <c r="IF173" s="30"/>
      <c r="IG173" s="30"/>
      <c r="IH173" s="30"/>
      <c r="II173" s="30"/>
      <c r="IJ173" s="30"/>
      <c r="IK173" s="30"/>
      <c r="IL173" s="30"/>
      <c r="IM173" s="30"/>
      <c r="IN173" s="30"/>
      <c r="IO173" s="30"/>
      <c r="IP173" s="30"/>
      <c r="IQ173" s="30"/>
      <c r="IR173" s="30"/>
      <c r="IS173" s="30"/>
      <c r="IT173" s="30"/>
      <c r="IU173" s="30"/>
      <c r="IV173" s="30"/>
      <c r="IW173" s="30"/>
      <c r="IX173" s="30"/>
      <c r="IY173" s="30"/>
      <c r="IZ173" s="30"/>
      <c r="JA173" s="30"/>
      <c r="JB173" s="30"/>
      <c r="JC173" s="30"/>
      <c r="JD173" s="30"/>
      <c r="JE173" s="30"/>
      <c r="JF173" s="30"/>
      <c r="JG173" s="30"/>
      <c r="JH173" s="30"/>
      <c r="JI173" s="30"/>
      <c r="JJ173" s="30"/>
      <c r="JK173" s="30"/>
      <c r="JL173" s="30"/>
      <c r="JM173" s="30"/>
      <c r="JN173" s="30"/>
      <c r="JO173" s="30"/>
      <c r="JP173" s="30"/>
      <c r="JQ173" s="30"/>
      <c r="JR173" s="30"/>
      <c r="JS173" s="30"/>
      <c r="JT173" s="30"/>
      <c r="JU173" s="30"/>
      <c r="JV173" s="30"/>
      <c r="JW173" s="30"/>
      <c r="JX173" s="30"/>
      <c r="JY173" s="30"/>
      <c r="JZ173" s="30"/>
      <c r="KA173" s="30"/>
      <c r="KB173" s="30"/>
      <c r="KC173" s="30"/>
      <c r="KD173" s="30"/>
      <c r="KE173" s="30"/>
      <c r="KF173" s="30"/>
      <c r="KG173" s="30"/>
      <c r="KH173" s="30"/>
      <c r="KI173" s="30"/>
      <c r="KJ173" s="30"/>
      <c r="KK173" s="30"/>
      <c r="KL173" s="30"/>
      <c r="KM173" s="30"/>
      <c r="KN173" s="30"/>
      <c r="KO173" s="30"/>
      <c r="KP173" s="30"/>
      <c r="KQ173" s="30"/>
      <c r="KR173" s="30"/>
      <c r="KS173" s="30"/>
      <c r="KT173" s="30"/>
      <c r="KU173" s="30"/>
      <c r="KV173" s="30"/>
      <c r="KW173" s="30"/>
      <c r="KX173" s="30"/>
      <c r="KY173" s="30"/>
      <c r="KZ173" s="30"/>
      <c r="LA173" s="30"/>
      <c r="LB173" s="30"/>
      <c r="LC173" s="30"/>
      <c r="LD173" s="30"/>
      <c r="LE173" s="30"/>
      <c r="LF173" s="30"/>
      <c r="LG173" s="30"/>
      <c r="LH173" s="30"/>
      <c r="LI173" s="30"/>
      <c r="LJ173" s="30"/>
      <c r="LK173" s="30"/>
      <c r="LL173" s="30"/>
      <c r="LM173" s="30"/>
      <c r="LN173" s="30"/>
      <c r="LO173" s="30"/>
      <c r="LP173" s="30"/>
      <c r="LQ173" s="30"/>
      <c r="LR173" s="30"/>
      <c r="LS173" s="30"/>
      <c r="LT173" s="30"/>
      <c r="LU173" s="30"/>
      <c r="LV173" s="30"/>
      <c r="LW173" s="30"/>
      <c r="LX173" s="30"/>
      <c r="LY173" s="30"/>
      <c r="LZ173" s="30"/>
      <c r="MA173" s="30"/>
      <c r="MB173" s="30"/>
      <c r="MC173" s="30"/>
      <c r="MD173" s="30"/>
      <c r="ME173" s="30"/>
      <c r="MF173" s="30"/>
      <c r="MG173" s="30"/>
      <c r="MH173" s="30"/>
      <c r="MI173" s="30"/>
      <c r="MJ173" s="30"/>
      <c r="MK173" s="30"/>
      <c r="ML173" s="30"/>
      <c r="MM173" s="30"/>
      <c r="MN173" s="30"/>
      <c r="MO173" s="30"/>
      <c r="MP173" s="30"/>
      <c r="MQ173" s="30"/>
      <c r="MR173" s="30"/>
      <c r="MS173" s="30"/>
      <c r="MT173" s="30"/>
      <c r="MU173" s="30"/>
      <c r="MV173" s="30"/>
      <c r="MW173" s="30"/>
      <c r="MX173" s="30"/>
      <c r="MY173" s="30"/>
      <c r="MZ173" s="30"/>
      <c r="NA173" s="30"/>
      <c r="NB173" s="30"/>
      <c r="NC173" s="30"/>
      <c r="ND173" s="30"/>
      <c r="NE173" s="30"/>
      <c r="NF173" s="30"/>
      <c r="NG173" s="30"/>
      <c r="NH173" s="30"/>
      <c r="NI173" s="30"/>
      <c r="NJ173" s="30"/>
      <c r="NK173" s="30"/>
      <c r="NL173" s="30"/>
      <c r="NM173" s="30"/>
      <c r="NN173" s="30"/>
      <c r="NO173" s="30"/>
      <c r="NP173" s="30"/>
      <c r="NQ173" s="30"/>
      <c r="NR173" s="30"/>
    </row>
    <row r="174" spans="1:382" s="3" customFormat="1" ht="20.100000000000001" customHeight="1" x14ac:dyDescent="0.4">
      <c r="A174" s="29">
        <v>1</v>
      </c>
      <c r="B174" s="5">
        <v>69</v>
      </c>
      <c r="C174" s="5" t="s">
        <v>246</v>
      </c>
      <c r="D174" s="5" t="s">
        <v>41</v>
      </c>
      <c r="E174" s="5" t="s">
        <v>6</v>
      </c>
      <c r="F174" s="5" t="s">
        <v>32</v>
      </c>
      <c r="G174" s="5" t="s">
        <v>32</v>
      </c>
      <c r="H174" s="5" t="s">
        <v>32</v>
      </c>
      <c r="I174" s="8">
        <v>45949.625</v>
      </c>
      <c r="J174" s="8"/>
      <c r="K174" s="8" t="str">
        <f>IF(OR(J174="",E174=""),"",J174+IFERROR(VLOOKUP(E174,リードタイム!$A$2:$C$9,3,FALSE),0))</f>
        <v/>
      </c>
      <c r="L174" s="5" t="s">
        <v>531</v>
      </c>
      <c r="M174" s="8"/>
      <c r="N174" s="8" t="str">
        <f>IF(OR(M174="",E174=""),"",M174+IFERROR(VLOOKUP(E174,リードタイム!$A$2:$D$9,4,FALSE),0))</f>
        <v/>
      </c>
      <c r="O174" s="5" t="s">
        <v>531</v>
      </c>
      <c r="P174" s="5" t="s">
        <v>532</v>
      </c>
      <c r="Q174" s="5" t="s">
        <v>32</v>
      </c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  <c r="FS174" s="30"/>
      <c r="FT174" s="30"/>
      <c r="FU174" s="30"/>
      <c r="FV174" s="30"/>
      <c r="FW174" s="30"/>
      <c r="FX174" s="30"/>
      <c r="FY174" s="30"/>
      <c r="FZ174" s="30"/>
      <c r="GA174" s="30"/>
      <c r="GB174" s="30"/>
      <c r="GC174" s="30"/>
      <c r="GD174" s="30"/>
      <c r="GE174" s="30"/>
      <c r="GF174" s="30"/>
      <c r="GG174" s="30"/>
      <c r="GH174" s="30"/>
      <c r="GI174" s="30"/>
      <c r="GJ174" s="30"/>
      <c r="GK174" s="30"/>
      <c r="GL174" s="30"/>
      <c r="GM174" s="30"/>
      <c r="GN174" s="30"/>
      <c r="GO174" s="30"/>
      <c r="GP174" s="30"/>
      <c r="GQ174" s="30"/>
      <c r="GR174" s="30"/>
      <c r="GS174" s="30"/>
      <c r="GT174" s="30"/>
      <c r="GU174" s="30"/>
      <c r="GV174" s="30"/>
      <c r="GW174" s="30"/>
      <c r="GX174" s="30"/>
      <c r="GY174" s="30"/>
      <c r="GZ174" s="30"/>
      <c r="HA174" s="30"/>
      <c r="HB174" s="30"/>
      <c r="HC174" s="30"/>
      <c r="HD174" s="30"/>
      <c r="HE174" s="30"/>
      <c r="HF174" s="30"/>
      <c r="HG174" s="30"/>
      <c r="HH174" s="30"/>
      <c r="HI174" s="30"/>
      <c r="HJ174" s="30"/>
      <c r="HK174" s="30"/>
      <c r="HL174" s="30"/>
      <c r="HM174" s="30"/>
      <c r="HN174" s="30"/>
      <c r="HO174" s="30"/>
      <c r="HP174" s="30"/>
      <c r="HQ174" s="30"/>
      <c r="HR174" s="30"/>
      <c r="HS174" s="30"/>
      <c r="HT174" s="30"/>
      <c r="HU174" s="30"/>
      <c r="HV174" s="30"/>
      <c r="HW174" s="30"/>
      <c r="HX174" s="30"/>
      <c r="HY174" s="30"/>
      <c r="HZ174" s="30"/>
      <c r="IA174" s="30"/>
      <c r="IB174" s="30"/>
      <c r="IC174" s="30"/>
      <c r="ID174" s="30"/>
      <c r="IE174" s="30"/>
      <c r="IF174" s="30"/>
      <c r="IG174" s="30"/>
      <c r="IH174" s="30"/>
      <c r="II174" s="30"/>
      <c r="IJ174" s="30"/>
      <c r="IK174" s="30"/>
      <c r="IL174" s="30"/>
      <c r="IM174" s="30"/>
      <c r="IN174" s="30"/>
      <c r="IO174" s="30"/>
      <c r="IP174" s="30"/>
      <c r="IQ174" s="30"/>
      <c r="IR174" s="30"/>
      <c r="IS174" s="30"/>
      <c r="IT174" s="30"/>
      <c r="IU174" s="30"/>
      <c r="IV174" s="30"/>
      <c r="IW174" s="30"/>
      <c r="IX174" s="30"/>
      <c r="IY174" s="30"/>
      <c r="IZ174" s="30"/>
      <c r="JA174" s="30"/>
      <c r="JB174" s="30"/>
      <c r="JC174" s="30"/>
      <c r="JD174" s="30"/>
      <c r="JE174" s="30"/>
      <c r="JF174" s="30"/>
      <c r="JG174" s="30"/>
      <c r="JH174" s="30"/>
      <c r="JI174" s="30"/>
      <c r="JJ174" s="30"/>
      <c r="JK174" s="30"/>
      <c r="JL174" s="30"/>
      <c r="JM174" s="30"/>
      <c r="JN174" s="30"/>
      <c r="JO174" s="30"/>
      <c r="JP174" s="30"/>
      <c r="JQ174" s="30"/>
      <c r="JR174" s="30"/>
      <c r="JS174" s="30"/>
      <c r="JT174" s="30"/>
      <c r="JU174" s="30"/>
      <c r="JV174" s="30"/>
      <c r="JW174" s="30"/>
      <c r="JX174" s="30"/>
      <c r="JY174" s="30"/>
      <c r="JZ174" s="30"/>
      <c r="KA174" s="30"/>
      <c r="KB174" s="30"/>
      <c r="KC174" s="30"/>
      <c r="KD174" s="30"/>
      <c r="KE174" s="30"/>
      <c r="KF174" s="30"/>
      <c r="KG174" s="30"/>
      <c r="KH174" s="30"/>
      <c r="KI174" s="30"/>
      <c r="KJ174" s="30"/>
      <c r="KK174" s="30"/>
      <c r="KL174" s="30"/>
      <c r="KM174" s="30"/>
      <c r="KN174" s="30"/>
      <c r="KO174" s="30"/>
      <c r="KP174" s="30"/>
      <c r="KQ174" s="30"/>
      <c r="KR174" s="30"/>
      <c r="KS174" s="30"/>
      <c r="KT174" s="30"/>
      <c r="KU174" s="30"/>
      <c r="KV174" s="30"/>
      <c r="KW174" s="30"/>
      <c r="KX174" s="30"/>
      <c r="KY174" s="30"/>
      <c r="KZ174" s="30"/>
      <c r="LA174" s="30"/>
      <c r="LB174" s="30"/>
      <c r="LC174" s="30"/>
      <c r="LD174" s="30"/>
      <c r="LE174" s="30"/>
      <c r="LF174" s="30"/>
      <c r="LG174" s="30"/>
      <c r="LH174" s="30"/>
      <c r="LI174" s="30"/>
      <c r="LJ174" s="30"/>
      <c r="LK174" s="30"/>
      <c r="LL174" s="30"/>
      <c r="LM174" s="30"/>
      <c r="LN174" s="30"/>
      <c r="LO174" s="30"/>
      <c r="LP174" s="30"/>
      <c r="LQ174" s="30"/>
      <c r="LR174" s="30"/>
      <c r="LS174" s="30"/>
      <c r="LT174" s="30"/>
      <c r="LU174" s="30"/>
      <c r="LV174" s="30"/>
      <c r="LW174" s="30"/>
      <c r="LX174" s="30"/>
      <c r="LY174" s="30"/>
      <c r="LZ174" s="30"/>
      <c r="MA174" s="30"/>
      <c r="MB174" s="30"/>
      <c r="MC174" s="30"/>
      <c r="MD174" s="30"/>
      <c r="ME174" s="30"/>
      <c r="MF174" s="30"/>
      <c r="MG174" s="30"/>
      <c r="MH174" s="30"/>
      <c r="MI174" s="30"/>
      <c r="MJ174" s="30"/>
      <c r="MK174" s="30"/>
      <c r="ML174" s="30"/>
      <c r="MM174" s="30"/>
      <c r="MN174" s="30"/>
      <c r="MO174" s="30"/>
      <c r="MP174" s="30"/>
      <c r="MQ174" s="30"/>
      <c r="MR174" s="30"/>
      <c r="MS174" s="30"/>
      <c r="MT174" s="30"/>
      <c r="MU174" s="30"/>
      <c r="MV174" s="30"/>
      <c r="MW174" s="30"/>
      <c r="MX174" s="30"/>
      <c r="MY174" s="30"/>
      <c r="MZ174" s="30"/>
      <c r="NA174" s="30"/>
      <c r="NB174" s="30"/>
      <c r="NC174" s="30"/>
      <c r="ND174" s="30"/>
      <c r="NE174" s="30"/>
      <c r="NF174" s="30"/>
      <c r="NG174" s="30"/>
      <c r="NH174" s="30"/>
      <c r="NI174" s="30"/>
      <c r="NJ174" s="30"/>
      <c r="NK174" s="30"/>
      <c r="NL174" s="30"/>
      <c r="NM174" s="30"/>
      <c r="NN174" s="30"/>
      <c r="NO174" s="30"/>
      <c r="NP174" s="30"/>
      <c r="NQ174" s="30"/>
      <c r="NR174" s="30"/>
    </row>
    <row r="175" spans="1:382" s="3" customFormat="1" ht="20.100000000000001" customHeight="1" x14ac:dyDescent="0.4">
      <c r="A175" s="29">
        <v>2</v>
      </c>
      <c r="B175" s="5">
        <v>1927</v>
      </c>
      <c r="C175" s="5" t="s">
        <v>246</v>
      </c>
      <c r="D175" s="5" t="s">
        <v>247</v>
      </c>
      <c r="E175" s="5" t="s">
        <v>4</v>
      </c>
      <c r="F175" s="5" t="s">
        <v>32</v>
      </c>
      <c r="G175" s="5" t="s">
        <v>32</v>
      </c>
      <c r="H175" s="5" t="s">
        <v>32</v>
      </c>
      <c r="I175" s="8"/>
      <c r="J175" s="8"/>
      <c r="K175" s="8" t="str">
        <f>IF(OR(J175="",E175=""),"",J175+IFERROR(VLOOKUP(E175,リードタイム!$A$2:$C$9,3,FALSE),0))</f>
        <v/>
      </c>
      <c r="L175" s="5" t="s">
        <v>531</v>
      </c>
      <c r="M175" s="8"/>
      <c r="N175" s="8" t="str">
        <f>IF(OR(M175="",E175=""),"",M175+IFERROR(VLOOKUP(E175,リードタイム!$A$2:$D$9,4,FALSE),0))</f>
        <v/>
      </c>
      <c r="O175" s="5" t="s">
        <v>531</v>
      </c>
      <c r="P175" s="5" t="s">
        <v>533</v>
      </c>
      <c r="Q175" s="5" t="s">
        <v>70</v>
      </c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  <c r="FS175" s="30"/>
      <c r="FT175" s="30"/>
      <c r="FU175" s="30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/>
      <c r="GP175" s="30"/>
      <c r="GQ175" s="30"/>
      <c r="GR175" s="30"/>
      <c r="GS175" s="30"/>
      <c r="GT175" s="30"/>
      <c r="GU175" s="30"/>
      <c r="GV175" s="30"/>
      <c r="GW175" s="30"/>
      <c r="GX175" s="30"/>
      <c r="GY175" s="30"/>
      <c r="GZ175" s="30"/>
      <c r="HA175" s="30"/>
      <c r="HB175" s="30"/>
      <c r="HC175" s="30"/>
      <c r="HD175" s="30"/>
      <c r="HE175" s="30"/>
      <c r="HF175" s="30"/>
      <c r="HG175" s="30"/>
      <c r="HH175" s="30"/>
      <c r="HI175" s="30"/>
      <c r="HJ175" s="30"/>
      <c r="HK175" s="30"/>
      <c r="HL175" s="30"/>
      <c r="HM175" s="30"/>
      <c r="HN175" s="30"/>
      <c r="HO175" s="30"/>
      <c r="HP175" s="30"/>
      <c r="HQ175" s="30"/>
      <c r="HR175" s="30"/>
      <c r="HS175" s="30"/>
      <c r="HT175" s="30"/>
      <c r="HU175" s="30"/>
      <c r="HV175" s="30"/>
      <c r="HW175" s="30"/>
      <c r="HX175" s="30"/>
      <c r="HY175" s="30"/>
      <c r="HZ175" s="30"/>
      <c r="IA175" s="30"/>
      <c r="IB175" s="30"/>
      <c r="IC175" s="30"/>
      <c r="ID175" s="30"/>
      <c r="IE175" s="30"/>
      <c r="IF175" s="30"/>
      <c r="IG175" s="30"/>
      <c r="IH175" s="30"/>
      <c r="II175" s="30"/>
      <c r="IJ175" s="30"/>
      <c r="IK175" s="30"/>
      <c r="IL175" s="30"/>
      <c r="IM175" s="30"/>
      <c r="IN175" s="30"/>
      <c r="IO175" s="30"/>
      <c r="IP175" s="30"/>
      <c r="IQ175" s="30"/>
      <c r="IR175" s="30"/>
      <c r="IS175" s="30"/>
      <c r="IT175" s="30"/>
      <c r="IU175" s="30"/>
      <c r="IV175" s="30"/>
      <c r="IW175" s="30"/>
      <c r="IX175" s="30"/>
      <c r="IY175" s="30"/>
      <c r="IZ175" s="30"/>
      <c r="JA175" s="30"/>
      <c r="JB175" s="30"/>
      <c r="JC175" s="30"/>
      <c r="JD175" s="30"/>
      <c r="JE175" s="30"/>
      <c r="JF175" s="30"/>
      <c r="JG175" s="30"/>
      <c r="JH175" s="30"/>
      <c r="JI175" s="30"/>
      <c r="JJ175" s="30"/>
      <c r="JK175" s="30"/>
      <c r="JL175" s="30"/>
      <c r="JM175" s="30"/>
      <c r="JN175" s="30"/>
      <c r="JO175" s="30"/>
      <c r="JP175" s="30"/>
      <c r="JQ175" s="30"/>
      <c r="JR175" s="30"/>
      <c r="JS175" s="30"/>
      <c r="JT175" s="30"/>
      <c r="JU175" s="30"/>
      <c r="JV175" s="30"/>
      <c r="JW175" s="30"/>
      <c r="JX175" s="30"/>
      <c r="JY175" s="30"/>
      <c r="JZ175" s="30"/>
      <c r="KA175" s="30"/>
      <c r="KB175" s="30"/>
      <c r="KC175" s="30"/>
      <c r="KD175" s="30"/>
      <c r="KE175" s="30"/>
      <c r="KF175" s="30"/>
      <c r="KG175" s="30"/>
      <c r="KH175" s="30"/>
      <c r="KI175" s="30"/>
      <c r="KJ175" s="30"/>
      <c r="KK175" s="30"/>
      <c r="KL175" s="30"/>
      <c r="KM175" s="30"/>
      <c r="KN175" s="30"/>
      <c r="KO175" s="30"/>
      <c r="KP175" s="30"/>
      <c r="KQ175" s="30"/>
      <c r="KR175" s="30"/>
      <c r="KS175" s="30"/>
      <c r="KT175" s="30"/>
      <c r="KU175" s="30"/>
      <c r="KV175" s="30"/>
      <c r="KW175" s="30"/>
      <c r="KX175" s="30"/>
      <c r="KY175" s="30"/>
      <c r="KZ175" s="30"/>
      <c r="LA175" s="30"/>
      <c r="LB175" s="30"/>
      <c r="LC175" s="30"/>
      <c r="LD175" s="30"/>
      <c r="LE175" s="30"/>
      <c r="LF175" s="30"/>
      <c r="LG175" s="30"/>
      <c r="LH175" s="30"/>
      <c r="LI175" s="30"/>
      <c r="LJ175" s="30"/>
      <c r="LK175" s="30"/>
      <c r="LL175" s="30"/>
      <c r="LM175" s="30"/>
      <c r="LN175" s="30"/>
      <c r="LO175" s="30"/>
      <c r="LP175" s="30"/>
      <c r="LQ175" s="30"/>
      <c r="LR175" s="30"/>
      <c r="LS175" s="30"/>
      <c r="LT175" s="30"/>
      <c r="LU175" s="30"/>
      <c r="LV175" s="30"/>
      <c r="LW175" s="30"/>
      <c r="LX175" s="30"/>
      <c r="LY175" s="30"/>
      <c r="LZ175" s="30"/>
      <c r="MA175" s="30"/>
      <c r="MB175" s="30"/>
      <c r="MC175" s="30"/>
      <c r="MD175" s="30"/>
      <c r="ME175" s="30"/>
      <c r="MF175" s="30"/>
      <c r="MG175" s="30"/>
      <c r="MH175" s="30"/>
      <c r="MI175" s="30"/>
      <c r="MJ175" s="30"/>
      <c r="MK175" s="30"/>
      <c r="ML175" s="30"/>
      <c r="MM175" s="30"/>
      <c r="MN175" s="30"/>
      <c r="MO175" s="30"/>
      <c r="MP175" s="30"/>
      <c r="MQ175" s="30"/>
      <c r="MR175" s="30"/>
      <c r="MS175" s="30"/>
      <c r="MT175" s="30"/>
      <c r="MU175" s="30"/>
      <c r="MV175" s="30"/>
      <c r="MW175" s="30"/>
      <c r="MX175" s="30"/>
      <c r="MY175" s="30"/>
      <c r="MZ175" s="30"/>
      <c r="NA175" s="30"/>
      <c r="NB175" s="30"/>
      <c r="NC175" s="30"/>
      <c r="ND175" s="30"/>
      <c r="NE175" s="30"/>
      <c r="NF175" s="30"/>
      <c r="NG175" s="30"/>
      <c r="NH175" s="30"/>
      <c r="NI175" s="30"/>
      <c r="NJ175" s="30"/>
      <c r="NK175" s="30"/>
      <c r="NL175" s="30"/>
      <c r="NM175" s="30"/>
      <c r="NN175" s="30"/>
      <c r="NO175" s="30"/>
      <c r="NP175" s="30"/>
      <c r="NQ175" s="30"/>
      <c r="NR175" s="30"/>
    </row>
    <row r="176" spans="1:382" s="3" customFormat="1" ht="20.100000000000001" customHeight="1" x14ac:dyDescent="0.4">
      <c r="A176" s="29">
        <v>1</v>
      </c>
      <c r="B176" s="5">
        <v>1597</v>
      </c>
      <c r="C176" s="5" t="s">
        <v>248</v>
      </c>
      <c r="D176" s="5" t="s">
        <v>249</v>
      </c>
      <c r="E176" s="5" t="s">
        <v>4</v>
      </c>
      <c r="F176" s="5" t="s">
        <v>32</v>
      </c>
      <c r="G176" s="5" t="s">
        <v>32</v>
      </c>
      <c r="H176" s="5" t="s">
        <v>32</v>
      </c>
      <c r="I176" s="8">
        <v>45960.625</v>
      </c>
      <c r="J176" s="8"/>
      <c r="K176" s="8" t="str">
        <f>IF(OR(J176="",E176=""),"",J176+IFERROR(VLOOKUP(E176,リードタイム!$A$2:$C$9,3,FALSE),0))</f>
        <v/>
      </c>
      <c r="L176" s="5" t="s">
        <v>531</v>
      </c>
      <c r="M176" s="8"/>
      <c r="N176" s="8" t="str">
        <f>IF(OR(M176="",E176=""),"",M176+IFERROR(VLOOKUP(E176,リードタイム!$A$2:$D$9,4,FALSE),0))</f>
        <v/>
      </c>
      <c r="O176" s="5" t="s">
        <v>531</v>
      </c>
      <c r="P176" s="5" t="s">
        <v>532</v>
      </c>
      <c r="Q176" s="5" t="s">
        <v>250</v>
      </c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  <c r="FS176" s="30"/>
      <c r="FT176" s="30"/>
      <c r="FU176" s="30"/>
      <c r="FV176" s="30"/>
      <c r="FW176" s="30"/>
      <c r="FX176" s="30"/>
      <c r="FY176" s="30"/>
      <c r="FZ176" s="30"/>
      <c r="GA176" s="30"/>
      <c r="GB176" s="30"/>
      <c r="GC176" s="30"/>
      <c r="GD176" s="30"/>
      <c r="GE176" s="30"/>
      <c r="GF176" s="30"/>
      <c r="GG176" s="30"/>
      <c r="GH176" s="30"/>
      <c r="GI176" s="30"/>
      <c r="GJ176" s="30"/>
      <c r="GK176" s="30"/>
      <c r="GL176" s="30"/>
      <c r="GM176" s="30"/>
      <c r="GN176" s="30"/>
      <c r="GO176" s="30"/>
      <c r="GP176" s="30"/>
      <c r="GQ176" s="30"/>
      <c r="GR176" s="30"/>
      <c r="GS176" s="30"/>
      <c r="GT176" s="30"/>
      <c r="GU176" s="30"/>
      <c r="GV176" s="30"/>
      <c r="GW176" s="30"/>
      <c r="GX176" s="30"/>
      <c r="GY176" s="30"/>
      <c r="GZ176" s="30"/>
      <c r="HA176" s="30"/>
      <c r="HB176" s="30"/>
      <c r="HC176" s="30"/>
      <c r="HD176" s="30"/>
      <c r="HE176" s="30"/>
      <c r="HF176" s="30"/>
      <c r="HG176" s="30"/>
      <c r="HH176" s="30"/>
      <c r="HI176" s="30"/>
      <c r="HJ176" s="30"/>
      <c r="HK176" s="30"/>
      <c r="HL176" s="30"/>
      <c r="HM176" s="30"/>
      <c r="HN176" s="30"/>
      <c r="HO176" s="30"/>
      <c r="HP176" s="30"/>
      <c r="HQ176" s="30"/>
      <c r="HR176" s="30"/>
      <c r="HS176" s="30"/>
      <c r="HT176" s="30"/>
      <c r="HU176" s="30"/>
      <c r="HV176" s="30"/>
      <c r="HW176" s="30"/>
      <c r="HX176" s="30"/>
      <c r="HY176" s="30"/>
      <c r="HZ176" s="30"/>
      <c r="IA176" s="30"/>
      <c r="IB176" s="30"/>
      <c r="IC176" s="30"/>
      <c r="ID176" s="30"/>
      <c r="IE176" s="30"/>
      <c r="IF176" s="30"/>
      <c r="IG176" s="30"/>
      <c r="IH176" s="30"/>
      <c r="II176" s="30"/>
      <c r="IJ176" s="30"/>
      <c r="IK176" s="30"/>
      <c r="IL176" s="30"/>
      <c r="IM176" s="30"/>
      <c r="IN176" s="30"/>
      <c r="IO176" s="30"/>
      <c r="IP176" s="30"/>
      <c r="IQ176" s="30"/>
      <c r="IR176" s="30"/>
      <c r="IS176" s="30"/>
      <c r="IT176" s="30"/>
      <c r="IU176" s="30"/>
      <c r="IV176" s="30"/>
      <c r="IW176" s="30"/>
      <c r="IX176" s="30"/>
      <c r="IY176" s="30"/>
      <c r="IZ176" s="30"/>
      <c r="JA176" s="30"/>
      <c r="JB176" s="30"/>
      <c r="JC176" s="30"/>
      <c r="JD176" s="30"/>
      <c r="JE176" s="30"/>
      <c r="JF176" s="30"/>
      <c r="JG176" s="30"/>
      <c r="JH176" s="30"/>
      <c r="JI176" s="30"/>
      <c r="JJ176" s="30"/>
      <c r="JK176" s="30"/>
      <c r="JL176" s="30"/>
      <c r="JM176" s="30"/>
      <c r="JN176" s="30"/>
      <c r="JO176" s="30"/>
      <c r="JP176" s="30"/>
      <c r="JQ176" s="30"/>
      <c r="JR176" s="30"/>
      <c r="JS176" s="30"/>
      <c r="JT176" s="30"/>
      <c r="JU176" s="30"/>
      <c r="JV176" s="30"/>
      <c r="JW176" s="30"/>
      <c r="JX176" s="30"/>
      <c r="JY176" s="30"/>
      <c r="JZ176" s="30"/>
      <c r="KA176" s="30"/>
      <c r="KB176" s="30"/>
      <c r="KC176" s="30"/>
      <c r="KD176" s="30"/>
      <c r="KE176" s="30"/>
      <c r="KF176" s="30"/>
      <c r="KG176" s="30"/>
      <c r="KH176" s="30"/>
      <c r="KI176" s="30"/>
      <c r="KJ176" s="30"/>
      <c r="KK176" s="30"/>
      <c r="KL176" s="30"/>
      <c r="KM176" s="30"/>
      <c r="KN176" s="30"/>
      <c r="KO176" s="30"/>
      <c r="KP176" s="30"/>
      <c r="KQ176" s="30"/>
      <c r="KR176" s="30"/>
      <c r="KS176" s="30"/>
      <c r="KT176" s="30"/>
      <c r="KU176" s="30"/>
      <c r="KV176" s="30"/>
      <c r="KW176" s="30"/>
      <c r="KX176" s="30"/>
      <c r="KY176" s="30"/>
      <c r="KZ176" s="30"/>
      <c r="LA176" s="30"/>
      <c r="LB176" s="30"/>
      <c r="LC176" s="30"/>
      <c r="LD176" s="30"/>
      <c r="LE176" s="30"/>
      <c r="LF176" s="30"/>
      <c r="LG176" s="30"/>
      <c r="LH176" s="30"/>
      <c r="LI176" s="30"/>
      <c r="LJ176" s="30"/>
      <c r="LK176" s="30"/>
      <c r="LL176" s="30"/>
      <c r="LM176" s="30"/>
      <c r="LN176" s="30"/>
      <c r="LO176" s="30"/>
      <c r="LP176" s="30"/>
      <c r="LQ176" s="30"/>
      <c r="LR176" s="30"/>
      <c r="LS176" s="30"/>
      <c r="LT176" s="30"/>
      <c r="LU176" s="30"/>
      <c r="LV176" s="30"/>
      <c r="LW176" s="30"/>
      <c r="LX176" s="30"/>
      <c r="LY176" s="30"/>
      <c r="LZ176" s="30"/>
      <c r="MA176" s="30"/>
      <c r="MB176" s="30"/>
      <c r="MC176" s="30"/>
      <c r="MD176" s="30"/>
      <c r="ME176" s="30"/>
      <c r="MF176" s="30"/>
      <c r="MG176" s="30"/>
      <c r="MH176" s="30"/>
      <c r="MI176" s="30"/>
      <c r="MJ176" s="30"/>
      <c r="MK176" s="30"/>
      <c r="ML176" s="30"/>
      <c r="MM176" s="30"/>
      <c r="MN176" s="30"/>
      <c r="MO176" s="30"/>
      <c r="MP176" s="30"/>
      <c r="MQ176" s="30"/>
      <c r="MR176" s="30"/>
      <c r="MS176" s="30"/>
      <c r="MT176" s="30"/>
      <c r="MU176" s="30"/>
      <c r="MV176" s="30"/>
      <c r="MW176" s="30"/>
      <c r="MX176" s="30"/>
      <c r="MY176" s="30"/>
      <c r="MZ176" s="30"/>
      <c r="NA176" s="30"/>
      <c r="NB176" s="30"/>
      <c r="NC176" s="30"/>
      <c r="ND176" s="30"/>
      <c r="NE176" s="30"/>
      <c r="NF176" s="30"/>
      <c r="NG176" s="30"/>
      <c r="NH176" s="30"/>
      <c r="NI176" s="30"/>
      <c r="NJ176" s="30"/>
      <c r="NK176" s="30"/>
      <c r="NL176" s="30"/>
      <c r="NM176" s="30"/>
      <c r="NN176" s="30"/>
      <c r="NO176" s="30"/>
      <c r="NP176" s="30"/>
      <c r="NQ176" s="30"/>
      <c r="NR176" s="30"/>
    </row>
    <row r="177" spans="1:382" s="3" customFormat="1" ht="20.100000000000001" customHeight="1" x14ac:dyDescent="0.4">
      <c r="A177" s="29">
        <v>2</v>
      </c>
      <c r="B177" s="5">
        <v>1793</v>
      </c>
      <c r="C177" s="5" t="s">
        <v>248</v>
      </c>
      <c r="D177" s="5" t="s">
        <v>251</v>
      </c>
      <c r="E177" s="5" t="s">
        <v>4</v>
      </c>
      <c r="F177" s="5" t="s">
        <v>32</v>
      </c>
      <c r="G177" s="5" t="s">
        <v>32</v>
      </c>
      <c r="H177" s="5" t="s">
        <v>32</v>
      </c>
      <c r="I177" s="8"/>
      <c r="J177" s="8"/>
      <c r="K177" s="8" t="str">
        <f>IF(OR(J177="",E177=""),"",J177+IFERROR(VLOOKUP(E177,リードタイム!$A$2:$C$9,3,FALSE),0))</f>
        <v/>
      </c>
      <c r="L177" s="5" t="s">
        <v>531</v>
      </c>
      <c r="M177" s="8"/>
      <c r="N177" s="8" t="str">
        <f>IF(OR(M177="",E177=""),"",M177+IFERROR(VLOOKUP(E177,リードタイム!$A$2:$D$9,4,FALSE),0))</f>
        <v/>
      </c>
      <c r="O177" s="5" t="s">
        <v>531</v>
      </c>
      <c r="P177" s="5" t="s">
        <v>533</v>
      </c>
      <c r="Q177" s="5" t="s">
        <v>137</v>
      </c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  <c r="FS177" s="30"/>
      <c r="FT177" s="30"/>
      <c r="FU177" s="30"/>
      <c r="FV177" s="30"/>
      <c r="FW177" s="30"/>
      <c r="FX177" s="30"/>
      <c r="FY177" s="30"/>
      <c r="FZ177" s="30"/>
      <c r="GA177" s="30"/>
      <c r="GB177" s="30"/>
      <c r="GC177" s="30"/>
      <c r="GD177" s="30"/>
      <c r="GE177" s="30"/>
      <c r="GF177" s="30"/>
      <c r="GG177" s="30"/>
      <c r="GH177" s="30"/>
      <c r="GI177" s="30"/>
      <c r="GJ177" s="30"/>
      <c r="GK177" s="30"/>
      <c r="GL177" s="30"/>
      <c r="GM177" s="30"/>
      <c r="GN177" s="30"/>
      <c r="GO177" s="30"/>
      <c r="GP177" s="30"/>
      <c r="GQ177" s="30"/>
      <c r="GR177" s="30"/>
      <c r="GS177" s="30"/>
      <c r="GT177" s="30"/>
      <c r="GU177" s="30"/>
      <c r="GV177" s="30"/>
      <c r="GW177" s="30"/>
      <c r="GX177" s="30"/>
      <c r="GY177" s="30"/>
      <c r="GZ177" s="30"/>
      <c r="HA177" s="30"/>
      <c r="HB177" s="30"/>
      <c r="HC177" s="30"/>
      <c r="HD177" s="30"/>
      <c r="HE177" s="30"/>
      <c r="HF177" s="30"/>
      <c r="HG177" s="30"/>
      <c r="HH177" s="30"/>
      <c r="HI177" s="30"/>
      <c r="HJ177" s="30"/>
      <c r="HK177" s="30"/>
      <c r="HL177" s="30"/>
      <c r="HM177" s="30"/>
      <c r="HN177" s="30"/>
      <c r="HO177" s="30"/>
      <c r="HP177" s="30"/>
      <c r="HQ177" s="30"/>
      <c r="HR177" s="30"/>
      <c r="HS177" s="30"/>
      <c r="HT177" s="30"/>
      <c r="HU177" s="30"/>
      <c r="HV177" s="30"/>
      <c r="HW177" s="30"/>
      <c r="HX177" s="30"/>
      <c r="HY177" s="30"/>
      <c r="HZ177" s="30"/>
      <c r="IA177" s="30"/>
      <c r="IB177" s="30"/>
      <c r="IC177" s="30"/>
      <c r="ID177" s="30"/>
      <c r="IE177" s="30"/>
      <c r="IF177" s="30"/>
      <c r="IG177" s="30"/>
      <c r="IH177" s="30"/>
      <c r="II177" s="30"/>
      <c r="IJ177" s="30"/>
      <c r="IK177" s="30"/>
      <c r="IL177" s="30"/>
      <c r="IM177" s="30"/>
      <c r="IN177" s="30"/>
      <c r="IO177" s="30"/>
      <c r="IP177" s="30"/>
      <c r="IQ177" s="30"/>
      <c r="IR177" s="30"/>
      <c r="IS177" s="30"/>
      <c r="IT177" s="30"/>
      <c r="IU177" s="30"/>
      <c r="IV177" s="30"/>
      <c r="IW177" s="30"/>
      <c r="IX177" s="30"/>
      <c r="IY177" s="30"/>
      <c r="IZ177" s="30"/>
      <c r="JA177" s="30"/>
      <c r="JB177" s="30"/>
      <c r="JC177" s="30"/>
      <c r="JD177" s="30"/>
      <c r="JE177" s="30"/>
      <c r="JF177" s="30"/>
      <c r="JG177" s="30"/>
      <c r="JH177" s="30"/>
      <c r="JI177" s="30"/>
      <c r="JJ177" s="30"/>
      <c r="JK177" s="30"/>
      <c r="JL177" s="30"/>
      <c r="JM177" s="30"/>
      <c r="JN177" s="30"/>
      <c r="JO177" s="30"/>
      <c r="JP177" s="30"/>
      <c r="JQ177" s="30"/>
      <c r="JR177" s="30"/>
      <c r="JS177" s="30"/>
      <c r="JT177" s="30"/>
      <c r="JU177" s="30"/>
      <c r="JV177" s="30"/>
      <c r="JW177" s="30"/>
      <c r="JX177" s="30"/>
      <c r="JY177" s="30"/>
      <c r="JZ177" s="30"/>
      <c r="KA177" s="30"/>
      <c r="KB177" s="30"/>
      <c r="KC177" s="30"/>
      <c r="KD177" s="30"/>
      <c r="KE177" s="30"/>
      <c r="KF177" s="30"/>
      <c r="KG177" s="30"/>
      <c r="KH177" s="30"/>
      <c r="KI177" s="30"/>
      <c r="KJ177" s="30"/>
      <c r="KK177" s="30"/>
      <c r="KL177" s="30"/>
      <c r="KM177" s="30"/>
      <c r="KN177" s="30"/>
      <c r="KO177" s="30"/>
      <c r="KP177" s="30"/>
      <c r="KQ177" s="30"/>
      <c r="KR177" s="30"/>
      <c r="KS177" s="30"/>
      <c r="KT177" s="30"/>
      <c r="KU177" s="30"/>
      <c r="KV177" s="30"/>
      <c r="KW177" s="30"/>
      <c r="KX177" s="30"/>
      <c r="KY177" s="30"/>
      <c r="KZ177" s="30"/>
      <c r="LA177" s="30"/>
      <c r="LB177" s="30"/>
      <c r="LC177" s="30"/>
      <c r="LD177" s="30"/>
      <c r="LE177" s="30"/>
      <c r="LF177" s="30"/>
      <c r="LG177" s="30"/>
      <c r="LH177" s="30"/>
      <c r="LI177" s="30"/>
      <c r="LJ177" s="30"/>
      <c r="LK177" s="30"/>
      <c r="LL177" s="30"/>
      <c r="LM177" s="30"/>
      <c r="LN177" s="30"/>
      <c r="LO177" s="30"/>
      <c r="LP177" s="30"/>
      <c r="LQ177" s="30"/>
      <c r="LR177" s="30"/>
      <c r="LS177" s="30"/>
      <c r="LT177" s="30"/>
      <c r="LU177" s="30"/>
      <c r="LV177" s="30"/>
      <c r="LW177" s="30"/>
      <c r="LX177" s="30"/>
      <c r="LY177" s="30"/>
      <c r="LZ177" s="30"/>
      <c r="MA177" s="30"/>
      <c r="MB177" s="30"/>
      <c r="MC177" s="30"/>
      <c r="MD177" s="30"/>
      <c r="ME177" s="30"/>
      <c r="MF177" s="30"/>
      <c r="MG177" s="30"/>
      <c r="MH177" s="30"/>
      <c r="MI177" s="30"/>
      <c r="MJ177" s="30"/>
      <c r="MK177" s="30"/>
      <c r="ML177" s="30"/>
      <c r="MM177" s="30"/>
      <c r="MN177" s="30"/>
      <c r="MO177" s="30"/>
      <c r="MP177" s="30"/>
      <c r="MQ177" s="30"/>
      <c r="MR177" s="30"/>
      <c r="MS177" s="30"/>
      <c r="MT177" s="30"/>
      <c r="MU177" s="30"/>
      <c r="MV177" s="30"/>
      <c r="MW177" s="30"/>
      <c r="MX177" s="30"/>
      <c r="MY177" s="30"/>
      <c r="MZ177" s="30"/>
      <c r="NA177" s="30"/>
      <c r="NB177" s="30"/>
      <c r="NC177" s="30"/>
      <c r="ND177" s="30"/>
      <c r="NE177" s="30"/>
      <c r="NF177" s="30"/>
      <c r="NG177" s="30"/>
      <c r="NH177" s="30"/>
      <c r="NI177" s="30"/>
      <c r="NJ177" s="30"/>
      <c r="NK177" s="30"/>
      <c r="NL177" s="30"/>
      <c r="NM177" s="30"/>
      <c r="NN177" s="30"/>
      <c r="NO177" s="30"/>
      <c r="NP177" s="30"/>
      <c r="NQ177" s="30"/>
      <c r="NR177" s="30"/>
    </row>
    <row r="178" spans="1:382" s="3" customFormat="1" ht="20.100000000000001" customHeight="1" x14ac:dyDescent="0.4">
      <c r="A178" s="29">
        <v>3</v>
      </c>
      <c r="B178" s="5">
        <v>1597</v>
      </c>
      <c r="C178" s="5" t="s">
        <v>248</v>
      </c>
      <c r="D178" s="5" t="s">
        <v>252</v>
      </c>
      <c r="E178" s="5" t="s">
        <v>4</v>
      </c>
      <c r="F178" s="5" t="s">
        <v>32</v>
      </c>
      <c r="G178" s="5" t="s">
        <v>32</v>
      </c>
      <c r="H178" s="5" t="s">
        <v>32</v>
      </c>
      <c r="I178" s="8"/>
      <c r="J178" s="8"/>
      <c r="K178" s="8" t="str">
        <f>IF(OR(J178="",E178=""),"",J178+IFERROR(VLOOKUP(E178,リードタイム!$A$2:$C$9,3,FALSE),0))</f>
        <v/>
      </c>
      <c r="L178" s="5" t="s">
        <v>531</v>
      </c>
      <c r="M178" s="8"/>
      <c r="N178" s="8" t="str">
        <f>IF(OR(M178="",E178=""),"",M178+IFERROR(VLOOKUP(E178,リードタイム!$A$2:$D$9,4,FALSE),0))</f>
        <v/>
      </c>
      <c r="O178" s="5" t="s">
        <v>531</v>
      </c>
      <c r="P178" s="5" t="s">
        <v>533</v>
      </c>
      <c r="Q178" s="5" t="s">
        <v>32</v>
      </c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  <c r="FS178" s="30"/>
      <c r="FT178" s="30"/>
      <c r="FU178" s="30"/>
      <c r="FV178" s="30"/>
      <c r="FW178" s="30"/>
      <c r="FX178" s="30"/>
      <c r="FY178" s="30"/>
      <c r="FZ178" s="30"/>
      <c r="GA178" s="30"/>
      <c r="GB178" s="30"/>
      <c r="GC178" s="30"/>
      <c r="GD178" s="30"/>
      <c r="GE178" s="30"/>
      <c r="GF178" s="30"/>
      <c r="GG178" s="30"/>
      <c r="GH178" s="30"/>
      <c r="GI178" s="30"/>
      <c r="GJ178" s="30"/>
      <c r="GK178" s="30"/>
      <c r="GL178" s="30"/>
      <c r="GM178" s="30"/>
      <c r="GN178" s="30"/>
      <c r="GO178" s="30"/>
      <c r="GP178" s="30"/>
      <c r="GQ178" s="30"/>
      <c r="GR178" s="30"/>
      <c r="GS178" s="30"/>
      <c r="GT178" s="30"/>
      <c r="GU178" s="30"/>
      <c r="GV178" s="30"/>
      <c r="GW178" s="30"/>
      <c r="GX178" s="30"/>
      <c r="GY178" s="30"/>
      <c r="GZ178" s="30"/>
      <c r="HA178" s="30"/>
      <c r="HB178" s="30"/>
      <c r="HC178" s="30"/>
      <c r="HD178" s="30"/>
      <c r="HE178" s="30"/>
      <c r="HF178" s="30"/>
      <c r="HG178" s="30"/>
      <c r="HH178" s="30"/>
      <c r="HI178" s="30"/>
      <c r="HJ178" s="30"/>
      <c r="HK178" s="30"/>
      <c r="HL178" s="30"/>
      <c r="HM178" s="30"/>
      <c r="HN178" s="30"/>
      <c r="HO178" s="30"/>
      <c r="HP178" s="30"/>
      <c r="HQ178" s="30"/>
      <c r="HR178" s="30"/>
      <c r="HS178" s="30"/>
      <c r="HT178" s="30"/>
      <c r="HU178" s="30"/>
      <c r="HV178" s="30"/>
      <c r="HW178" s="30"/>
      <c r="HX178" s="30"/>
      <c r="HY178" s="30"/>
      <c r="HZ178" s="30"/>
      <c r="IA178" s="30"/>
      <c r="IB178" s="30"/>
      <c r="IC178" s="30"/>
      <c r="ID178" s="30"/>
      <c r="IE178" s="30"/>
      <c r="IF178" s="30"/>
      <c r="IG178" s="30"/>
      <c r="IH178" s="30"/>
      <c r="II178" s="30"/>
      <c r="IJ178" s="30"/>
      <c r="IK178" s="30"/>
      <c r="IL178" s="30"/>
      <c r="IM178" s="30"/>
      <c r="IN178" s="30"/>
      <c r="IO178" s="30"/>
      <c r="IP178" s="30"/>
      <c r="IQ178" s="30"/>
      <c r="IR178" s="30"/>
      <c r="IS178" s="30"/>
      <c r="IT178" s="30"/>
      <c r="IU178" s="30"/>
      <c r="IV178" s="30"/>
      <c r="IW178" s="30"/>
      <c r="IX178" s="30"/>
      <c r="IY178" s="30"/>
      <c r="IZ178" s="30"/>
      <c r="JA178" s="30"/>
      <c r="JB178" s="30"/>
      <c r="JC178" s="30"/>
      <c r="JD178" s="30"/>
      <c r="JE178" s="30"/>
      <c r="JF178" s="30"/>
      <c r="JG178" s="30"/>
      <c r="JH178" s="30"/>
      <c r="JI178" s="30"/>
      <c r="JJ178" s="30"/>
      <c r="JK178" s="30"/>
      <c r="JL178" s="30"/>
      <c r="JM178" s="30"/>
      <c r="JN178" s="30"/>
      <c r="JO178" s="30"/>
      <c r="JP178" s="30"/>
      <c r="JQ178" s="30"/>
      <c r="JR178" s="30"/>
      <c r="JS178" s="30"/>
      <c r="JT178" s="30"/>
      <c r="JU178" s="30"/>
      <c r="JV178" s="30"/>
      <c r="JW178" s="30"/>
      <c r="JX178" s="30"/>
      <c r="JY178" s="30"/>
      <c r="JZ178" s="30"/>
      <c r="KA178" s="30"/>
      <c r="KB178" s="30"/>
      <c r="KC178" s="30"/>
      <c r="KD178" s="30"/>
      <c r="KE178" s="30"/>
      <c r="KF178" s="30"/>
      <c r="KG178" s="30"/>
      <c r="KH178" s="30"/>
      <c r="KI178" s="30"/>
      <c r="KJ178" s="30"/>
      <c r="KK178" s="30"/>
      <c r="KL178" s="30"/>
      <c r="KM178" s="30"/>
      <c r="KN178" s="30"/>
      <c r="KO178" s="30"/>
      <c r="KP178" s="30"/>
      <c r="KQ178" s="30"/>
      <c r="KR178" s="30"/>
      <c r="KS178" s="30"/>
      <c r="KT178" s="30"/>
      <c r="KU178" s="30"/>
      <c r="KV178" s="30"/>
      <c r="KW178" s="30"/>
      <c r="KX178" s="30"/>
      <c r="KY178" s="30"/>
      <c r="KZ178" s="30"/>
      <c r="LA178" s="30"/>
      <c r="LB178" s="30"/>
      <c r="LC178" s="30"/>
      <c r="LD178" s="30"/>
      <c r="LE178" s="30"/>
      <c r="LF178" s="30"/>
      <c r="LG178" s="30"/>
      <c r="LH178" s="30"/>
      <c r="LI178" s="30"/>
      <c r="LJ178" s="30"/>
      <c r="LK178" s="30"/>
      <c r="LL178" s="30"/>
      <c r="LM178" s="30"/>
      <c r="LN178" s="30"/>
      <c r="LO178" s="30"/>
      <c r="LP178" s="30"/>
      <c r="LQ178" s="30"/>
      <c r="LR178" s="30"/>
      <c r="LS178" s="30"/>
      <c r="LT178" s="30"/>
      <c r="LU178" s="30"/>
      <c r="LV178" s="30"/>
      <c r="LW178" s="30"/>
      <c r="LX178" s="30"/>
      <c r="LY178" s="30"/>
      <c r="LZ178" s="30"/>
      <c r="MA178" s="30"/>
      <c r="MB178" s="30"/>
      <c r="MC178" s="30"/>
      <c r="MD178" s="30"/>
      <c r="ME178" s="30"/>
      <c r="MF178" s="30"/>
      <c r="MG178" s="30"/>
      <c r="MH178" s="30"/>
      <c r="MI178" s="30"/>
      <c r="MJ178" s="30"/>
      <c r="MK178" s="30"/>
      <c r="ML178" s="30"/>
      <c r="MM178" s="30"/>
      <c r="MN178" s="30"/>
      <c r="MO178" s="30"/>
      <c r="MP178" s="30"/>
      <c r="MQ178" s="30"/>
      <c r="MR178" s="30"/>
      <c r="MS178" s="30"/>
      <c r="MT178" s="30"/>
      <c r="MU178" s="30"/>
      <c r="MV178" s="30"/>
      <c r="MW178" s="30"/>
      <c r="MX178" s="30"/>
      <c r="MY178" s="30"/>
      <c r="MZ178" s="30"/>
      <c r="NA178" s="30"/>
      <c r="NB178" s="30"/>
      <c r="NC178" s="30"/>
      <c r="ND178" s="30"/>
      <c r="NE178" s="30"/>
      <c r="NF178" s="30"/>
      <c r="NG178" s="30"/>
      <c r="NH178" s="30"/>
      <c r="NI178" s="30"/>
      <c r="NJ178" s="30"/>
      <c r="NK178" s="30"/>
      <c r="NL178" s="30"/>
      <c r="NM178" s="30"/>
      <c r="NN178" s="30"/>
      <c r="NO178" s="30"/>
      <c r="NP178" s="30"/>
      <c r="NQ178" s="30"/>
      <c r="NR178" s="30"/>
    </row>
    <row r="179" spans="1:382" s="3" customFormat="1" ht="20.100000000000001" customHeight="1" x14ac:dyDescent="0.4">
      <c r="A179" s="29">
        <v>4</v>
      </c>
      <c r="B179" s="5">
        <v>1597</v>
      </c>
      <c r="C179" s="5" t="s">
        <v>248</v>
      </c>
      <c r="D179" s="5" t="s">
        <v>252</v>
      </c>
      <c r="E179" s="5" t="s">
        <v>4</v>
      </c>
      <c r="F179" s="5" t="s">
        <v>32</v>
      </c>
      <c r="G179" s="5" t="s">
        <v>32</v>
      </c>
      <c r="H179" s="5" t="s">
        <v>32</v>
      </c>
      <c r="I179" s="8"/>
      <c r="J179" s="8"/>
      <c r="K179" s="8" t="str">
        <f>IF(OR(J179="",E179=""),"",J179+IFERROR(VLOOKUP(E179,リードタイム!$A$2:$C$9,3,FALSE),0))</f>
        <v/>
      </c>
      <c r="L179" s="5" t="s">
        <v>530</v>
      </c>
      <c r="M179" s="8"/>
      <c r="N179" s="8" t="str">
        <f>IF(OR(M179="",E179=""),"",M179+IFERROR(VLOOKUP(E179,リードタイム!$A$2:$D$9,4,FALSE),0))</f>
        <v/>
      </c>
      <c r="O179" s="5" t="s">
        <v>530</v>
      </c>
      <c r="P179" s="5" t="s">
        <v>530</v>
      </c>
      <c r="Q179" s="5" t="s">
        <v>253</v>
      </c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  <c r="FS179" s="30"/>
      <c r="FT179" s="30"/>
      <c r="FU179" s="30"/>
      <c r="FV179" s="30"/>
      <c r="FW179" s="30"/>
      <c r="FX179" s="30"/>
      <c r="FY179" s="30"/>
      <c r="FZ179" s="30"/>
      <c r="GA179" s="30"/>
      <c r="GB179" s="30"/>
      <c r="GC179" s="30"/>
      <c r="GD179" s="30"/>
      <c r="GE179" s="30"/>
      <c r="GF179" s="30"/>
      <c r="GG179" s="30"/>
      <c r="GH179" s="30"/>
      <c r="GI179" s="30"/>
      <c r="GJ179" s="30"/>
      <c r="GK179" s="30"/>
      <c r="GL179" s="30"/>
      <c r="GM179" s="30"/>
      <c r="GN179" s="30"/>
      <c r="GO179" s="30"/>
      <c r="GP179" s="30"/>
      <c r="GQ179" s="30"/>
      <c r="GR179" s="30"/>
      <c r="GS179" s="30"/>
      <c r="GT179" s="30"/>
      <c r="GU179" s="30"/>
      <c r="GV179" s="30"/>
      <c r="GW179" s="30"/>
      <c r="GX179" s="30"/>
      <c r="GY179" s="30"/>
      <c r="GZ179" s="30"/>
      <c r="HA179" s="30"/>
      <c r="HB179" s="30"/>
      <c r="HC179" s="30"/>
      <c r="HD179" s="30"/>
      <c r="HE179" s="30"/>
      <c r="HF179" s="30"/>
      <c r="HG179" s="30"/>
      <c r="HH179" s="30"/>
      <c r="HI179" s="30"/>
      <c r="HJ179" s="30"/>
      <c r="HK179" s="30"/>
      <c r="HL179" s="30"/>
      <c r="HM179" s="30"/>
      <c r="HN179" s="30"/>
      <c r="HO179" s="30"/>
      <c r="HP179" s="30"/>
      <c r="HQ179" s="30"/>
      <c r="HR179" s="30"/>
      <c r="HS179" s="30"/>
      <c r="HT179" s="30"/>
      <c r="HU179" s="30"/>
      <c r="HV179" s="30"/>
      <c r="HW179" s="30"/>
      <c r="HX179" s="30"/>
      <c r="HY179" s="30"/>
      <c r="HZ179" s="30"/>
      <c r="IA179" s="30"/>
      <c r="IB179" s="30"/>
      <c r="IC179" s="30"/>
      <c r="ID179" s="30"/>
      <c r="IE179" s="30"/>
      <c r="IF179" s="30"/>
      <c r="IG179" s="30"/>
      <c r="IH179" s="30"/>
      <c r="II179" s="30"/>
      <c r="IJ179" s="30"/>
      <c r="IK179" s="30"/>
      <c r="IL179" s="30"/>
      <c r="IM179" s="30"/>
      <c r="IN179" s="30"/>
      <c r="IO179" s="30"/>
      <c r="IP179" s="30"/>
      <c r="IQ179" s="30"/>
      <c r="IR179" s="30"/>
      <c r="IS179" s="30"/>
      <c r="IT179" s="30"/>
      <c r="IU179" s="30"/>
      <c r="IV179" s="30"/>
      <c r="IW179" s="30"/>
      <c r="IX179" s="30"/>
      <c r="IY179" s="30"/>
      <c r="IZ179" s="30"/>
      <c r="JA179" s="30"/>
      <c r="JB179" s="30"/>
      <c r="JC179" s="30"/>
      <c r="JD179" s="30"/>
      <c r="JE179" s="30"/>
      <c r="JF179" s="30"/>
      <c r="JG179" s="30"/>
      <c r="JH179" s="30"/>
      <c r="JI179" s="30"/>
      <c r="JJ179" s="30"/>
      <c r="JK179" s="30"/>
      <c r="JL179" s="30"/>
      <c r="JM179" s="30"/>
      <c r="JN179" s="30"/>
      <c r="JO179" s="30"/>
      <c r="JP179" s="30"/>
      <c r="JQ179" s="30"/>
      <c r="JR179" s="30"/>
      <c r="JS179" s="30"/>
      <c r="JT179" s="30"/>
      <c r="JU179" s="30"/>
      <c r="JV179" s="30"/>
      <c r="JW179" s="30"/>
      <c r="JX179" s="30"/>
      <c r="JY179" s="30"/>
      <c r="JZ179" s="30"/>
      <c r="KA179" s="30"/>
      <c r="KB179" s="30"/>
      <c r="KC179" s="30"/>
      <c r="KD179" s="30"/>
      <c r="KE179" s="30"/>
      <c r="KF179" s="30"/>
      <c r="KG179" s="30"/>
      <c r="KH179" s="30"/>
      <c r="KI179" s="30"/>
      <c r="KJ179" s="30"/>
      <c r="KK179" s="30"/>
      <c r="KL179" s="30"/>
      <c r="KM179" s="30"/>
      <c r="KN179" s="30"/>
      <c r="KO179" s="30"/>
      <c r="KP179" s="30"/>
      <c r="KQ179" s="30"/>
      <c r="KR179" s="30"/>
      <c r="KS179" s="30"/>
      <c r="KT179" s="30"/>
      <c r="KU179" s="30"/>
      <c r="KV179" s="30"/>
      <c r="KW179" s="30"/>
      <c r="KX179" s="30"/>
      <c r="KY179" s="30"/>
      <c r="KZ179" s="30"/>
      <c r="LA179" s="30"/>
      <c r="LB179" s="30"/>
      <c r="LC179" s="30"/>
      <c r="LD179" s="30"/>
      <c r="LE179" s="30"/>
      <c r="LF179" s="30"/>
      <c r="LG179" s="30"/>
      <c r="LH179" s="30"/>
      <c r="LI179" s="30"/>
      <c r="LJ179" s="30"/>
      <c r="LK179" s="30"/>
      <c r="LL179" s="30"/>
      <c r="LM179" s="30"/>
      <c r="LN179" s="30"/>
      <c r="LO179" s="30"/>
      <c r="LP179" s="30"/>
      <c r="LQ179" s="30"/>
      <c r="LR179" s="30"/>
      <c r="LS179" s="30"/>
      <c r="LT179" s="30"/>
      <c r="LU179" s="30"/>
      <c r="LV179" s="30"/>
      <c r="LW179" s="30"/>
      <c r="LX179" s="30"/>
      <c r="LY179" s="30"/>
      <c r="LZ179" s="30"/>
      <c r="MA179" s="30"/>
      <c r="MB179" s="30"/>
      <c r="MC179" s="30"/>
      <c r="MD179" s="30"/>
      <c r="ME179" s="30"/>
      <c r="MF179" s="30"/>
      <c r="MG179" s="30"/>
      <c r="MH179" s="30"/>
      <c r="MI179" s="30"/>
      <c r="MJ179" s="30"/>
      <c r="MK179" s="30"/>
      <c r="ML179" s="30"/>
      <c r="MM179" s="30"/>
      <c r="MN179" s="30"/>
      <c r="MO179" s="30"/>
      <c r="MP179" s="30"/>
      <c r="MQ179" s="30"/>
      <c r="MR179" s="30"/>
      <c r="MS179" s="30"/>
      <c r="MT179" s="30"/>
      <c r="MU179" s="30"/>
      <c r="MV179" s="30"/>
      <c r="MW179" s="30"/>
      <c r="MX179" s="30"/>
      <c r="MY179" s="30"/>
      <c r="MZ179" s="30"/>
      <c r="NA179" s="30"/>
      <c r="NB179" s="30"/>
      <c r="NC179" s="30"/>
      <c r="ND179" s="30"/>
      <c r="NE179" s="30"/>
      <c r="NF179" s="30"/>
      <c r="NG179" s="30"/>
      <c r="NH179" s="30"/>
      <c r="NI179" s="30"/>
      <c r="NJ179" s="30"/>
      <c r="NK179" s="30"/>
      <c r="NL179" s="30"/>
      <c r="NM179" s="30"/>
      <c r="NN179" s="30"/>
      <c r="NO179" s="30"/>
      <c r="NP179" s="30"/>
      <c r="NQ179" s="30"/>
      <c r="NR179" s="30"/>
    </row>
    <row r="180" spans="1:382" s="3" customFormat="1" ht="20.100000000000001" customHeight="1" x14ac:dyDescent="0.4">
      <c r="A180" s="29">
        <v>1</v>
      </c>
      <c r="B180" s="5">
        <v>1673</v>
      </c>
      <c r="C180" s="5" t="s">
        <v>254</v>
      </c>
      <c r="D180" s="5" t="s">
        <v>228</v>
      </c>
      <c r="E180" s="5" t="s">
        <v>4</v>
      </c>
      <c r="F180" s="5" t="s">
        <v>32</v>
      </c>
      <c r="G180" s="5" t="s">
        <v>32</v>
      </c>
      <c r="H180" s="5" t="s">
        <v>32</v>
      </c>
      <c r="I180" s="8"/>
      <c r="J180" s="8"/>
      <c r="K180" s="8" t="str">
        <f>IF(OR(J180="",E180=""),"",J180+IFERROR(VLOOKUP(E180,リードタイム!$A$2:$C$9,3,FALSE),0))</f>
        <v/>
      </c>
      <c r="L180" s="5" t="s">
        <v>530</v>
      </c>
      <c r="M180" s="8"/>
      <c r="N180" s="8" t="str">
        <f>IF(OR(M180="",E180=""),"",M180+IFERROR(VLOOKUP(E180,リードタイム!$A$2:$D$9,4,FALSE),0))</f>
        <v/>
      </c>
      <c r="O180" s="5" t="s">
        <v>530</v>
      </c>
      <c r="P180" s="5" t="s">
        <v>530</v>
      </c>
      <c r="Q180" s="5" t="s">
        <v>255</v>
      </c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  <c r="FS180" s="30"/>
      <c r="FT180" s="30"/>
      <c r="FU180" s="30"/>
      <c r="FV180" s="30"/>
      <c r="FW180" s="30"/>
      <c r="FX180" s="30"/>
      <c r="FY180" s="30"/>
      <c r="FZ180" s="30"/>
      <c r="GA180" s="30"/>
      <c r="GB180" s="30"/>
      <c r="GC180" s="30"/>
      <c r="GD180" s="30"/>
      <c r="GE180" s="30"/>
      <c r="GF180" s="30"/>
      <c r="GG180" s="30"/>
      <c r="GH180" s="30"/>
      <c r="GI180" s="30"/>
      <c r="GJ180" s="30"/>
      <c r="GK180" s="30"/>
      <c r="GL180" s="30"/>
      <c r="GM180" s="30"/>
      <c r="GN180" s="30"/>
      <c r="GO180" s="30"/>
      <c r="GP180" s="30"/>
      <c r="GQ180" s="30"/>
      <c r="GR180" s="30"/>
      <c r="GS180" s="30"/>
      <c r="GT180" s="30"/>
      <c r="GU180" s="30"/>
      <c r="GV180" s="30"/>
      <c r="GW180" s="30"/>
      <c r="GX180" s="30"/>
      <c r="GY180" s="30"/>
      <c r="GZ180" s="30"/>
      <c r="HA180" s="30"/>
      <c r="HB180" s="30"/>
      <c r="HC180" s="30"/>
      <c r="HD180" s="30"/>
      <c r="HE180" s="30"/>
      <c r="HF180" s="30"/>
      <c r="HG180" s="30"/>
      <c r="HH180" s="30"/>
      <c r="HI180" s="30"/>
      <c r="HJ180" s="30"/>
      <c r="HK180" s="30"/>
      <c r="HL180" s="30"/>
      <c r="HM180" s="30"/>
      <c r="HN180" s="30"/>
      <c r="HO180" s="30"/>
      <c r="HP180" s="30"/>
      <c r="HQ180" s="30"/>
      <c r="HR180" s="30"/>
      <c r="HS180" s="30"/>
      <c r="HT180" s="30"/>
      <c r="HU180" s="30"/>
      <c r="HV180" s="30"/>
      <c r="HW180" s="30"/>
      <c r="HX180" s="30"/>
      <c r="HY180" s="30"/>
      <c r="HZ180" s="30"/>
      <c r="IA180" s="30"/>
      <c r="IB180" s="30"/>
      <c r="IC180" s="30"/>
      <c r="ID180" s="30"/>
      <c r="IE180" s="30"/>
      <c r="IF180" s="30"/>
      <c r="IG180" s="30"/>
      <c r="IH180" s="30"/>
      <c r="II180" s="30"/>
      <c r="IJ180" s="30"/>
      <c r="IK180" s="30"/>
      <c r="IL180" s="30"/>
      <c r="IM180" s="30"/>
      <c r="IN180" s="30"/>
      <c r="IO180" s="30"/>
      <c r="IP180" s="30"/>
      <c r="IQ180" s="30"/>
      <c r="IR180" s="30"/>
      <c r="IS180" s="30"/>
      <c r="IT180" s="30"/>
      <c r="IU180" s="30"/>
      <c r="IV180" s="30"/>
      <c r="IW180" s="30"/>
      <c r="IX180" s="30"/>
      <c r="IY180" s="30"/>
      <c r="IZ180" s="30"/>
      <c r="JA180" s="30"/>
      <c r="JB180" s="30"/>
      <c r="JC180" s="30"/>
      <c r="JD180" s="30"/>
      <c r="JE180" s="30"/>
      <c r="JF180" s="30"/>
      <c r="JG180" s="30"/>
      <c r="JH180" s="30"/>
      <c r="JI180" s="30"/>
      <c r="JJ180" s="30"/>
      <c r="JK180" s="30"/>
      <c r="JL180" s="30"/>
      <c r="JM180" s="30"/>
      <c r="JN180" s="30"/>
      <c r="JO180" s="30"/>
      <c r="JP180" s="30"/>
      <c r="JQ180" s="30"/>
      <c r="JR180" s="30"/>
      <c r="JS180" s="30"/>
      <c r="JT180" s="30"/>
      <c r="JU180" s="30"/>
      <c r="JV180" s="30"/>
      <c r="JW180" s="30"/>
      <c r="JX180" s="30"/>
      <c r="JY180" s="30"/>
      <c r="JZ180" s="30"/>
      <c r="KA180" s="30"/>
      <c r="KB180" s="30"/>
      <c r="KC180" s="30"/>
      <c r="KD180" s="30"/>
      <c r="KE180" s="30"/>
      <c r="KF180" s="30"/>
      <c r="KG180" s="30"/>
      <c r="KH180" s="30"/>
      <c r="KI180" s="30"/>
      <c r="KJ180" s="30"/>
      <c r="KK180" s="30"/>
      <c r="KL180" s="30"/>
      <c r="KM180" s="30"/>
      <c r="KN180" s="30"/>
      <c r="KO180" s="30"/>
      <c r="KP180" s="30"/>
      <c r="KQ180" s="30"/>
      <c r="KR180" s="30"/>
      <c r="KS180" s="30"/>
      <c r="KT180" s="30"/>
      <c r="KU180" s="30"/>
      <c r="KV180" s="30"/>
      <c r="KW180" s="30"/>
      <c r="KX180" s="30"/>
      <c r="KY180" s="30"/>
      <c r="KZ180" s="30"/>
      <c r="LA180" s="30"/>
      <c r="LB180" s="30"/>
      <c r="LC180" s="30"/>
      <c r="LD180" s="30"/>
      <c r="LE180" s="30"/>
      <c r="LF180" s="30"/>
      <c r="LG180" s="30"/>
      <c r="LH180" s="30"/>
      <c r="LI180" s="30"/>
      <c r="LJ180" s="30"/>
      <c r="LK180" s="30"/>
      <c r="LL180" s="30"/>
      <c r="LM180" s="30"/>
      <c r="LN180" s="30"/>
      <c r="LO180" s="30"/>
      <c r="LP180" s="30"/>
      <c r="LQ180" s="30"/>
      <c r="LR180" s="30"/>
      <c r="LS180" s="30"/>
      <c r="LT180" s="30"/>
      <c r="LU180" s="30"/>
      <c r="LV180" s="30"/>
      <c r="LW180" s="30"/>
      <c r="LX180" s="30"/>
      <c r="LY180" s="30"/>
      <c r="LZ180" s="30"/>
      <c r="MA180" s="30"/>
      <c r="MB180" s="30"/>
      <c r="MC180" s="30"/>
      <c r="MD180" s="30"/>
      <c r="ME180" s="30"/>
      <c r="MF180" s="30"/>
      <c r="MG180" s="30"/>
      <c r="MH180" s="30"/>
      <c r="MI180" s="30"/>
      <c r="MJ180" s="30"/>
      <c r="MK180" s="30"/>
      <c r="ML180" s="30"/>
      <c r="MM180" s="30"/>
      <c r="MN180" s="30"/>
      <c r="MO180" s="30"/>
      <c r="MP180" s="30"/>
      <c r="MQ180" s="30"/>
      <c r="MR180" s="30"/>
      <c r="MS180" s="30"/>
      <c r="MT180" s="30"/>
      <c r="MU180" s="30"/>
      <c r="MV180" s="30"/>
      <c r="MW180" s="30"/>
      <c r="MX180" s="30"/>
      <c r="MY180" s="30"/>
      <c r="MZ180" s="30"/>
      <c r="NA180" s="30"/>
      <c r="NB180" s="30"/>
      <c r="NC180" s="30"/>
      <c r="ND180" s="30"/>
      <c r="NE180" s="30"/>
      <c r="NF180" s="30"/>
      <c r="NG180" s="30"/>
      <c r="NH180" s="30"/>
      <c r="NI180" s="30"/>
      <c r="NJ180" s="30"/>
      <c r="NK180" s="30"/>
      <c r="NL180" s="30"/>
      <c r="NM180" s="30"/>
      <c r="NN180" s="30"/>
      <c r="NO180" s="30"/>
      <c r="NP180" s="30"/>
      <c r="NQ180" s="30"/>
      <c r="NR180" s="30"/>
    </row>
    <row r="181" spans="1:382" s="3" customFormat="1" ht="20.100000000000001" customHeight="1" x14ac:dyDescent="0.4">
      <c r="A181" s="29">
        <v>1</v>
      </c>
      <c r="B181" s="5">
        <v>1673</v>
      </c>
      <c r="C181" s="5" t="s">
        <v>256</v>
      </c>
      <c r="D181" s="5" t="s">
        <v>257</v>
      </c>
      <c r="E181" s="5" t="s">
        <v>4</v>
      </c>
      <c r="F181" s="5" t="s">
        <v>32</v>
      </c>
      <c r="G181" s="5" t="s">
        <v>32</v>
      </c>
      <c r="H181" s="5" t="s">
        <v>32</v>
      </c>
      <c r="I181" s="8"/>
      <c r="J181" s="8"/>
      <c r="K181" s="8" t="str">
        <f>IF(OR(J181="",E181=""),"",J181+IFERROR(VLOOKUP(E181,リードタイム!$A$2:$C$9,3,FALSE),0))</f>
        <v/>
      </c>
      <c r="L181" s="5" t="s">
        <v>531</v>
      </c>
      <c r="M181" s="8"/>
      <c r="N181" s="8" t="str">
        <f>IF(OR(M181="",E181=""),"",M181+IFERROR(VLOOKUP(E181,リードタイム!$A$2:$D$9,4,FALSE),0))</f>
        <v/>
      </c>
      <c r="O181" s="5" t="s">
        <v>531</v>
      </c>
      <c r="P181" s="5" t="s">
        <v>533</v>
      </c>
      <c r="Q181" s="5" t="s">
        <v>258</v>
      </c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  <c r="FS181" s="30"/>
      <c r="FT181" s="30"/>
      <c r="FU181" s="30"/>
      <c r="FV181" s="30"/>
      <c r="FW181" s="30"/>
      <c r="FX181" s="30"/>
      <c r="FY181" s="30"/>
      <c r="FZ181" s="30"/>
      <c r="GA181" s="30"/>
      <c r="GB181" s="30"/>
      <c r="GC181" s="30"/>
      <c r="GD181" s="30"/>
      <c r="GE181" s="30"/>
      <c r="GF181" s="30"/>
      <c r="GG181" s="30"/>
      <c r="GH181" s="30"/>
      <c r="GI181" s="30"/>
      <c r="GJ181" s="30"/>
      <c r="GK181" s="30"/>
      <c r="GL181" s="30"/>
      <c r="GM181" s="30"/>
      <c r="GN181" s="30"/>
      <c r="GO181" s="30"/>
      <c r="GP181" s="30"/>
      <c r="GQ181" s="30"/>
      <c r="GR181" s="30"/>
      <c r="GS181" s="30"/>
      <c r="GT181" s="30"/>
      <c r="GU181" s="30"/>
      <c r="GV181" s="30"/>
      <c r="GW181" s="30"/>
      <c r="GX181" s="30"/>
      <c r="GY181" s="30"/>
      <c r="GZ181" s="30"/>
      <c r="HA181" s="30"/>
      <c r="HB181" s="30"/>
      <c r="HC181" s="30"/>
      <c r="HD181" s="30"/>
      <c r="HE181" s="30"/>
      <c r="HF181" s="30"/>
      <c r="HG181" s="30"/>
      <c r="HH181" s="30"/>
      <c r="HI181" s="30"/>
      <c r="HJ181" s="30"/>
      <c r="HK181" s="30"/>
      <c r="HL181" s="30"/>
      <c r="HM181" s="30"/>
      <c r="HN181" s="30"/>
      <c r="HO181" s="30"/>
      <c r="HP181" s="30"/>
      <c r="HQ181" s="30"/>
      <c r="HR181" s="30"/>
      <c r="HS181" s="30"/>
      <c r="HT181" s="30"/>
      <c r="HU181" s="30"/>
      <c r="HV181" s="30"/>
      <c r="HW181" s="30"/>
      <c r="HX181" s="30"/>
      <c r="HY181" s="30"/>
      <c r="HZ181" s="30"/>
      <c r="IA181" s="30"/>
      <c r="IB181" s="30"/>
      <c r="IC181" s="30"/>
      <c r="ID181" s="30"/>
      <c r="IE181" s="30"/>
      <c r="IF181" s="30"/>
      <c r="IG181" s="30"/>
      <c r="IH181" s="30"/>
      <c r="II181" s="30"/>
      <c r="IJ181" s="30"/>
      <c r="IK181" s="30"/>
      <c r="IL181" s="30"/>
      <c r="IM181" s="30"/>
      <c r="IN181" s="30"/>
      <c r="IO181" s="30"/>
      <c r="IP181" s="30"/>
      <c r="IQ181" s="30"/>
      <c r="IR181" s="30"/>
      <c r="IS181" s="30"/>
      <c r="IT181" s="30"/>
      <c r="IU181" s="30"/>
      <c r="IV181" s="30"/>
      <c r="IW181" s="30"/>
      <c r="IX181" s="30"/>
      <c r="IY181" s="30"/>
      <c r="IZ181" s="30"/>
      <c r="JA181" s="30"/>
      <c r="JB181" s="30"/>
      <c r="JC181" s="30"/>
      <c r="JD181" s="30"/>
      <c r="JE181" s="30"/>
      <c r="JF181" s="30"/>
      <c r="JG181" s="30"/>
      <c r="JH181" s="30"/>
      <c r="JI181" s="30"/>
      <c r="JJ181" s="30"/>
      <c r="JK181" s="30"/>
      <c r="JL181" s="30"/>
      <c r="JM181" s="30"/>
      <c r="JN181" s="30"/>
      <c r="JO181" s="30"/>
      <c r="JP181" s="30"/>
      <c r="JQ181" s="30"/>
      <c r="JR181" s="30"/>
      <c r="JS181" s="30"/>
      <c r="JT181" s="30"/>
      <c r="JU181" s="30"/>
      <c r="JV181" s="30"/>
      <c r="JW181" s="30"/>
      <c r="JX181" s="30"/>
      <c r="JY181" s="30"/>
      <c r="JZ181" s="30"/>
      <c r="KA181" s="30"/>
      <c r="KB181" s="30"/>
      <c r="KC181" s="30"/>
      <c r="KD181" s="30"/>
      <c r="KE181" s="30"/>
      <c r="KF181" s="30"/>
      <c r="KG181" s="30"/>
      <c r="KH181" s="30"/>
      <c r="KI181" s="30"/>
      <c r="KJ181" s="30"/>
      <c r="KK181" s="30"/>
      <c r="KL181" s="30"/>
      <c r="KM181" s="30"/>
      <c r="KN181" s="30"/>
      <c r="KO181" s="30"/>
      <c r="KP181" s="30"/>
      <c r="KQ181" s="30"/>
      <c r="KR181" s="30"/>
      <c r="KS181" s="30"/>
      <c r="KT181" s="30"/>
      <c r="KU181" s="30"/>
      <c r="KV181" s="30"/>
      <c r="KW181" s="30"/>
      <c r="KX181" s="30"/>
      <c r="KY181" s="30"/>
      <c r="KZ181" s="30"/>
      <c r="LA181" s="30"/>
      <c r="LB181" s="30"/>
      <c r="LC181" s="30"/>
      <c r="LD181" s="30"/>
      <c r="LE181" s="30"/>
      <c r="LF181" s="30"/>
      <c r="LG181" s="30"/>
      <c r="LH181" s="30"/>
      <c r="LI181" s="30"/>
      <c r="LJ181" s="30"/>
      <c r="LK181" s="30"/>
      <c r="LL181" s="30"/>
      <c r="LM181" s="30"/>
      <c r="LN181" s="30"/>
      <c r="LO181" s="30"/>
      <c r="LP181" s="30"/>
      <c r="LQ181" s="30"/>
      <c r="LR181" s="30"/>
      <c r="LS181" s="30"/>
      <c r="LT181" s="30"/>
      <c r="LU181" s="30"/>
      <c r="LV181" s="30"/>
      <c r="LW181" s="30"/>
      <c r="LX181" s="30"/>
      <c r="LY181" s="30"/>
      <c r="LZ181" s="30"/>
      <c r="MA181" s="30"/>
      <c r="MB181" s="30"/>
      <c r="MC181" s="30"/>
      <c r="MD181" s="30"/>
      <c r="ME181" s="30"/>
      <c r="MF181" s="30"/>
      <c r="MG181" s="30"/>
      <c r="MH181" s="30"/>
      <c r="MI181" s="30"/>
      <c r="MJ181" s="30"/>
      <c r="MK181" s="30"/>
      <c r="ML181" s="30"/>
      <c r="MM181" s="30"/>
      <c r="MN181" s="30"/>
      <c r="MO181" s="30"/>
      <c r="MP181" s="30"/>
      <c r="MQ181" s="30"/>
      <c r="MR181" s="30"/>
      <c r="MS181" s="30"/>
      <c r="MT181" s="30"/>
      <c r="MU181" s="30"/>
      <c r="MV181" s="30"/>
      <c r="MW181" s="30"/>
      <c r="MX181" s="30"/>
      <c r="MY181" s="30"/>
      <c r="MZ181" s="30"/>
      <c r="NA181" s="30"/>
      <c r="NB181" s="30"/>
      <c r="NC181" s="30"/>
      <c r="ND181" s="30"/>
      <c r="NE181" s="30"/>
      <c r="NF181" s="30"/>
      <c r="NG181" s="30"/>
      <c r="NH181" s="30"/>
      <c r="NI181" s="30"/>
      <c r="NJ181" s="30"/>
      <c r="NK181" s="30"/>
      <c r="NL181" s="30"/>
      <c r="NM181" s="30"/>
      <c r="NN181" s="30"/>
      <c r="NO181" s="30"/>
      <c r="NP181" s="30"/>
      <c r="NQ181" s="30"/>
      <c r="NR181" s="30"/>
    </row>
    <row r="182" spans="1:382" s="3" customFormat="1" ht="20.100000000000001" customHeight="1" x14ac:dyDescent="0.4">
      <c r="A182" s="29">
        <v>2</v>
      </c>
      <c r="B182" s="5">
        <v>1927</v>
      </c>
      <c r="C182" s="5" t="s">
        <v>256</v>
      </c>
      <c r="D182" s="5" t="s">
        <v>259</v>
      </c>
      <c r="E182" s="5" t="s">
        <v>4</v>
      </c>
      <c r="F182" s="5" t="s">
        <v>32</v>
      </c>
      <c r="G182" s="5" t="s">
        <v>32</v>
      </c>
      <c r="H182" s="5" t="s">
        <v>32</v>
      </c>
      <c r="I182" s="8"/>
      <c r="J182" s="8"/>
      <c r="K182" s="8" t="str">
        <f>IF(OR(J182="",E182=""),"",J182+IFERROR(VLOOKUP(E182,リードタイム!$A$2:$C$9,3,FALSE),0))</f>
        <v/>
      </c>
      <c r="L182" s="5" t="s">
        <v>531</v>
      </c>
      <c r="M182" s="8"/>
      <c r="N182" s="8" t="str">
        <f>IF(OR(M182="",E182=""),"",M182+IFERROR(VLOOKUP(E182,リードタイム!$A$2:$D$9,4,FALSE),0))</f>
        <v/>
      </c>
      <c r="O182" s="5" t="s">
        <v>531</v>
      </c>
      <c r="P182" s="5" t="s">
        <v>533</v>
      </c>
      <c r="Q182" s="5" t="s">
        <v>32</v>
      </c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  <c r="FS182" s="30"/>
      <c r="FT182" s="30"/>
      <c r="FU182" s="30"/>
      <c r="FV182" s="30"/>
      <c r="FW182" s="30"/>
      <c r="FX182" s="30"/>
      <c r="FY182" s="30"/>
      <c r="FZ182" s="30"/>
      <c r="GA182" s="30"/>
      <c r="GB182" s="30"/>
      <c r="GC182" s="30"/>
      <c r="GD182" s="30"/>
      <c r="GE182" s="30"/>
      <c r="GF182" s="30"/>
      <c r="GG182" s="30"/>
      <c r="GH182" s="30"/>
      <c r="GI182" s="30"/>
      <c r="GJ182" s="30"/>
      <c r="GK182" s="30"/>
      <c r="GL182" s="30"/>
      <c r="GM182" s="30"/>
      <c r="GN182" s="30"/>
      <c r="GO182" s="30"/>
      <c r="GP182" s="30"/>
      <c r="GQ182" s="30"/>
      <c r="GR182" s="30"/>
      <c r="GS182" s="30"/>
      <c r="GT182" s="30"/>
      <c r="GU182" s="30"/>
      <c r="GV182" s="30"/>
      <c r="GW182" s="30"/>
      <c r="GX182" s="30"/>
      <c r="GY182" s="30"/>
      <c r="GZ182" s="30"/>
      <c r="HA182" s="30"/>
      <c r="HB182" s="30"/>
      <c r="HC182" s="30"/>
      <c r="HD182" s="30"/>
      <c r="HE182" s="30"/>
      <c r="HF182" s="30"/>
      <c r="HG182" s="30"/>
      <c r="HH182" s="30"/>
      <c r="HI182" s="30"/>
      <c r="HJ182" s="30"/>
      <c r="HK182" s="30"/>
      <c r="HL182" s="30"/>
      <c r="HM182" s="30"/>
      <c r="HN182" s="30"/>
      <c r="HO182" s="30"/>
      <c r="HP182" s="30"/>
      <c r="HQ182" s="30"/>
      <c r="HR182" s="30"/>
      <c r="HS182" s="30"/>
      <c r="HT182" s="30"/>
      <c r="HU182" s="30"/>
      <c r="HV182" s="30"/>
      <c r="HW182" s="30"/>
      <c r="HX182" s="30"/>
      <c r="HY182" s="30"/>
      <c r="HZ182" s="30"/>
      <c r="IA182" s="30"/>
      <c r="IB182" s="30"/>
      <c r="IC182" s="30"/>
      <c r="ID182" s="30"/>
      <c r="IE182" s="30"/>
      <c r="IF182" s="30"/>
      <c r="IG182" s="30"/>
      <c r="IH182" s="30"/>
      <c r="II182" s="30"/>
      <c r="IJ182" s="30"/>
      <c r="IK182" s="30"/>
      <c r="IL182" s="30"/>
      <c r="IM182" s="30"/>
      <c r="IN182" s="30"/>
      <c r="IO182" s="30"/>
      <c r="IP182" s="30"/>
      <c r="IQ182" s="30"/>
      <c r="IR182" s="30"/>
      <c r="IS182" s="30"/>
      <c r="IT182" s="30"/>
      <c r="IU182" s="30"/>
      <c r="IV182" s="30"/>
      <c r="IW182" s="30"/>
      <c r="IX182" s="30"/>
      <c r="IY182" s="30"/>
      <c r="IZ182" s="30"/>
      <c r="JA182" s="30"/>
      <c r="JB182" s="30"/>
      <c r="JC182" s="30"/>
      <c r="JD182" s="30"/>
      <c r="JE182" s="30"/>
      <c r="JF182" s="30"/>
      <c r="JG182" s="30"/>
      <c r="JH182" s="30"/>
      <c r="JI182" s="30"/>
      <c r="JJ182" s="30"/>
      <c r="JK182" s="30"/>
      <c r="JL182" s="30"/>
      <c r="JM182" s="30"/>
      <c r="JN182" s="30"/>
      <c r="JO182" s="30"/>
      <c r="JP182" s="30"/>
      <c r="JQ182" s="30"/>
      <c r="JR182" s="30"/>
      <c r="JS182" s="30"/>
      <c r="JT182" s="30"/>
      <c r="JU182" s="30"/>
      <c r="JV182" s="30"/>
      <c r="JW182" s="30"/>
      <c r="JX182" s="30"/>
      <c r="JY182" s="30"/>
      <c r="JZ182" s="30"/>
      <c r="KA182" s="30"/>
      <c r="KB182" s="30"/>
      <c r="KC182" s="30"/>
      <c r="KD182" s="30"/>
      <c r="KE182" s="30"/>
      <c r="KF182" s="30"/>
      <c r="KG182" s="30"/>
      <c r="KH182" s="30"/>
      <c r="KI182" s="30"/>
      <c r="KJ182" s="30"/>
      <c r="KK182" s="30"/>
      <c r="KL182" s="30"/>
      <c r="KM182" s="30"/>
      <c r="KN182" s="30"/>
      <c r="KO182" s="30"/>
      <c r="KP182" s="30"/>
      <c r="KQ182" s="30"/>
      <c r="KR182" s="30"/>
      <c r="KS182" s="30"/>
      <c r="KT182" s="30"/>
      <c r="KU182" s="30"/>
      <c r="KV182" s="30"/>
      <c r="KW182" s="30"/>
      <c r="KX182" s="30"/>
      <c r="KY182" s="30"/>
      <c r="KZ182" s="30"/>
      <c r="LA182" s="30"/>
      <c r="LB182" s="30"/>
      <c r="LC182" s="30"/>
      <c r="LD182" s="30"/>
      <c r="LE182" s="30"/>
      <c r="LF182" s="30"/>
      <c r="LG182" s="30"/>
      <c r="LH182" s="30"/>
      <c r="LI182" s="30"/>
      <c r="LJ182" s="30"/>
      <c r="LK182" s="30"/>
      <c r="LL182" s="30"/>
      <c r="LM182" s="30"/>
      <c r="LN182" s="30"/>
      <c r="LO182" s="30"/>
      <c r="LP182" s="30"/>
      <c r="LQ182" s="30"/>
      <c r="LR182" s="30"/>
      <c r="LS182" s="30"/>
      <c r="LT182" s="30"/>
      <c r="LU182" s="30"/>
      <c r="LV182" s="30"/>
      <c r="LW182" s="30"/>
      <c r="LX182" s="30"/>
      <c r="LY182" s="30"/>
      <c r="LZ182" s="30"/>
      <c r="MA182" s="30"/>
      <c r="MB182" s="30"/>
      <c r="MC182" s="30"/>
      <c r="MD182" s="30"/>
      <c r="ME182" s="30"/>
      <c r="MF182" s="30"/>
      <c r="MG182" s="30"/>
      <c r="MH182" s="30"/>
      <c r="MI182" s="30"/>
      <c r="MJ182" s="30"/>
      <c r="MK182" s="30"/>
      <c r="ML182" s="30"/>
      <c r="MM182" s="30"/>
      <c r="MN182" s="30"/>
      <c r="MO182" s="30"/>
      <c r="MP182" s="30"/>
      <c r="MQ182" s="30"/>
      <c r="MR182" s="30"/>
      <c r="MS182" s="30"/>
      <c r="MT182" s="30"/>
      <c r="MU182" s="30"/>
      <c r="MV182" s="30"/>
      <c r="MW182" s="30"/>
      <c r="MX182" s="30"/>
      <c r="MY182" s="30"/>
      <c r="MZ182" s="30"/>
      <c r="NA182" s="30"/>
      <c r="NB182" s="30"/>
      <c r="NC182" s="30"/>
      <c r="ND182" s="30"/>
      <c r="NE182" s="30"/>
      <c r="NF182" s="30"/>
      <c r="NG182" s="30"/>
      <c r="NH182" s="30"/>
      <c r="NI182" s="30"/>
      <c r="NJ182" s="30"/>
      <c r="NK182" s="30"/>
      <c r="NL182" s="30"/>
      <c r="NM182" s="30"/>
      <c r="NN182" s="30"/>
      <c r="NO182" s="30"/>
      <c r="NP182" s="30"/>
      <c r="NQ182" s="30"/>
      <c r="NR182" s="30"/>
    </row>
    <row r="183" spans="1:382" s="3" customFormat="1" ht="20.100000000000001" customHeight="1" x14ac:dyDescent="0.4">
      <c r="A183" s="29">
        <v>3</v>
      </c>
      <c r="B183" s="5">
        <v>1673</v>
      </c>
      <c r="C183" s="5" t="s">
        <v>256</v>
      </c>
      <c r="D183" s="5" t="s">
        <v>260</v>
      </c>
      <c r="E183" s="5" t="s">
        <v>4</v>
      </c>
      <c r="F183" s="5" t="s">
        <v>32</v>
      </c>
      <c r="G183" s="5" t="s">
        <v>32</v>
      </c>
      <c r="H183" s="5" t="s">
        <v>32</v>
      </c>
      <c r="I183" s="8"/>
      <c r="J183" s="8"/>
      <c r="K183" s="8" t="str">
        <f>IF(OR(J183="",E183=""),"",J183+IFERROR(VLOOKUP(E183,リードタイム!$A$2:$C$9,3,FALSE),0))</f>
        <v/>
      </c>
      <c r="L183" s="5" t="s">
        <v>531</v>
      </c>
      <c r="M183" s="8"/>
      <c r="N183" s="8" t="str">
        <f>IF(OR(M183="",E183=""),"",M183+IFERROR(VLOOKUP(E183,リードタイム!$A$2:$D$9,4,FALSE),0))</f>
        <v/>
      </c>
      <c r="O183" s="5" t="s">
        <v>531</v>
      </c>
      <c r="P183" s="5" t="s">
        <v>533</v>
      </c>
      <c r="Q183" s="5" t="s">
        <v>261</v>
      </c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  <c r="FS183" s="30"/>
      <c r="FT183" s="30"/>
      <c r="FU183" s="30"/>
      <c r="FV183" s="30"/>
      <c r="FW183" s="30"/>
      <c r="FX183" s="30"/>
      <c r="FY183" s="30"/>
      <c r="FZ183" s="30"/>
      <c r="GA183" s="30"/>
      <c r="GB183" s="30"/>
      <c r="GC183" s="30"/>
      <c r="GD183" s="30"/>
      <c r="GE183" s="30"/>
      <c r="GF183" s="30"/>
      <c r="GG183" s="30"/>
      <c r="GH183" s="30"/>
      <c r="GI183" s="30"/>
      <c r="GJ183" s="30"/>
      <c r="GK183" s="30"/>
      <c r="GL183" s="30"/>
      <c r="GM183" s="30"/>
      <c r="GN183" s="30"/>
      <c r="GO183" s="30"/>
      <c r="GP183" s="30"/>
      <c r="GQ183" s="30"/>
      <c r="GR183" s="30"/>
      <c r="GS183" s="30"/>
      <c r="GT183" s="30"/>
      <c r="GU183" s="30"/>
      <c r="GV183" s="30"/>
      <c r="GW183" s="30"/>
      <c r="GX183" s="30"/>
      <c r="GY183" s="30"/>
      <c r="GZ183" s="30"/>
      <c r="HA183" s="30"/>
      <c r="HB183" s="30"/>
      <c r="HC183" s="30"/>
      <c r="HD183" s="30"/>
      <c r="HE183" s="30"/>
      <c r="HF183" s="30"/>
      <c r="HG183" s="30"/>
      <c r="HH183" s="30"/>
      <c r="HI183" s="30"/>
      <c r="HJ183" s="30"/>
      <c r="HK183" s="30"/>
      <c r="HL183" s="30"/>
      <c r="HM183" s="30"/>
      <c r="HN183" s="30"/>
      <c r="HO183" s="30"/>
      <c r="HP183" s="30"/>
      <c r="HQ183" s="30"/>
      <c r="HR183" s="30"/>
      <c r="HS183" s="30"/>
      <c r="HT183" s="30"/>
      <c r="HU183" s="30"/>
      <c r="HV183" s="30"/>
      <c r="HW183" s="30"/>
      <c r="HX183" s="30"/>
      <c r="HY183" s="30"/>
      <c r="HZ183" s="30"/>
      <c r="IA183" s="30"/>
      <c r="IB183" s="30"/>
      <c r="IC183" s="30"/>
      <c r="ID183" s="30"/>
      <c r="IE183" s="30"/>
      <c r="IF183" s="30"/>
      <c r="IG183" s="30"/>
      <c r="IH183" s="30"/>
      <c r="II183" s="30"/>
      <c r="IJ183" s="30"/>
      <c r="IK183" s="30"/>
      <c r="IL183" s="30"/>
      <c r="IM183" s="30"/>
      <c r="IN183" s="30"/>
      <c r="IO183" s="30"/>
      <c r="IP183" s="30"/>
      <c r="IQ183" s="30"/>
      <c r="IR183" s="30"/>
      <c r="IS183" s="30"/>
      <c r="IT183" s="30"/>
      <c r="IU183" s="30"/>
      <c r="IV183" s="30"/>
      <c r="IW183" s="30"/>
      <c r="IX183" s="30"/>
      <c r="IY183" s="30"/>
      <c r="IZ183" s="30"/>
      <c r="JA183" s="30"/>
      <c r="JB183" s="30"/>
      <c r="JC183" s="30"/>
      <c r="JD183" s="30"/>
      <c r="JE183" s="30"/>
      <c r="JF183" s="30"/>
      <c r="JG183" s="30"/>
      <c r="JH183" s="30"/>
      <c r="JI183" s="30"/>
      <c r="JJ183" s="30"/>
      <c r="JK183" s="30"/>
      <c r="JL183" s="30"/>
      <c r="JM183" s="30"/>
      <c r="JN183" s="30"/>
      <c r="JO183" s="30"/>
      <c r="JP183" s="30"/>
      <c r="JQ183" s="30"/>
      <c r="JR183" s="30"/>
      <c r="JS183" s="30"/>
      <c r="JT183" s="30"/>
      <c r="JU183" s="30"/>
      <c r="JV183" s="30"/>
      <c r="JW183" s="30"/>
      <c r="JX183" s="30"/>
      <c r="JY183" s="30"/>
      <c r="JZ183" s="30"/>
      <c r="KA183" s="30"/>
      <c r="KB183" s="30"/>
      <c r="KC183" s="30"/>
      <c r="KD183" s="30"/>
      <c r="KE183" s="30"/>
      <c r="KF183" s="30"/>
      <c r="KG183" s="30"/>
      <c r="KH183" s="30"/>
      <c r="KI183" s="30"/>
      <c r="KJ183" s="30"/>
      <c r="KK183" s="30"/>
      <c r="KL183" s="30"/>
      <c r="KM183" s="30"/>
      <c r="KN183" s="30"/>
      <c r="KO183" s="30"/>
      <c r="KP183" s="30"/>
      <c r="KQ183" s="30"/>
      <c r="KR183" s="30"/>
      <c r="KS183" s="30"/>
      <c r="KT183" s="30"/>
      <c r="KU183" s="30"/>
      <c r="KV183" s="30"/>
      <c r="KW183" s="30"/>
      <c r="KX183" s="30"/>
      <c r="KY183" s="30"/>
      <c r="KZ183" s="30"/>
      <c r="LA183" s="30"/>
      <c r="LB183" s="30"/>
      <c r="LC183" s="30"/>
      <c r="LD183" s="30"/>
      <c r="LE183" s="30"/>
      <c r="LF183" s="30"/>
      <c r="LG183" s="30"/>
      <c r="LH183" s="30"/>
      <c r="LI183" s="30"/>
      <c r="LJ183" s="30"/>
      <c r="LK183" s="30"/>
      <c r="LL183" s="30"/>
      <c r="LM183" s="30"/>
      <c r="LN183" s="30"/>
      <c r="LO183" s="30"/>
      <c r="LP183" s="30"/>
      <c r="LQ183" s="30"/>
      <c r="LR183" s="30"/>
      <c r="LS183" s="30"/>
      <c r="LT183" s="30"/>
      <c r="LU183" s="30"/>
      <c r="LV183" s="30"/>
      <c r="LW183" s="30"/>
      <c r="LX183" s="30"/>
      <c r="LY183" s="30"/>
      <c r="LZ183" s="30"/>
      <c r="MA183" s="30"/>
      <c r="MB183" s="30"/>
      <c r="MC183" s="30"/>
      <c r="MD183" s="30"/>
      <c r="ME183" s="30"/>
      <c r="MF183" s="30"/>
      <c r="MG183" s="30"/>
      <c r="MH183" s="30"/>
      <c r="MI183" s="30"/>
      <c r="MJ183" s="30"/>
      <c r="MK183" s="30"/>
      <c r="ML183" s="30"/>
      <c r="MM183" s="30"/>
      <c r="MN183" s="30"/>
      <c r="MO183" s="30"/>
      <c r="MP183" s="30"/>
      <c r="MQ183" s="30"/>
      <c r="MR183" s="30"/>
      <c r="MS183" s="30"/>
      <c r="MT183" s="30"/>
      <c r="MU183" s="30"/>
      <c r="MV183" s="30"/>
      <c r="MW183" s="30"/>
      <c r="MX183" s="30"/>
      <c r="MY183" s="30"/>
      <c r="MZ183" s="30"/>
      <c r="NA183" s="30"/>
      <c r="NB183" s="30"/>
      <c r="NC183" s="30"/>
      <c r="ND183" s="30"/>
      <c r="NE183" s="30"/>
      <c r="NF183" s="30"/>
      <c r="NG183" s="30"/>
      <c r="NH183" s="30"/>
      <c r="NI183" s="30"/>
      <c r="NJ183" s="30"/>
      <c r="NK183" s="30"/>
      <c r="NL183" s="30"/>
      <c r="NM183" s="30"/>
      <c r="NN183" s="30"/>
      <c r="NO183" s="30"/>
      <c r="NP183" s="30"/>
      <c r="NQ183" s="30"/>
      <c r="NR183" s="30"/>
    </row>
    <row r="184" spans="1:382" s="3" customFormat="1" ht="20.100000000000001" customHeight="1" x14ac:dyDescent="0.4">
      <c r="A184" s="29">
        <v>1</v>
      </c>
      <c r="B184" s="5">
        <v>1927</v>
      </c>
      <c r="C184" s="5" t="s">
        <v>262</v>
      </c>
      <c r="D184" s="5" t="s">
        <v>263</v>
      </c>
      <c r="E184" s="5" t="s">
        <v>4</v>
      </c>
      <c r="F184" s="5" t="s">
        <v>32</v>
      </c>
      <c r="G184" s="5" t="s">
        <v>32</v>
      </c>
      <c r="H184" s="5" t="s">
        <v>32</v>
      </c>
      <c r="I184" s="8"/>
      <c r="J184" s="8"/>
      <c r="K184" s="8" t="str">
        <f>IF(OR(J184="",E184=""),"",J184+IFERROR(VLOOKUP(E184,リードタイム!$A$2:$C$9,3,FALSE),0))</f>
        <v/>
      </c>
      <c r="L184" s="5" t="s">
        <v>531</v>
      </c>
      <c r="M184" s="8"/>
      <c r="N184" s="8" t="str">
        <f>IF(OR(M184="",E184=""),"",M184+IFERROR(VLOOKUP(E184,リードタイム!$A$2:$D$9,4,FALSE),0))</f>
        <v/>
      </c>
      <c r="O184" s="5" t="s">
        <v>531</v>
      </c>
      <c r="P184" s="5" t="s">
        <v>533</v>
      </c>
      <c r="Q184" s="5" t="s">
        <v>70</v>
      </c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  <c r="FS184" s="30"/>
      <c r="FT184" s="30"/>
      <c r="FU184" s="30"/>
      <c r="FV184" s="30"/>
      <c r="FW184" s="30"/>
      <c r="FX184" s="30"/>
      <c r="FY184" s="30"/>
      <c r="FZ184" s="30"/>
      <c r="GA184" s="30"/>
      <c r="GB184" s="30"/>
      <c r="GC184" s="30"/>
      <c r="GD184" s="30"/>
      <c r="GE184" s="30"/>
      <c r="GF184" s="30"/>
      <c r="GG184" s="30"/>
      <c r="GH184" s="30"/>
      <c r="GI184" s="30"/>
      <c r="GJ184" s="30"/>
      <c r="GK184" s="30"/>
      <c r="GL184" s="30"/>
      <c r="GM184" s="30"/>
      <c r="GN184" s="30"/>
      <c r="GO184" s="30"/>
      <c r="GP184" s="30"/>
      <c r="GQ184" s="30"/>
      <c r="GR184" s="30"/>
      <c r="GS184" s="30"/>
      <c r="GT184" s="30"/>
      <c r="GU184" s="30"/>
      <c r="GV184" s="30"/>
      <c r="GW184" s="30"/>
      <c r="GX184" s="30"/>
      <c r="GY184" s="30"/>
      <c r="GZ184" s="30"/>
      <c r="HA184" s="30"/>
      <c r="HB184" s="30"/>
      <c r="HC184" s="30"/>
      <c r="HD184" s="30"/>
      <c r="HE184" s="30"/>
      <c r="HF184" s="30"/>
      <c r="HG184" s="30"/>
      <c r="HH184" s="30"/>
      <c r="HI184" s="30"/>
      <c r="HJ184" s="30"/>
      <c r="HK184" s="30"/>
      <c r="HL184" s="30"/>
      <c r="HM184" s="30"/>
      <c r="HN184" s="30"/>
      <c r="HO184" s="30"/>
      <c r="HP184" s="30"/>
      <c r="HQ184" s="30"/>
      <c r="HR184" s="30"/>
      <c r="HS184" s="30"/>
      <c r="HT184" s="30"/>
      <c r="HU184" s="30"/>
      <c r="HV184" s="30"/>
      <c r="HW184" s="30"/>
      <c r="HX184" s="30"/>
      <c r="HY184" s="30"/>
      <c r="HZ184" s="30"/>
      <c r="IA184" s="30"/>
      <c r="IB184" s="30"/>
      <c r="IC184" s="30"/>
      <c r="ID184" s="30"/>
      <c r="IE184" s="30"/>
      <c r="IF184" s="30"/>
      <c r="IG184" s="30"/>
      <c r="IH184" s="30"/>
      <c r="II184" s="30"/>
      <c r="IJ184" s="30"/>
      <c r="IK184" s="30"/>
      <c r="IL184" s="30"/>
      <c r="IM184" s="30"/>
      <c r="IN184" s="30"/>
      <c r="IO184" s="30"/>
      <c r="IP184" s="30"/>
      <c r="IQ184" s="30"/>
      <c r="IR184" s="30"/>
      <c r="IS184" s="30"/>
      <c r="IT184" s="30"/>
      <c r="IU184" s="30"/>
      <c r="IV184" s="30"/>
      <c r="IW184" s="30"/>
      <c r="IX184" s="30"/>
      <c r="IY184" s="30"/>
      <c r="IZ184" s="30"/>
      <c r="JA184" s="30"/>
      <c r="JB184" s="30"/>
      <c r="JC184" s="30"/>
      <c r="JD184" s="30"/>
      <c r="JE184" s="30"/>
      <c r="JF184" s="30"/>
      <c r="JG184" s="30"/>
      <c r="JH184" s="30"/>
      <c r="JI184" s="30"/>
      <c r="JJ184" s="30"/>
      <c r="JK184" s="30"/>
      <c r="JL184" s="30"/>
      <c r="JM184" s="30"/>
      <c r="JN184" s="30"/>
      <c r="JO184" s="30"/>
      <c r="JP184" s="30"/>
      <c r="JQ184" s="30"/>
      <c r="JR184" s="30"/>
      <c r="JS184" s="30"/>
      <c r="JT184" s="30"/>
      <c r="JU184" s="30"/>
      <c r="JV184" s="30"/>
      <c r="JW184" s="30"/>
      <c r="JX184" s="30"/>
      <c r="JY184" s="30"/>
      <c r="JZ184" s="30"/>
      <c r="KA184" s="30"/>
      <c r="KB184" s="30"/>
      <c r="KC184" s="30"/>
      <c r="KD184" s="30"/>
      <c r="KE184" s="30"/>
      <c r="KF184" s="30"/>
      <c r="KG184" s="30"/>
      <c r="KH184" s="30"/>
      <c r="KI184" s="30"/>
      <c r="KJ184" s="30"/>
      <c r="KK184" s="30"/>
      <c r="KL184" s="30"/>
      <c r="KM184" s="30"/>
      <c r="KN184" s="30"/>
      <c r="KO184" s="30"/>
      <c r="KP184" s="30"/>
      <c r="KQ184" s="30"/>
      <c r="KR184" s="30"/>
      <c r="KS184" s="30"/>
      <c r="KT184" s="30"/>
      <c r="KU184" s="30"/>
      <c r="KV184" s="30"/>
      <c r="KW184" s="30"/>
      <c r="KX184" s="30"/>
      <c r="KY184" s="30"/>
      <c r="KZ184" s="30"/>
      <c r="LA184" s="30"/>
      <c r="LB184" s="30"/>
      <c r="LC184" s="30"/>
      <c r="LD184" s="30"/>
      <c r="LE184" s="30"/>
      <c r="LF184" s="30"/>
      <c r="LG184" s="30"/>
      <c r="LH184" s="30"/>
      <c r="LI184" s="30"/>
      <c r="LJ184" s="30"/>
      <c r="LK184" s="30"/>
      <c r="LL184" s="30"/>
      <c r="LM184" s="30"/>
      <c r="LN184" s="30"/>
      <c r="LO184" s="30"/>
      <c r="LP184" s="30"/>
      <c r="LQ184" s="30"/>
      <c r="LR184" s="30"/>
      <c r="LS184" s="30"/>
      <c r="LT184" s="30"/>
      <c r="LU184" s="30"/>
      <c r="LV184" s="30"/>
      <c r="LW184" s="30"/>
      <c r="LX184" s="30"/>
      <c r="LY184" s="30"/>
      <c r="LZ184" s="30"/>
      <c r="MA184" s="30"/>
      <c r="MB184" s="30"/>
      <c r="MC184" s="30"/>
      <c r="MD184" s="30"/>
      <c r="ME184" s="30"/>
      <c r="MF184" s="30"/>
      <c r="MG184" s="30"/>
      <c r="MH184" s="30"/>
      <c r="MI184" s="30"/>
      <c r="MJ184" s="30"/>
      <c r="MK184" s="30"/>
      <c r="ML184" s="30"/>
      <c r="MM184" s="30"/>
      <c r="MN184" s="30"/>
      <c r="MO184" s="30"/>
      <c r="MP184" s="30"/>
      <c r="MQ184" s="30"/>
      <c r="MR184" s="30"/>
      <c r="MS184" s="30"/>
      <c r="MT184" s="30"/>
      <c r="MU184" s="30"/>
      <c r="MV184" s="30"/>
      <c r="MW184" s="30"/>
      <c r="MX184" s="30"/>
      <c r="MY184" s="30"/>
      <c r="MZ184" s="30"/>
      <c r="NA184" s="30"/>
      <c r="NB184" s="30"/>
      <c r="NC184" s="30"/>
      <c r="ND184" s="30"/>
      <c r="NE184" s="30"/>
      <c r="NF184" s="30"/>
      <c r="NG184" s="30"/>
      <c r="NH184" s="30"/>
      <c r="NI184" s="30"/>
      <c r="NJ184" s="30"/>
      <c r="NK184" s="30"/>
      <c r="NL184" s="30"/>
      <c r="NM184" s="30"/>
      <c r="NN184" s="30"/>
      <c r="NO184" s="30"/>
      <c r="NP184" s="30"/>
      <c r="NQ184" s="30"/>
      <c r="NR184" s="30"/>
    </row>
    <row r="185" spans="1:382" s="3" customFormat="1" ht="20.100000000000001" customHeight="1" x14ac:dyDescent="0.4">
      <c r="A185" s="29">
        <v>2</v>
      </c>
      <c r="B185" s="5">
        <v>765</v>
      </c>
      <c r="C185" s="5" t="s">
        <v>262</v>
      </c>
      <c r="D185" s="5" t="s">
        <v>193</v>
      </c>
      <c r="E185" s="5" t="s">
        <v>6</v>
      </c>
      <c r="F185" s="5" t="s">
        <v>32</v>
      </c>
      <c r="G185" s="5" t="s">
        <v>32</v>
      </c>
      <c r="H185" s="5" t="s">
        <v>32</v>
      </c>
      <c r="I185" s="8"/>
      <c r="J185" s="8"/>
      <c r="K185" s="8" t="str">
        <f>IF(OR(J185="",E185=""),"",J185+IFERROR(VLOOKUP(E185,リードタイム!$A$2:$C$9,3,FALSE),0))</f>
        <v/>
      </c>
      <c r="L185" s="5" t="s">
        <v>530</v>
      </c>
      <c r="M185" s="8"/>
      <c r="N185" s="8" t="str">
        <f>IF(OR(M185="",E185=""),"",M185+IFERROR(VLOOKUP(E185,リードタイム!$A$2:$D$9,4,FALSE),0))</f>
        <v/>
      </c>
      <c r="O185" s="5" t="s">
        <v>530</v>
      </c>
      <c r="P185" s="5" t="s">
        <v>530</v>
      </c>
      <c r="Q185" s="5" t="s">
        <v>264</v>
      </c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  <c r="FS185" s="30"/>
      <c r="FT185" s="30"/>
      <c r="FU185" s="30"/>
      <c r="FV185" s="30"/>
      <c r="FW185" s="30"/>
      <c r="FX185" s="30"/>
      <c r="FY185" s="30"/>
      <c r="FZ185" s="30"/>
      <c r="GA185" s="30"/>
      <c r="GB185" s="30"/>
      <c r="GC185" s="30"/>
      <c r="GD185" s="30"/>
      <c r="GE185" s="30"/>
      <c r="GF185" s="30"/>
      <c r="GG185" s="30"/>
      <c r="GH185" s="30"/>
      <c r="GI185" s="30"/>
      <c r="GJ185" s="30"/>
      <c r="GK185" s="30"/>
      <c r="GL185" s="30"/>
      <c r="GM185" s="30"/>
      <c r="GN185" s="30"/>
      <c r="GO185" s="30"/>
      <c r="GP185" s="30"/>
      <c r="GQ185" s="30"/>
      <c r="GR185" s="30"/>
      <c r="GS185" s="30"/>
      <c r="GT185" s="30"/>
      <c r="GU185" s="30"/>
      <c r="GV185" s="30"/>
      <c r="GW185" s="30"/>
      <c r="GX185" s="30"/>
      <c r="GY185" s="30"/>
      <c r="GZ185" s="30"/>
      <c r="HA185" s="30"/>
      <c r="HB185" s="30"/>
      <c r="HC185" s="30"/>
      <c r="HD185" s="30"/>
      <c r="HE185" s="30"/>
      <c r="HF185" s="30"/>
      <c r="HG185" s="30"/>
      <c r="HH185" s="30"/>
      <c r="HI185" s="30"/>
      <c r="HJ185" s="30"/>
      <c r="HK185" s="30"/>
      <c r="HL185" s="30"/>
      <c r="HM185" s="30"/>
      <c r="HN185" s="30"/>
      <c r="HO185" s="30"/>
      <c r="HP185" s="30"/>
      <c r="HQ185" s="30"/>
      <c r="HR185" s="30"/>
      <c r="HS185" s="30"/>
      <c r="HT185" s="30"/>
      <c r="HU185" s="30"/>
      <c r="HV185" s="30"/>
      <c r="HW185" s="30"/>
      <c r="HX185" s="30"/>
      <c r="HY185" s="30"/>
      <c r="HZ185" s="30"/>
      <c r="IA185" s="30"/>
      <c r="IB185" s="30"/>
      <c r="IC185" s="30"/>
      <c r="ID185" s="30"/>
      <c r="IE185" s="30"/>
      <c r="IF185" s="30"/>
      <c r="IG185" s="30"/>
      <c r="IH185" s="30"/>
      <c r="II185" s="30"/>
      <c r="IJ185" s="30"/>
      <c r="IK185" s="30"/>
      <c r="IL185" s="30"/>
      <c r="IM185" s="30"/>
      <c r="IN185" s="30"/>
      <c r="IO185" s="30"/>
      <c r="IP185" s="30"/>
      <c r="IQ185" s="30"/>
      <c r="IR185" s="30"/>
      <c r="IS185" s="30"/>
      <c r="IT185" s="30"/>
      <c r="IU185" s="30"/>
      <c r="IV185" s="30"/>
      <c r="IW185" s="30"/>
      <c r="IX185" s="30"/>
      <c r="IY185" s="30"/>
      <c r="IZ185" s="30"/>
      <c r="JA185" s="30"/>
      <c r="JB185" s="30"/>
      <c r="JC185" s="30"/>
      <c r="JD185" s="30"/>
      <c r="JE185" s="30"/>
      <c r="JF185" s="30"/>
      <c r="JG185" s="30"/>
      <c r="JH185" s="30"/>
      <c r="JI185" s="30"/>
      <c r="JJ185" s="30"/>
      <c r="JK185" s="30"/>
      <c r="JL185" s="30"/>
      <c r="JM185" s="30"/>
      <c r="JN185" s="30"/>
      <c r="JO185" s="30"/>
      <c r="JP185" s="30"/>
      <c r="JQ185" s="30"/>
      <c r="JR185" s="30"/>
      <c r="JS185" s="30"/>
      <c r="JT185" s="30"/>
      <c r="JU185" s="30"/>
      <c r="JV185" s="30"/>
      <c r="JW185" s="30"/>
      <c r="JX185" s="30"/>
      <c r="JY185" s="30"/>
      <c r="JZ185" s="30"/>
      <c r="KA185" s="30"/>
      <c r="KB185" s="30"/>
      <c r="KC185" s="30"/>
      <c r="KD185" s="30"/>
      <c r="KE185" s="30"/>
      <c r="KF185" s="30"/>
      <c r="KG185" s="30"/>
      <c r="KH185" s="30"/>
      <c r="KI185" s="30"/>
      <c r="KJ185" s="30"/>
      <c r="KK185" s="30"/>
      <c r="KL185" s="30"/>
      <c r="KM185" s="30"/>
      <c r="KN185" s="30"/>
      <c r="KO185" s="30"/>
      <c r="KP185" s="30"/>
      <c r="KQ185" s="30"/>
      <c r="KR185" s="30"/>
      <c r="KS185" s="30"/>
      <c r="KT185" s="30"/>
      <c r="KU185" s="30"/>
      <c r="KV185" s="30"/>
      <c r="KW185" s="30"/>
      <c r="KX185" s="30"/>
      <c r="KY185" s="30"/>
      <c r="KZ185" s="30"/>
      <c r="LA185" s="30"/>
      <c r="LB185" s="30"/>
      <c r="LC185" s="30"/>
      <c r="LD185" s="30"/>
      <c r="LE185" s="30"/>
      <c r="LF185" s="30"/>
      <c r="LG185" s="30"/>
      <c r="LH185" s="30"/>
      <c r="LI185" s="30"/>
      <c r="LJ185" s="30"/>
      <c r="LK185" s="30"/>
      <c r="LL185" s="30"/>
      <c r="LM185" s="30"/>
      <c r="LN185" s="30"/>
      <c r="LO185" s="30"/>
      <c r="LP185" s="30"/>
      <c r="LQ185" s="30"/>
      <c r="LR185" s="30"/>
      <c r="LS185" s="30"/>
      <c r="LT185" s="30"/>
      <c r="LU185" s="30"/>
      <c r="LV185" s="30"/>
      <c r="LW185" s="30"/>
      <c r="LX185" s="30"/>
      <c r="LY185" s="30"/>
      <c r="LZ185" s="30"/>
      <c r="MA185" s="30"/>
      <c r="MB185" s="30"/>
      <c r="MC185" s="30"/>
      <c r="MD185" s="30"/>
      <c r="ME185" s="30"/>
      <c r="MF185" s="30"/>
      <c r="MG185" s="30"/>
      <c r="MH185" s="30"/>
      <c r="MI185" s="30"/>
      <c r="MJ185" s="30"/>
      <c r="MK185" s="30"/>
      <c r="ML185" s="30"/>
      <c r="MM185" s="30"/>
      <c r="MN185" s="30"/>
      <c r="MO185" s="30"/>
      <c r="MP185" s="30"/>
      <c r="MQ185" s="30"/>
      <c r="MR185" s="30"/>
      <c r="MS185" s="30"/>
      <c r="MT185" s="30"/>
      <c r="MU185" s="30"/>
      <c r="MV185" s="30"/>
      <c r="MW185" s="30"/>
      <c r="MX185" s="30"/>
      <c r="MY185" s="30"/>
      <c r="MZ185" s="30"/>
      <c r="NA185" s="30"/>
      <c r="NB185" s="30"/>
      <c r="NC185" s="30"/>
      <c r="ND185" s="30"/>
      <c r="NE185" s="30"/>
      <c r="NF185" s="30"/>
      <c r="NG185" s="30"/>
      <c r="NH185" s="30"/>
      <c r="NI185" s="30"/>
      <c r="NJ185" s="30"/>
      <c r="NK185" s="30"/>
      <c r="NL185" s="30"/>
      <c r="NM185" s="30"/>
      <c r="NN185" s="30"/>
      <c r="NO185" s="30"/>
      <c r="NP185" s="30"/>
      <c r="NQ185" s="30"/>
      <c r="NR185" s="30"/>
    </row>
    <row r="186" spans="1:382" s="3" customFormat="1" ht="20.100000000000001" customHeight="1" x14ac:dyDescent="0.4">
      <c r="A186" s="29">
        <v>1</v>
      </c>
      <c r="B186" s="5">
        <v>1632</v>
      </c>
      <c r="C186" s="5" t="s">
        <v>265</v>
      </c>
      <c r="D186" s="5" t="s">
        <v>122</v>
      </c>
      <c r="E186" s="5" t="s">
        <v>10</v>
      </c>
      <c r="F186" s="5" t="s">
        <v>32</v>
      </c>
      <c r="G186" s="5" t="s">
        <v>32</v>
      </c>
      <c r="H186" s="5" t="s">
        <v>32</v>
      </c>
      <c r="I186" s="8"/>
      <c r="J186" s="8"/>
      <c r="K186" s="8" t="str">
        <f>IF(OR(J186="",E186=""),"",J186+IFERROR(VLOOKUP(E186,リードタイム!$A$2:$C$9,3,FALSE),0))</f>
        <v/>
      </c>
      <c r="L186" s="5" t="s">
        <v>530</v>
      </c>
      <c r="M186" s="8"/>
      <c r="N186" s="8" t="str">
        <f>IF(OR(M186="",E186=""),"",M186+IFERROR(VLOOKUP(E186,リードタイム!$A$2:$D$9,4,FALSE),0))</f>
        <v/>
      </c>
      <c r="O186" s="5" t="s">
        <v>530</v>
      </c>
      <c r="P186" s="5" t="s">
        <v>530</v>
      </c>
      <c r="Q186" s="5" t="s">
        <v>266</v>
      </c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  <c r="FS186" s="30"/>
      <c r="FT186" s="30"/>
      <c r="FU186" s="30"/>
      <c r="FV186" s="30"/>
      <c r="FW186" s="30"/>
      <c r="FX186" s="30"/>
      <c r="FY186" s="30"/>
      <c r="FZ186" s="30"/>
      <c r="GA186" s="30"/>
      <c r="GB186" s="30"/>
      <c r="GC186" s="30"/>
      <c r="GD186" s="30"/>
      <c r="GE186" s="30"/>
      <c r="GF186" s="30"/>
      <c r="GG186" s="30"/>
      <c r="GH186" s="30"/>
      <c r="GI186" s="30"/>
      <c r="GJ186" s="30"/>
      <c r="GK186" s="30"/>
      <c r="GL186" s="30"/>
      <c r="GM186" s="30"/>
      <c r="GN186" s="30"/>
      <c r="GO186" s="30"/>
      <c r="GP186" s="30"/>
      <c r="GQ186" s="30"/>
      <c r="GR186" s="30"/>
      <c r="GS186" s="30"/>
      <c r="GT186" s="30"/>
      <c r="GU186" s="30"/>
      <c r="GV186" s="30"/>
      <c r="GW186" s="30"/>
      <c r="GX186" s="30"/>
      <c r="GY186" s="30"/>
      <c r="GZ186" s="30"/>
      <c r="HA186" s="30"/>
      <c r="HB186" s="30"/>
      <c r="HC186" s="30"/>
      <c r="HD186" s="30"/>
      <c r="HE186" s="30"/>
      <c r="HF186" s="30"/>
      <c r="HG186" s="30"/>
      <c r="HH186" s="30"/>
      <c r="HI186" s="30"/>
      <c r="HJ186" s="30"/>
      <c r="HK186" s="30"/>
      <c r="HL186" s="30"/>
      <c r="HM186" s="30"/>
      <c r="HN186" s="30"/>
      <c r="HO186" s="30"/>
      <c r="HP186" s="30"/>
      <c r="HQ186" s="30"/>
      <c r="HR186" s="30"/>
      <c r="HS186" s="30"/>
      <c r="HT186" s="30"/>
      <c r="HU186" s="30"/>
      <c r="HV186" s="30"/>
      <c r="HW186" s="30"/>
      <c r="HX186" s="30"/>
      <c r="HY186" s="30"/>
      <c r="HZ186" s="30"/>
      <c r="IA186" s="30"/>
      <c r="IB186" s="30"/>
      <c r="IC186" s="30"/>
      <c r="ID186" s="30"/>
      <c r="IE186" s="30"/>
      <c r="IF186" s="30"/>
      <c r="IG186" s="30"/>
      <c r="IH186" s="30"/>
      <c r="II186" s="30"/>
      <c r="IJ186" s="30"/>
      <c r="IK186" s="30"/>
      <c r="IL186" s="30"/>
      <c r="IM186" s="30"/>
      <c r="IN186" s="30"/>
      <c r="IO186" s="30"/>
      <c r="IP186" s="30"/>
      <c r="IQ186" s="30"/>
      <c r="IR186" s="30"/>
      <c r="IS186" s="30"/>
      <c r="IT186" s="30"/>
      <c r="IU186" s="30"/>
      <c r="IV186" s="30"/>
      <c r="IW186" s="30"/>
      <c r="IX186" s="30"/>
      <c r="IY186" s="30"/>
      <c r="IZ186" s="30"/>
      <c r="JA186" s="30"/>
      <c r="JB186" s="30"/>
      <c r="JC186" s="30"/>
      <c r="JD186" s="30"/>
      <c r="JE186" s="30"/>
      <c r="JF186" s="30"/>
      <c r="JG186" s="30"/>
      <c r="JH186" s="30"/>
      <c r="JI186" s="30"/>
      <c r="JJ186" s="30"/>
      <c r="JK186" s="30"/>
      <c r="JL186" s="30"/>
      <c r="JM186" s="30"/>
      <c r="JN186" s="30"/>
      <c r="JO186" s="30"/>
      <c r="JP186" s="30"/>
      <c r="JQ186" s="30"/>
      <c r="JR186" s="30"/>
      <c r="JS186" s="30"/>
      <c r="JT186" s="30"/>
      <c r="JU186" s="30"/>
      <c r="JV186" s="30"/>
      <c r="JW186" s="30"/>
      <c r="JX186" s="30"/>
      <c r="JY186" s="30"/>
      <c r="JZ186" s="30"/>
      <c r="KA186" s="30"/>
      <c r="KB186" s="30"/>
      <c r="KC186" s="30"/>
      <c r="KD186" s="30"/>
      <c r="KE186" s="30"/>
      <c r="KF186" s="30"/>
      <c r="KG186" s="30"/>
      <c r="KH186" s="30"/>
      <c r="KI186" s="30"/>
      <c r="KJ186" s="30"/>
      <c r="KK186" s="30"/>
      <c r="KL186" s="30"/>
      <c r="KM186" s="30"/>
      <c r="KN186" s="30"/>
      <c r="KO186" s="30"/>
      <c r="KP186" s="30"/>
      <c r="KQ186" s="30"/>
      <c r="KR186" s="30"/>
      <c r="KS186" s="30"/>
      <c r="KT186" s="30"/>
      <c r="KU186" s="30"/>
      <c r="KV186" s="30"/>
      <c r="KW186" s="30"/>
      <c r="KX186" s="30"/>
      <c r="KY186" s="30"/>
      <c r="KZ186" s="30"/>
      <c r="LA186" s="30"/>
      <c r="LB186" s="30"/>
      <c r="LC186" s="30"/>
      <c r="LD186" s="30"/>
      <c r="LE186" s="30"/>
      <c r="LF186" s="30"/>
      <c r="LG186" s="30"/>
      <c r="LH186" s="30"/>
      <c r="LI186" s="30"/>
      <c r="LJ186" s="30"/>
      <c r="LK186" s="30"/>
      <c r="LL186" s="30"/>
      <c r="LM186" s="30"/>
      <c r="LN186" s="30"/>
      <c r="LO186" s="30"/>
      <c r="LP186" s="30"/>
      <c r="LQ186" s="30"/>
      <c r="LR186" s="30"/>
      <c r="LS186" s="30"/>
      <c r="LT186" s="30"/>
      <c r="LU186" s="30"/>
      <c r="LV186" s="30"/>
      <c r="LW186" s="30"/>
      <c r="LX186" s="30"/>
      <c r="LY186" s="30"/>
      <c r="LZ186" s="30"/>
      <c r="MA186" s="30"/>
      <c r="MB186" s="30"/>
      <c r="MC186" s="30"/>
      <c r="MD186" s="30"/>
      <c r="ME186" s="30"/>
      <c r="MF186" s="30"/>
      <c r="MG186" s="30"/>
      <c r="MH186" s="30"/>
      <c r="MI186" s="30"/>
      <c r="MJ186" s="30"/>
      <c r="MK186" s="30"/>
      <c r="ML186" s="30"/>
      <c r="MM186" s="30"/>
      <c r="MN186" s="30"/>
      <c r="MO186" s="30"/>
      <c r="MP186" s="30"/>
      <c r="MQ186" s="30"/>
      <c r="MR186" s="30"/>
      <c r="MS186" s="30"/>
      <c r="MT186" s="30"/>
      <c r="MU186" s="30"/>
      <c r="MV186" s="30"/>
      <c r="MW186" s="30"/>
      <c r="MX186" s="30"/>
      <c r="MY186" s="30"/>
      <c r="MZ186" s="30"/>
      <c r="NA186" s="30"/>
      <c r="NB186" s="30"/>
      <c r="NC186" s="30"/>
      <c r="ND186" s="30"/>
      <c r="NE186" s="30"/>
      <c r="NF186" s="30"/>
      <c r="NG186" s="30"/>
      <c r="NH186" s="30"/>
      <c r="NI186" s="30"/>
      <c r="NJ186" s="30"/>
      <c r="NK186" s="30"/>
      <c r="NL186" s="30"/>
      <c r="NM186" s="30"/>
      <c r="NN186" s="30"/>
      <c r="NO186" s="30"/>
      <c r="NP186" s="30"/>
      <c r="NQ186" s="30"/>
      <c r="NR186" s="30"/>
    </row>
    <row r="187" spans="1:382" s="3" customFormat="1" ht="20.100000000000001" customHeight="1" x14ac:dyDescent="0.4">
      <c r="A187" s="29">
        <v>2</v>
      </c>
      <c r="B187" s="5">
        <v>1999</v>
      </c>
      <c r="C187" s="5" t="s">
        <v>265</v>
      </c>
      <c r="D187" s="5" t="s">
        <v>267</v>
      </c>
      <c r="E187" s="5" t="s">
        <v>4</v>
      </c>
      <c r="F187" s="5" t="s">
        <v>32</v>
      </c>
      <c r="G187" s="5" t="s">
        <v>32</v>
      </c>
      <c r="H187" s="5" t="s">
        <v>32</v>
      </c>
      <c r="I187" s="8"/>
      <c r="J187" s="8"/>
      <c r="K187" s="8" t="str">
        <f>IF(OR(J187="",E187=""),"",J187+IFERROR(VLOOKUP(E187,リードタイム!$A$2:$C$9,3,FALSE),0))</f>
        <v/>
      </c>
      <c r="L187" s="5" t="s">
        <v>531</v>
      </c>
      <c r="M187" s="8"/>
      <c r="N187" s="8" t="str">
        <f>IF(OR(M187="",E187=""),"",M187+IFERROR(VLOOKUP(E187,リードタイム!$A$2:$D$9,4,FALSE),0))</f>
        <v/>
      </c>
      <c r="O187" s="5" t="s">
        <v>531</v>
      </c>
      <c r="P187" s="5" t="s">
        <v>532</v>
      </c>
      <c r="Q187" s="5" t="s">
        <v>268</v>
      </c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  <c r="FS187" s="30"/>
      <c r="FT187" s="30"/>
      <c r="FU187" s="30"/>
      <c r="FV187" s="30"/>
      <c r="FW187" s="30"/>
      <c r="FX187" s="30"/>
      <c r="FY187" s="30"/>
      <c r="FZ187" s="30"/>
      <c r="GA187" s="30"/>
      <c r="GB187" s="30"/>
      <c r="GC187" s="30"/>
      <c r="GD187" s="30"/>
      <c r="GE187" s="30"/>
      <c r="GF187" s="30"/>
      <c r="GG187" s="30"/>
      <c r="GH187" s="30"/>
      <c r="GI187" s="30"/>
      <c r="GJ187" s="30"/>
      <c r="GK187" s="30"/>
      <c r="GL187" s="30"/>
      <c r="GM187" s="30"/>
      <c r="GN187" s="30"/>
      <c r="GO187" s="30"/>
      <c r="GP187" s="30"/>
      <c r="GQ187" s="30"/>
      <c r="GR187" s="30"/>
      <c r="GS187" s="30"/>
      <c r="GT187" s="30"/>
      <c r="GU187" s="30"/>
      <c r="GV187" s="30"/>
      <c r="GW187" s="30"/>
      <c r="GX187" s="30"/>
      <c r="GY187" s="30"/>
      <c r="GZ187" s="30"/>
      <c r="HA187" s="30"/>
      <c r="HB187" s="30"/>
      <c r="HC187" s="30"/>
      <c r="HD187" s="30"/>
      <c r="HE187" s="30"/>
      <c r="HF187" s="30"/>
      <c r="HG187" s="30"/>
      <c r="HH187" s="30"/>
      <c r="HI187" s="30"/>
      <c r="HJ187" s="30"/>
      <c r="HK187" s="30"/>
      <c r="HL187" s="30"/>
      <c r="HM187" s="30"/>
      <c r="HN187" s="30"/>
      <c r="HO187" s="30"/>
      <c r="HP187" s="30"/>
      <c r="HQ187" s="30"/>
      <c r="HR187" s="30"/>
      <c r="HS187" s="30"/>
      <c r="HT187" s="30"/>
      <c r="HU187" s="30"/>
      <c r="HV187" s="30"/>
      <c r="HW187" s="30"/>
      <c r="HX187" s="30"/>
      <c r="HY187" s="30"/>
      <c r="HZ187" s="30"/>
      <c r="IA187" s="30"/>
      <c r="IB187" s="30"/>
      <c r="IC187" s="30"/>
      <c r="ID187" s="30"/>
      <c r="IE187" s="30"/>
      <c r="IF187" s="30"/>
      <c r="IG187" s="30"/>
      <c r="IH187" s="30"/>
      <c r="II187" s="30"/>
      <c r="IJ187" s="30"/>
      <c r="IK187" s="30"/>
      <c r="IL187" s="30"/>
      <c r="IM187" s="30"/>
      <c r="IN187" s="30"/>
      <c r="IO187" s="30"/>
      <c r="IP187" s="30"/>
      <c r="IQ187" s="30"/>
      <c r="IR187" s="30"/>
      <c r="IS187" s="30"/>
      <c r="IT187" s="30"/>
      <c r="IU187" s="30"/>
      <c r="IV187" s="30"/>
      <c r="IW187" s="30"/>
      <c r="IX187" s="30"/>
      <c r="IY187" s="30"/>
      <c r="IZ187" s="30"/>
      <c r="JA187" s="30"/>
      <c r="JB187" s="30"/>
      <c r="JC187" s="30"/>
      <c r="JD187" s="30"/>
      <c r="JE187" s="30"/>
      <c r="JF187" s="30"/>
      <c r="JG187" s="30"/>
      <c r="JH187" s="30"/>
      <c r="JI187" s="30"/>
      <c r="JJ187" s="30"/>
      <c r="JK187" s="30"/>
      <c r="JL187" s="30"/>
      <c r="JM187" s="30"/>
      <c r="JN187" s="30"/>
      <c r="JO187" s="30"/>
      <c r="JP187" s="30"/>
      <c r="JQ187" s="30"/>
      <c r="JR187" s="30"/>
      <c r="JS187" s="30"/>
      <c r="JT187" s="30"/>
      <c r="JU187" s="30"/>
      <c r="JV187" s="30"/>
      <c r="JW187" s="30"/>
      <c r="JX187" s="30"/>
      <c r="JY187" s="30"/>
      <c r="JZ187" s="30"/>
      <c r="KA187" s="30"/>
      <c r="KB187" s="30"/>
      <c r="KC187" s="30"/>
      <c r="KD187" s="30"/>
      <c r="KE187" s="30"/>
      <c r="KF187" s="30"/>
      <c r="KG187" s="30"/>
      <c r="KH187" s="30"/>
      <c r="KI187" s="30"/>
      <c r="KJ187" s="30"/>
      <c r="KK187" s="30"/>
      <c r="KL187" s="30"/>
      <c r="KM187" s="30"/>
      <c r="KN187" s="30"/>
      <c r="KO187" s="30"/>
      <c r="KP187" s="30"/>
      <c r="KQ187" s="30"/>
      <c r="KR187" s="30"/>
      <c r="KS187" s="30"/>
      <c r="KT187" s="30"/>
      <c r="KU187" s="30"/>
      <c r="KV187" s="30"/>
      <c r="KW187" s="30"/>
      <c r="KX187" s="30"/>
      <c r="KY187" s="30"/>
      <c r="KZ187" s="30"/>
      <c r="LA187" s="30"/>
      <c r="LB187" s="30"/>
      <c r="LC187" s="30"/>
      <c r="LD187" s="30"/>
      <c r="LE187" s="30"/>
      <c r="LF187" s="30"/>
      <c r="LG187" s="30"/>
      <c r="LH187" s="30"/>
      <c r="LI187" s="30"/>
      <c r="LJ187" s="30"/>
      <c r="LK187" s="30"/>
      <c r="LL187" s="30"/>
      <c r="LM187" s="30"/>
      <c r="LN187" s="30"/>
      <c r="LO187" s="30"/>
      <c r="LP187" s="30"/>
      <c r="LQ187" s="30"/>
      <c r="LR187" s="30"/>
      <c r="LS187" s="30"/>
      <c r="LT187" s="30"/>
      <c r="LU187" s="30"/>
      <c r="LV187" s="30"/>
      <c r="LW187" s="30"/>
      <c r="LX187" s="30"/>
      <c r="LY187" s="30"/>
      <c r="LZ187" s="30"/>
      <c r="MA187" s="30"/>
      <c r="MB187" s="30"/>
      <c r="MC187" s="30"/>
      <c r="MD187" s="30"/>
      <c r="ME187" s="30"/>
      <c r="MF187" s="30"/>
      <c r="MG187" s="30"/>
      <c r="MH187" s="30"/>
      <c r="MI187" s="30"/>
      <c r="MJ187" s="30"/>
      <c r="MK187" s="30"/>
      <c r="ML187" s="30"/>
      <c r="MM187" s="30"/>
      <c r="MN187" s="30"/>
      <c r="MO187" s="30"/>
      <c r="MP187" s="30"/>
      <c r="MQ187" s="30"/>
      <c r="MR187" s="30"/>
      <c r="MS187" s="30"/>
      <c r="MT187" s="30"/>
      <c r="MU187" s="30"/>
      <c r="MV187" s="30"/>
      <c r="MW187" s="30"/>
      <c r="MX187" s="30"/>
      <c r="MY187" s="30"/>
      <c r="MZ187" s="30"/>
      <c r="NA187" s="30"/>
      <c r="NB187" s="30"/>
      <c r="NC187" s="30"/>
      <c r="ND187" s="30"/>
      <c r="NE187" s="30"/>
      <c r="NF187" s="30"/>
      <c r="NG187" s="30"/>
      <c r="NH187" s="30"/>
      <c r="NI187" s="30"/>
      <c r="NJ187" s="30"/>
      <c r="NK187" s="30"/>
      <c r="NL187" s="30"/>
      <c r="NM187" s="30"/>
      <c r="NN187" s="30"/>
      <c r="NO187" s="30"/>
      <c r="NP187" s="30"/>
      <c r="NQ187" s="30"/>
      <c r="NR187" s="30"/>
    </row>
    <row r="188" spans="1:382" s="3" customFormat="1" ht="20.100000000000001" customHeight="1" x14ac:dyDescent="0.4">
      <c r="A188" s="29">
        <v>1</v>
      </c>
      <c r="B188" s="5">
        <v>1927</v>
      </c>
      <c r="C188" s="5" t="s">
        <v>269</v>
      </c>
      <c r="D188" s="5" t="s">
        <v>270</v>
      </c>
      <c r="E188" s="5" t="s">
        <v>4</v>
      </c>
      <c r="F188" s="5" t="s">
        <v>32</v>
      </c>
      <c r="G188" s="5" t="s">
        <v>32</v>
      </c>
      <c r="H188" s="5" t="s">
        <v>32</v>
      </c>
      <c r="I188" s="8"/>
      <c r="J188" s="8"/>
      <c r="K188" s="8" t="str">
        <f>IF(OR(J188="",E188=""),"",J188+IFERROR(VLOOKUP(E188,リードタイム!$A$2:$C$9,3,FALSE),0))</f>
        <v/>
      </c>
      <c r="L188" s="5" t="s">
        <v>531</v>
      </c>
      <c r="M188" s="8"/>
      <c r="N188" s="8" t="str">
        <f>IF(OR(M188="",E188=""),"",M188+IFERROR(VLOOKUP(E188,リードタイム!$A$2:$D$9,4,FALSE),0))</f>
        <v/>
      </c>
      <c r="O188" s="5" t="s">
        <v>531</v>
      </c>
      <c r="P188" s="5" t="s">
        <v>533</v>
      </c>
      <c r="Q188" s="5" t="s">
        <v>70</v>
      </c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  <c r="FS188" s="30"/>
      <c r="FT188" s="30"/>
      <c r="FU188" s="30"/>
      <c r="FV188" s="30"/>
      <c r="FW188" s="30"/>
      <c r="FX188" s="30"/>
      <c r="FY188" s="30"/>
      <c r="FZ188" s="30"/>
      <c r="GA188" s="30"/>
      <c r="GB188" s="30"/>
      <c r="GC188" s="30"/>
      <c r="GD188" s="30"/>
      <c r="GE188" s="30"/>
      <c r="GF188" s="30"/>
      <c r="GG188" s="30"/>
      <c r="GH188" s="30"/>
      <c r="GI188" s="30"/>
      <c r="GJ188" s="30"/>
      <c r="GK188" s="30"/>
      <c r="GL188" s="30"/>
      <c r="GM188" s="30"/>
      <c r="GN188" s="30"/>
      <c r="GO188" s="30"/>
      <c r="GP188" s="30"/>
      <c r="GQ188" s="30"/>
      <c r="GR188" s="30"/>
      <c r="GS188" s="30"/>
      <c r="GT188" s="30"/>
      <c r="GU188" s="30"/>
      <c r="GV188" s="30"/>
      <c r="GW188" s="30"/>
      <c r="GX188" s="30"/>
      <c r="GY188" s="30"/>
      <c r="GZ188" s="30"/>
      <c r="HA188" s="30"/>
      <c r="HB188" s="30"/>
      <c r="HC188" s="30"/>
      <c r="HD188" s="30"/>
      <c r="HE188" s="30"/>
      <c r="HF188" s="30"/>
      <c r="HG188" s="30"/>
      <c r="HH188" s="30"/>
      <c r="HI188" s="30"/>
      <c r="HJ188" s="30"/>
      <c r="HK188" s="30"/>
      <c r="HL188" s="30"/>
      <c r="HM188" s="30"/>
      <c r="HN188" s="30"/>
      <c r="HO188" s="30"/>
      <c r="HP188" s="30"/>
      <c r="HQ188" s="30"/>
      <c r="HR188" s="30"/>
      <c r="HS188" s="30"/>
      <c r="HT188" s="30"/>
      <c r="HU188" s="30"/>
      <c r="HV188" s="30"/>
      <c r="HW188" s="30"/>
      <c r="HX188" s="30"/>
      <c r="HY188" s="30"/>
      <c r="HZ188" s="30"/>
      <c r="IA188" s="30"/>
      <c r="IB188" s="30"/>
      <c r="IC188" s="30"/>
      <c r="ID188" s="30"/>
      <c r="IE188" s="30"/>
      <c r="IF188" s="30"/>
      <c r="IG188" s="30"/>
      <c r="IH188" s="30"/>
      <c r="II188" s="30"/>
      <c r="IJ188" s="30"/>
      <c r="IK188" s="30"/>
      <c r="IL188" s="30"/>
      <c r="IM188" s="30"/>
      <c r="IN188" s="30"/>
      <c r="IO188" s="30"/>
      <c r="IP188" s="30"/>
      <c r="IQ188" s="30"/>
      <c r="IR188" s="30"/>
      <c r="IS188" s="30"/>
      <c r="IT188" s="30"/>
      <c r="IU188" s="30"/>
      <c r="IV188" s="30"/>
      <c r="IW188" s="30"/>
      <c r="IX188" s="30"/>
      <c r="IY188" s="30"/>
      <c r="IZ188" s="30"/>
      <c r="JA188" s="30"/>
      <c r="JB188" s="30"/>
      <c r="JC188" s="30"/>
      <c r="JD188" s="30"/>
      <c r="JE188" s="30"/>
      <c r="JF188" s="30"/>
      <c r="JG188" s="30"/>
      <c r="JH188" s="30"/>
      <c r="JI188" s="30"/>
      <c r="JJ188" s="30"/>
      <c r="JK188" s="30"/>
      <c r="JL188" s="30"/>
      <c r="JM188" s="30"/>
      <c r="JN188" s="30"/>
      <c r="JO188" s="30"/>
      <c r="JP188" s="30"/>
      <c r="JQ188" s="30"/>
      <c r="JR188" s="30"/>
      <c r="JS188" s="30"/>
      <c r="JT188" s="30"/>
      <c r="JU188" s="30"/>
      <c r="JV188" s="30"/>
      <c r="JW188" s="30"/>
      <c r="JX188" s="30"/>
      <c r="JY188" s="30"/>
      <c r="JZ188" s="30"/>
      <c r="KA188" s="30"/>
      <c r="KB188" s="30"/>
      <c r="KC188" s="30"/>
      <c r="KD188" s="30"/>
      <c r="KE188" s="30"/>
      <c r="KF188" s="30"/>
      <c r="KG188" s="30"/>
      <c r="KH188" s="30"/>
      <c r="KI188" s="30"/>
      <c r="KJ188" s="30"/>
      <c r="KK188" s="30"/>
      <c r="KL188" s="30"/>
      <c r="KM188" s="30"/>
      <c r="KN188" s="30"/>
      <c r="KO188" s="30"/>
      <c r="KP188" s="30"/>
      <c r="KQ188" s="30"/>
      <c r="KR188" s="30"/>
      <c r="KS188" s="30"/>
      <c r="KT188" s="30"/>
      <c r="KU188" s="30"/>
      <c r="KV188" s="30"/>
      <c r="KW188" s="30"/>
      <c r="KX188" s="30"/>
      <c r="KY188" s="30"/>
      <c r="KZ188" s="30"/>
      <c r="LA188" s="30"/>
      <c r="LB188" s="30"/>
      <c r="LC188" s="30"/>
      <c r="LD188" s="30"/>
      <c r="LE188" s="30"/>
      <c r="LF188" s="30"/>
      <c r="LG188" s="30"/>
      <c r="LH188" s="30"/>
      <c r="LI188" s="30"/>
      <c r="LJ188" s="30"/>
      <c r="LK188" s="30"/>
      <c r="LL188" s="30"/>
      <c r="LM188" s="30"/>
      <c r="LN188" s="30"/>
      <c r="LO188" s="30"/>
      <c r="LP188" s="30"/>
      <c r="LQ188" s="30"/>
      <c r="LR188" s="30"/>
      <c r="LS188" s="30"/>
      <c r="LT188" s="30"/>
      <c r="LU188" s="30"/>
      <c r="LV188" s="30"/>
      <c r="LW188" s="30"/>
      <c r="LX188" s="30"/>
      <c r="LY188" s="30"/>
      <c r="LZ188" s="30"/>
      <c r="MA188" s="30"/>
      <c r="MB188" s="30"/>
      <c r="MC188" s="30"/>
      <c r="MD188" s="30"/>
      <c r="ME188" s="30"/>
      <c r="MF188" s="30"/>
      <c r="MG188" s="30"/>
      <c r="MH188" s="30"/>
      <c r="MI188" s="30"/>
      <c r="MJ188" s="30"/>
      <c r="MK188" s="30"/>
      <c r="ML188" s="30"/>
      <c r="MM188" s="30"/>
      <c r="MN188" s="30"/>
      <c r="MO188" s="30"/>
      <c r="MP188" s="30"/>
      <c r="MQ188" s="30"/>
      <c r="MR188" s="30"/>
      <c r="MS188" s="30"/>
      <c r="MT188" s="30"/>
      <c r="MU188" s="30"/>
      <c r="MV188" s="30"/>
      <c r="MW188" s="30"/>
      <c r="MX188" s="30"/>
      <c r="MY188" s="30"/>
      <c r="MZ188" s="30"/>
      <c r="NA188" s="30"/>
      <c r="NB188" s="30"/>
      <c r="NC188" s="30"/>
      <c r="ND188" s="30"/>
      <c r="NE188" s="30"/>
      <c r="NF188" s="30"/>
      <c r="NG188" s="30"/>
      <c r="NH188" s="30"/>
      <c r="NI188" s="30"/>
      <c r="NJ188" s="30"/>
      <c r="NK188" s="30"/>
      <c r="NL188" s="30"/>
      <c r="NM188" s="30"/>
      <c r="NN188" s="30"/>
      <c r="NO188" s="30"/>
      <c r="NP188" s="30"/>
      <c r="NQ188" s="30"/>
      <c r="NR188" s="30"/>
    </row>
    <row r="189" spans="1:382" s="3" customFormat="1" ht="20.100000000000001" customHeight="1" x14ac:dyDescent="0.4">
      <c r="A189" s="29">
        <v>2</v>
      </c>
      <c r="B189" s="5">
        <v>1927</v>
      </c>
      <c r="C189" s="5" t="s">
        <v>269</v>
      </c>
      <c r="D189" s="5" t="s">
        <v>271</v>
      </c>
      <c r="E189" s="5" t="s">
        <v>4</v>
      </c>
      <c r="F189" s="5" t="s">
        <v>32</v>
      </c>
      <c r="G189" s="5" t="s">
        <v>32</v>
      </c>
      <c r="H189" s="5" t="s">
        <v>32</v>
      </c>
      <c r="I189" s="8"/>
      <c r="J189" s="8"/>
      <c r="K189" s="8" t="str">
        <f>IF(OR(J189="",E189=""),"",J189+IFERROR(VLOOKUP(E189,リードタイム!$A$2:$C$9,3,FALSE),0))</f>
        <v/>
      </c>
      <c r="L189" s="5" t="s">
        <v>531</v>
      </c>
      <c r="M189" s="8"/>
      <c r="N189" s="8" t="str">
        <f>IF(OR(M189="",E189=""),"",M189+IFERROR(VLOOKUP(E189,リードタイム!$A$2:$D$9,4,FALSE),0))</f>
        <v/>
      </c>
      <c r="O189" s="5" t="s">
        <v>531</v>
      </c>
      <c r="P189" s="5" t="s">
        <v>533</v>
      </c>
      <c r="Q189" s="5" t="s">
        <v>70</v>
      </c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  <c r="FS189" s="30"/>
      <c r="FT189" s="30"/>
      <c r="FU189" s="30"/>
      <c r="FV189" s="30"/>
      <c r="FW189" s="30"/>
      <c r="FX189" s="30"/>
      <c r="FY189" s="30"/>
      <c r="FZ189" s="30"/>
      <c r="GA189" s="30"/>
      <c r="GB189" s="30"/>
      <c r="GC189" s="30"/>
      <c r="GD189" s="30"/>
      <c r="GE189" s="30"/>
      <c r="GF189" s="30"/>
      <c r="GG189" s="30"/>
      <c r="GH189" s="30"/>
      <c r="GI189" s="30"/>
      <c r="GJ189" s="30"/>
      <c r="GK189" s="30"/>
      <c r="GL189" s="30"/>
      <c r="GM189" s="30"/>
      <c r="GN189" s="30"/>
      <c r="GO189" s="30"/>
      <c r="GP189" s="30"/>
      <c r="GQ189" s="30"/>
      <c r="GR189" s="30"/>
      <c r="GS189" s="30"/>
      <c r="GT189" s="30"/>
      <c r="GU189" s="30"/>
      <c r="GV189" s="30"/>
      <c r="GW189" s="30"/>
      <c r="GX189" s="30"/>
      <c r="GY189" s="30"/>
      <c r="GZ189" s="30"/>
      <c r="HA189" s="30"/>
      <c r="HB189" s="30"/>
      <c r="HC189" s="30"/>
      <c r="HD189" s="30"/>
      <c r="HE189" s="30"/>
      <c r="HF189" s="30"/>
      <c r="HG189" s="30"/>
      <c r="HH189" s="30"/>
      <c r="HI189" s="30"/>
      <c r="HJ189" s="30"/>
      <c r="HK189" s="30"/>
      <c r="HL189" s="30"/>
      <c r="HM189" s="30"/>
      <c r="HN189" s="30"/>
      <c r="HO189" s="30"/>
      <c r="HP189" s="30"/>
      <c r="HQ189" s="30"/>
      <c r="HR189" s="30"/>
      <c r="HS189" s="30"/>
      <c r="HT189" s="30"/>
      <c r="HU189" s="30"/>
      <c r="HV189" s="30"/>
      <c r="HW189" s="30"/>
      <c r="HX189" s="30"/>
      <c r="HY189" s="30"/>
      <c r="HZ189" s="30"/>
      <c r="IA189" s="30"/>
      <c r="IB189" s="30"/>
      <c r="IC189" s="30"/>
      <c r="ID189" s="30"/>
      <c r="IE189" s="30"/>
      <c r="IF189" s="30"/>
      <c r="IG189" s="30"/>
      <c r="IH189" s="30"/>
      <c r="II189" s="30"/>
      <c r="IJ189" s="30"/>
      <c r="IK189" s="30"/>
      <c r="IL189" s="30"/>
      <c r="IM189" s="30"/>
      <c r="IN189" s="30"/>
      <c r="IO189" s="30"/>
      <c r="IP189" s="30"/>
      <c r="IQ189" s="30"/>
      <c r="IR189" s="30"/>
      <c r="IS189" s="30"/>
      <c r="IT189" s="30"/>
      <c r="IU189" s="30"/>
      <c r="IV189" s="30"/>
      <c r="IW189" s="30"/>
      <c r="IX189" s="30"/>
      <c r="IY189" s="30"/>
      <c r="IZ189" s="30"/>
      <c r="JA189" s="30"/>
      <c r="JB189" s="30"/>
      <c r="JC189" s="30"/>
      <c r="JD189" s="30"/>
      <c r="JE189" s="30"/>
      <c r="JF189" s="30"/>
      <c r="JG189" s="30"/>
      <c r="JH189" s="30"/>
      <c r="JI189" s="30"/>
      <c r="JJ189" s="30"/>
      <c r="JK189" s="30"/>
      <c r="JL189" s="30"/>
      <c r="JM189" s="30"/>
      <c r="JN189" s="30"/>
      <c r="JO189" s="30"/>
      <c r="JP189" s="30"/>
      <c r="JQ189" s="30"/>
      <c r="JR189" s="30"/>
      <c r="JS189" s="30"/>
      <c r="JT189" s="30"/>
      <c r="JU189" s="30"/>
      <c r="JV189" s="30"/>
      <c r="JW189" s="30"/>
      <c r="JX189" s="30"/>
      <c r="JY189" s="30"/>
      <c r="JZ189" s="30"/>
      <c r="KA189" s="30"/>
      <c r="KB189" s="30"/>
      <c r="KC189" s="30"/>
      <c r="KD189" s="30"/>
      <c r="KE189" s="30"/>
      <c r="KF189" s="30"/>
      <c r="KG189" s="30"/>
      <c r="KH189" s="30"/>
      <c r="KI189" s="30"/>
      <c r="KJ189" s="30"/>
      <c r="KK189" s="30"/>
      <c r="KL189" s="30"/>
      <c r="KM189" s="30"/>
      <c r="KN189" s="30"/>
      <c r="KO189" s="30"/>
      <c r="KP189" s="30"/>
      <c r="KQ189" s="30"/>
      <c r="KR189" s="30"/>
      <c r="KS189" s="30"/>
      <c r="KT189" s="30"/>
      <c r="KU189" s="30"/>
      <c r="KV189" s="30"/>
      <c r="KW189" s="30"/>
      <c r="KX189" s="30"/>
      <c r="KY189" s="30"/>
      <c r="KZ189" s="30"/>
      <c r="LA189" s="30"/>
      <c r="LB189" s="30"/>
      <c r="LC189" s="30"/>
      <c r="LD189" s="30"/>
      <c r="LE189" s="30"/>
      <c r="LF189" s="30"/>
      <c r="LG189" s="30"/>
      <c r="LH189" s="30"/>
      <c r="LI189" s="30"/>
      <c r="LJ189" s="30"/>
      <c r="LK189" s="30"/>
      <c r="LL189" s="30"/>
      <c r="LM189" s="30"/>
      <c r="LN189" s="30"/>
      <c r="LO189" s="30"/>
      <c r="LP189" s="30"/>
      <c r="LQ189" s="30"/>
      <c r="LR189" s="30"/>
      <c r="LS189" s="30"/>
      <c r="LT189" s="30"/>
      <c r="LU189" s="30"/>
      <c r="LV189" s="30"/>
      <c r="LW189" s="30"/>
      <c r="LX189" s="30"/>
      <c r="LY189" s="30"/>
      <c r="LZ189" s="30"/>
      <c r="MA189" s="30"/>
      <c r="MB189" s="30"/>
      <c r="MC189" s="30"/>
      <c r="MD189" s="30"/>
      <c r="ME189" s="30"/>
      <c r="MF189" s="30"/>
      <c r="MG189" s="30"/>
      <c r="MH189" s="30"/>
      <c r="MI189" s="30"/>
      <c r="MJ189" s="30"/>
      <c r="MK189" s="30"/>
      <c r="ML189" s="30"/>
      <c r="MM189" s="30"/>
      <c r="MN189" s="30"/>
      <c r="MO189" s="30"/>
      <c r="MP189" s="30"/>
      <c r="MQ189" s="30"/>
      <c r="MR189" s="30"/>
      <c r="MS189" s="30"/>
      <c r="MT189" s="30"/>
      <c r="MU189" s="30"/>
      <c r="MV189" s="30"/>
      <c r="MW189" s="30"/>
      <c r="MX189" s="30"/>
      <c r="MY189" s="30"/>
      <c r="MZ189" s="30"/>
      <c r="NA189" s="30"/>
      <c r="NB189" s="30"/>
      <c r="NC189" s="30"/>
      <c r="ND189" s="30"/>
      <c r="NE189" s="30"/>
      <c r="NF189" s="30"/>
      <c r="NG189" s="30"/>
      <c r="NH189" s="30"/>
      <c r="NI189" s="30"/>
      <c r="NJ189" s="30"/>
      <c r="NK189" s="30"/>
      <c r="NL189" s="30"/>
      <c r="NM189" s="30"/>
      <c r="NN189" s="30"/>
      <c r="NO189" s="30"/>
      <c r="NP189" s="30"/>
      <c r="NQ189" s="30"/>
      <c r="NR189" s="30"/>
    </row>
    <row r="190" spans="1:382" s="3" customFormat="1" ht="20.100000000000001" customHeight="1" x14ac:dyDescent="0.4">
      <c r="A190" s="29">
        <v>1</v>
      </c>
      <c r="B190" s="5">
        <v>914</v>
      </c>
      <c r="C190" s="5" t="s">
        <v>272</v>
      </c>
      <c r="D190" s="5" t="s">
        <v>273</v>
      </c>
      <c r="E190" s="5" t="s">
        <v>18</v>
      </c>
      <c r="F190" s="5" t="s">
        <v>32</v>
      </c>
      <c r="G190" s="5" t="s">
        <v>32</v>
      </c>
      <c r="H190" s="5" t="s">
        <v>32</v>
      </c>
      <c r="I190" s="8"/>
      <c r="J190" s="8"/>
      <c r="K190" s="8" t="str">
        <f>IF(OR(J190="",E190=""),"",J190+IFERROR(VLOOKUP(E190,リードタイム!$A$2:$C$9,3,FALSE),0))</f>
        <v/>
      </c>
      <c r="L190" s="5" t="s">
        <v>530</v>
      </c>
      <c r="M190" s="8"/>
      <c r="N190" s="8" t="str">
        <f>IF(OR(M190="",E190=""),"",M190+IFERROR(VLOOKUP(E190,リードタイム!$A$2:$D$9,4,FALSE),0))</f>
        <v/>
      </c>
      <c r="O190" s="5" t="s">
        <v>530</v>
      </c>
      <c r="P190" s="5" t="s">
        <v>530</v>
      </c>
      <c r="Q190" s="5" t="s">
        <v>274</v>
      </c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  <c r="FS190" s="30"/>
      <c r="FT190" s="30"/>
      <c r="FU190" s="30"/>
      <c r="FV190" s="30"/>
      <c r="FW190" s="30"/>
      <c r="FX190" s="30"/>
      <c r="FY190" s="30"/>
      <c r="FZ190" s="30"/>
      <c r="GA190" s="30"/>
      <c r="GB190" s="30"/>
      <c r="GC190" s="30"/>
      <c r="GD190" s="30"/>
      <c r="GE190" s="30"/>
      <c r="GF190" s="30"/>
      <c r="GG190" s="30"/>
      <c r="GH190" s="30"/>
      <c r="GI190" s="30"/>
      <c r="GJ190" s="30"/>
      <c r="GK190" s="30"/>
      <c r="GL190" s="30"/>
      <c r="GM190" s="30"/>
      <c r="GN190" s="30"/>
      <c r="GO190" s="30"/>
      <c r="GP190" s="30"/>
      <c r="GQ190" s="30"/>
      <c r="GR190" s="30"/>
      <c r="GS190" s="30"/>
      <c r="GT190" s="30"/>
      <c r="GU190" s="30"/>
      <c r="GV190" s="30"/>
      <c r="GW190" s="30"/>
      <c r="GX190" s="30"/>
      <c r="GY190" s="30"/>
      <c r="GZ190" s="30"/>
      <c r="HA190" s="30"/>
      <c r="HB190" s="30"/>
      <c r="HC190" s="30"/>
      <c r="HD190" s="30"/>
      <c r="HE190" s="30"/>
      <c r="HF190" s="30"/>
      <c r="HG190" s="30"/>
      <c r="HH190" s="30"/>
      <c r="HI190" s="30"/>
      <c r="HJ190" s="30"/>
      <c r="HK190" s="30"/>
      <c r="HL190" s="30"/>
      <c r="HM190" s="30"/>
      <c r="HN190" s="30"/>
      <c r="HO190" s="30"/>
      <c r="HP190" s="30"/>
      <c r="HQ190" s="30"/>
      <c r="HR190" s="30"/>
      <c r="HS190" s="30"/>
      <c r="HT190" s="30"/>
      <c r="HU190" s="30"/>
      <c r="HV190" s="30"/>
      <c r="HW190" s="30"/>
      <c r="HX190" s="30"/>
      <c r="HY190" s="30"/>
      <c r="HZ190" s="30"/>
      <c r="IA190" s="30"/>
      <c r="IB190" s="30"/>
      <c r="IC190" s="30"/>
      <c r="ID190" s="30"/>
      <c r="IE190" s="30"/>
      <c r="IF190" s="30"/>
      <c r="IG190" s="30"/>
      <c r="IH190" s="30"/>
      <c r="II190" s="30"/>
      <c r="IJ190" s="30"/>
      <c r="IK190" s="30"/>
      <c r="IL190" s="30"/>
      <c r="IM190" s="30"/>
      <c r="IN190" s="30"/>
      <c r="IO190" s="30"/>
      <c r="IP190" s="30"/>
      <c r="IQ190" s="30"/>
      <c r="IR190" s="30"/>
      <c r="IS190" s="30"/>
      <c r="IT190" s="30"/>
      <c r="IU190" s="30"/>
      <c r="IV190" s="30"/>
      <c r="IW190" s="30"/>
      <c r="IX190" s="30"/>
      <c r="IY190" s="30"/>
      <c r="IZ190" s="30"/>
      <c r="JA190" s="30"/>
      <c r="JB190" s="30"/>
      <c r="JC190" s="30"/>
      <c r="JD190" s="30"/>
      <c r="JE190" s="30"/>
      <c r="JF190" s="30"/>
      <c r="JG190" s="30"/>
      <c r="JH190" s="30"/>
      <c r="JI190" s="30"/>
      <c r="JJ190" s="30"/>
      <c r="JK190" s="30"/>
      <c r="JL190" s="30"/>
      <c r="JM190" s="30"/>
      <c r="JN190" s="30"/>
      <c r="JO190" s="30"/>
      <c r="JP190" s="30"/>
      <c r="JQ190" s="30"/>
      <c r="JR190" s="30"/>
      <c r="JS190" s="30"/>
      <c r="JT190" s="30"/>
      <c r="JU190" s="30"/>
      <c r="JV190" s="30"/>
      <c r="JW190" s="30"/>
      <c r="JX190" s="30"/>
      <c r="JY190" s="30"/>
      <c r="JZ190" s="30"/>
      <c r="KA190" s="30"/>
      <c r="KB190" s="30"/>
      <c r="KC190" s="30"/>
      <c r="KD190" s="30"/>
      <c r="KE190" s="30"/>
      <c r="KF190" s="30"/>
      <c r="KG190" s="30"/>
      <c r="KH190" s="30"/>
      <c r="KI190" s="30"/>
      <c r="KJ190" s="30"/>
      <c r="KK190" s="30"/>
      <c r="KL190" s="30"/>
      <c r="KM190" s="30"/>
      <c r="KN190" s="30"/>
      <c r="KO190" s="30"/>
      <c r="KP190" s="30"/>
      <c r="KQ190" s="30"/>
      <c r="KR190" s="30"/>
      <c r="KS190" s="30"/>
      <c r="KT190" s="30"/>
      <c r="KU190" s="30"/>
      <c r="KV190" s="30"/>
      <c r="KW190" s="30"/>
      <c r="KX190" s="30"/>
      <c r="KY190" s="30"/>
      <c r="KZ190" s="30"/>
      <c r="LA190" s="30"/>
      <c r="LB190" s="30"/>
      <c r="LC190" s="30"/>
      <c r="LD190" s="30"/>
      <c r="LE190" s="30"/>
      <c r="LF190" s="30"/>
      <c r="LG190" s="30"/>
      <c r="LH190" s="30"/>
      <c r="LI190" s="30"/>
      <c r="LJ190" s="30"/>
      <c r="LK190" s="30"/>
      <c r="LL190" s="30"/>
      <c r="LM190" s="30"/>
      <c r="LN190" s="30"/>
      <c r="LO190" s="30"/>
      <c r="LP190" s="30"/>
      <c r="LQ190" s="30"/>
      <c r="LR190" s="30"/>
      <c r="LS190" s="30"/>
      <c r="LT190" s="30"/>
      <c r="LU190" s="30"/>
      <c r="LV190" s="30"/>
      <c r="LW190" s="30"/>
      <c r="LX190" s="30"/>
      <c r="LY190" s="30"/>
      <c r="LZ190" s="30"/>
      <c r="MA190" s="30"/>
      <c r="MB190" s="30"/>
      <c r="MC190" s="30"/>
      <c r="MD190" s="30"/>
      <c r="ME190" s="30"/>
      <c r="MF190" s="30"/>
      <c r="MG190" s="30"/>
      <c r="MH190" s="30"/>
      <c r="MI190" s="30"/>
      <c r="MJ190" s="30"/>
      <c r="MK190" s="30"/>
      <c r="ML190" s="30"/>
      <c r="MM190" s="30"/>
      <c r="MN190" s="30"/>
      <c r="MO190" s="30"/>
      <c r="MP190" s="30"/>
      <c r="MQ190" s="30"/>
      <c r="MR190" s="30"/>
      <c r="MS190" s="30"/>
      <c r="MT190" s="30"/>
      <c r="MU190" s="30"/>
      <c r="MV190" s="30"/>
      <c r="MW190" s="30"/>
      <c r="MX190" s="30"/>
      <c r="MY190" s="30"/>
      <c r="MZ190" s="30"/>
      <c r="NA190" s="30"/>
      <c r="NB190" s="30"/>
      <c r="NC190" s="30"/>
      <c r="ND190" s="30"/>
      <c r="NE190" s="30"/>
      <c r="NF190" s="30"/>
      <c r="NG190" s="30"/>
      <c r="NH190" s="30"/>
      <c r="NI190" s="30"/>
      <c r="NJ190" s="30"/>
      <c r="NK190" s="30"/>
      <c r="NL190" s="30"/>
      <c r="NM190" s="30"/>
      <c r="NN190" s="30"/>
      <c r="NO190" s="30"/>
      <c r="NP190" s="30"/>
      <c r="NQ190" s="30"/>
      <c r="NR190" s="30"/>
    </row>
    <row r="191" spans="1:382" s="3" customFormat="1" ht="20.100000000000001" customHeight="1" x14ac:dyDescent="0.4">
      <c r="A191" s="29">
        <v>1</v>
      </c>
      <c r="B191" s="5">
        <v>1927</v>
      </c>
      <c r="C191" s="5" t="s">
        <v>275</v>
      </c>
      <c r="D191" s="5" t="s">
        <v>276</v>
      </c>
      <c r="E191" s="5" t="s">
        <v>4</v>
      </c>
      <c r="F191" s="5" t="s">
        <v>32</v>
      </c>
      <c r="G191" s="5" t="s">
        <v>32</v>
      </c>
      <c r="H191" s="5" t="s">
        <v>32</v>
      </c>
      <c r="I191" s="8"/>
      <c r="J191" s="8"/>
      <c r="K191" s="8" t="str">
        <f>IF(OR(J191="",E191=""),"",J191+IFERROR(VLOOKUP(E191,リードタイム!$A$2:$C$9,3,FALSE),0))</f>
        <v/>
      </c>
      <c r="L191" s="5" t="s">
        <v>531</v>
      </c>
      <c r="M191" s="8"/>
      <c r="N191" s="8" t="str">
        <f>IF(OR(M191="",E191=""),"",M191+IFERROR(VLOOKUP(E191,リードタイム!$A$2:$D$9,4,FALSE),0))</f>
        <v/>
      </c>
      <c r="O191" s="5" t="s">
        <v>531</v>
      </c>
      <c r="P191" s="5" t="s">
        <v>533</v>
      </c>
      <c r="Q191" s="5" t="s">
        <v>70</v>
      </c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  <c r="FS191" s="30"/>
      <c r="FT191" s="30"/>
      <c r="FU191" s="30"/>
      <c r="FV191" s="30"/>
      <c r="FW191" s="30"/>
      <c r="FX191" s="30"/>
      <c r="FY191" s="30"/>
      <c r="FZ191" s="30"/>
      <c r="GA191" s="30"/>
      <c r="GB191" s="30"/>
      <c r="GC191" s="30"/>
      <c r="GD191" s="30"/>
      <c r="GE191" s="30"/>
      <c r="GF191" s="30"/>
      <c r="GG191" s="30"/>
      <c r="GH191" s="30"/>
      <c r="GI191" s="30"/>
      <c r="GJ191" s="30"/>
      <c r="GK191" s="30"/>
      <c r="GL191" s="30"/>
      <c r="GM191" s="30"/>
      <c r="GN191" s="30"/>
      <c r="GO191" s="30"/>
      <c r="GP191" s="30"/>
      <c r="GQ191" s="30"/>
      <c r="GR191" s="30"/>
      <c r="GS191" s="30"/>
      <c r="GT191" s="30"/>
      <c r="GU191" s="30"/>
      <c r="GV191" s="30"/>
      <c r="GW191" s="30"/>
      <c r="GX191" s="30"/>
      <c r="GY191" s="30"/>
      <c r="GZ191" s="30"/>
      <c r="HA191" s="30"/>
      <c r="HB191" s="30"/>
      <c r="HC191" s="30"/>
      <c r="HD191" s="30"/>
      <c r="HE191" s="30"/>
      <c r="HF191" s="30"/>
      <c r="HG191" s="30"/>
      <c r="HH191" s="30"/>
      <c r="HI191" s="30"/>
      <c r="HJ191" s="30"/>
      <c r="HK191" s="30"/>
      <c r="HL191" s="30"/>
      <c r="HM191" s="30"/>
      <c r="HN191" s="30"/>
      <c r="HO191" s="30"/>
      <c r="HP191" s="30"/>
      <c r="HQ191" s="30"/>
      <c r="HR191" s="30"/>
      <c r="HS191" s="30"/>
      <c r="HT191" s="30"/>
      <c r="HU191" s="30"/>
      <c r="HV191" s="30"/>
      <c r="HW191" s="30"/>
      <c r="HX191" s="30"/>
      <c r="HY191" s="30"/>
      <c r="HZ191" s="30"/>
      <c r="IA191" s="30"/>
      <c r="IB191" s="30"/>
      <c r="IC191" s="30"/>
      <c r="ID191" s="30"/>
      <c r="IE191" s="30"/>
      <c r="IF191" s="30"/>
      <c r="IG191" s="30"/>
      <c r="IH191" s="30"/>
      <c r="II191" s="30"/>
      <c r="IJ191" s="30"/>
      <c r="IK191" s="30"/>
      <c r="IL191" s="30"/>
      <c r="IM191" s="30"/>
      <c r="IN191" s="30"/>
      <c r="IO191" s="30"/>
      <c r="IP191" s="30"/>
      <c r="IQ191" s="30"/>
      <c r="IR191" s="30"/>
      <c r="IS191" s="30"/>
      <c r="IT191" s="30"/>
      <c r="IU191" s="30"/>
      <c r="IV191" s="30"/>
      <c r="IW191" s="30"/>
      <c r="IX191" s="30"/>
      <c r="IY191" s="30"/>
      <c r="IZ191" s="30"/>
      <c r="JA191" s="30"/>
      <c r="JB191" s="30"/>
      <c r="JC191" s="30"/>
      <c r="JD191" s="30"/>
      <c r="JE191" s="30"/>
      <c r="JF191" s="30"/>
      <c r="JG191" s="30"/>
      <c r="JH191" s="30"/>
      <c r="JI191" s="30"/>
      <c r="JJ191" s="30"/>
      <c r="JK191" s="30"/>
      <c r="JL191" s="30"/>
      <c r="JM191" s="30"/>
      <c r="JN191" s="30"/>
      <c r="JO191" s="30"/>
      <c r="JP191" s="30"/>
      <c r="JQ191" s="30"/>
      <c r="JR191" s="30"/>
      <c r="JS191" s="30"/>
      <c r="JT191" s="30"/>
      <c r="JU191" s="30"/>
      <c r="JV191" s="30"/>
      <c r="JW191" s="30"/>
      <c r="JX191" s="30"/>
      <c r="JY191" s="30"/>
      <c r="JZ191" s="30"/>
      <c r="KA191" s="30"/>
      <c r="KB191" s="30"/>
      <c r="KC191" s="30"/>
      <c r="KD191" s="30"/>
      <c r="KE191" s="30"/>
      <c r="KF191" s="30"/>
      <c r="KG191" s="30"/>
      <c r="KH191" s="30"/>
      <c r="KI191" s="30"/>
      <c r="KJ191" s="30"/>
      <c r="KK191" s="30"/>
      <c r="KL191" s="30"/>
      <c r="KM191" s="30"/>
      <c r="KN191" s="30"/>
      <c r="KO191" s="30"/>
      <c r="KP191" s="30"/>
      <c r="KQ191" s="30"/>
      <c r="KR191" s="30"/>
      <c r="KS191" s="30"/>
      <c r="KT191" s="30"/>
      <c r="KU191" s="30"/>
      <c r="KV191" s="30"/>
      <c r="KW191" s="30"/>
      <c r="KX191" s="30"/>
      <c r="KY191" s="30"/>
      <c r="KZ191" s="30"/>
      <c r="LA191" s="30"/>
      <c r="LB191" s="30"/>
      <c r="LC191" s="30"/>
      <c r="LD191" s="30"/>
      <c r="LE191" s="30"/>
      <c r="LF191" s="30"/>
      <c r="LG191" s="30"/>
      <c r="LH191" s="30"/>
      <c r="LI191" s="30"/>
      <c r="LJ191" s="30"/>
      <c r="LK191" s="30"/>
      <c r="LL191" s="30"/>
      <c r="LM191" s="30"/>
      <c r="LN191" s="30"/>
      <c r="LO191" s="30"/>
      <c r="LP191" s="30"/>
      <c r="LQ191" s="30"/>
      <c r="LR191" s="30"/>
      <c r="LS191" s="30"/>
      <c r="LT191" s="30"/>
      <c r="LU191" s="30"/>
      <c r="LV191" s="30"/>
      <c r="LW191" s="30"/>
      <c r="LX191" s="30"/>
      <c r="LY191" s="30"/>
      <c r="LZ191" s="30"/>
      <c r="MA191" s="30"/>
      <c r="MB191" s="30"/>
      <c r="MC191" s="30"/>
      <c r="MD191" s="30"/>
      <c r="ME191" s="30"/>
      <c r="MF191" s="30"/>
      <c r="MG191" s="30"/>
      <c r="MH191" s="30"/>
      <c r="MI191" s="30"/>
      <c r="MJ191" s="30"/>
      <c r="MK191" s="30"/>
      <c r="ML191" s="30"/>
      <c r="MM191" s="30"/>
      <c r="MN191" s="30"/>
      <c r="MO191" s="30"/>
      <c r="MP191" s="30"/>
      <c r="MQ191" s="30"/>
      <c r="MR191" s="30"/>
      <c r="MS191" s="30"/>
      <c r="MT191" s="30"/>
      <c r="MU191" s="30"/>
      <c r="MV191" s="30"/>
      <c r="MW191" s="30"/>
      <c r="MX191" s="30"/>
      <c r="MY191" s="30"/>
      <c r="MZ191" s="30"/>
      <c r="NA191" s="30"/>
      <c r="NB191" s="30"/>
      <c r="NC191" s="30"/>
      <c r="ND191" s="30"/>
      <c r="NE191" s="30"/>
      <c r="NF191" s="30"/>
      <c r="NG191" s="30"/>
      <c r="NH191" s="30"/>
      <c r="NI191" s="30"/>
      <c r="NJ191" s="30"/>
      <c r="NK191" s="30"/>
      <c r="NL191" s="30"/>
      <c r="NM191" s="30"/>
      <c r="NN191" s="30"/>
      <c r="NO191" s="30"/>
      <c r="NP191" s="30"/>
      <c r="NQ191" s="30"/>
      <c r="NR191" s="30"/>
    </row>
    <row r="192" spans="1:382" s="3" customFormat="1" ht="20.100000000000001" customHeight="1" x14ac:dyDescent="0.4">
      <c r="A192" s="29">
        <v>1</v>
      </c>
      <c r="B192" s="5">
        <v>1927</v>
      </c>
      <c r="C192" s="5" t="s">
        <v>277</v>
      </c>
      <c r="D192" s="5" t="s">
        <v>278</v>
      </c>
      <c r="E192" s="5" t="s">
        <v>4</v>
      </c>
      <c r="F192" s="5" t="s">
        <v>32</v>
      </c>
      <c r="G192" s="5" t="s">
        <v>32</v>
      </c>
      <c r="H192" s="5" t="s">
        <v>32</v>
      </c>
      <c r="I192" s="8"/>
      <c r="J192" s="8"/>
      <c r="K192" s="8" t="str">
        <f>IF(OR(J192="",E192=""),"",J192+IFERROR(VLOOKUP(E192,リードタイム!$A$2:$C$9,3,FALSE),0))</f>
        <v/>
      </c>
      <c r="L192" s="5" t="s">
        <v>531</v>
      </c>
      <c r="M192" s="8"/>
      <c r="N192" s="8" t="str">
        <f>IF(OR(M192="",E192=""),"",M192+IFERROR(VLOOKUP(E192,リードタイム!$A$2:$D$9,4,FALSE),0))</f>
        <v/>
      </c>
      <c r="O192" s="5" t="s">
        <v>531</v>
      </c>
      <c r="P192" s="5" t="s">
        <v>533</v>
      </c>
      <c r="Q192" s="5" t="s">
        <v>70</v>
      </c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  <c r="FS192" s="30"/>
      <c r="FT192" s="30"/>
      <c r="FU192" s="30"/>
      <c r="FV192" s="30"/>
      <c r="FW192" s="30"/>
      <c r="FX192" s="30"/>
      <c r="FY192" s="30"/>
      <c r="FZ192" s="30"/>
      <c r="GA192" s="30"/>
      <c r="GB192" s="30"/>
      <c r="GC192" s="30"/>
      <c r="GD192" s="30"/>
      <c r="GE192" s="30"/>
      <c r="GF192" s="30"/>
      <c r="GG192" s="30"/>
      <c r="GH192" s="30"/>
      <c r="GI192" s="30"/>
      <c r="GJ192" s="30"/>
      <c r="GK192" s="30"/>
      <c r="GL192" s="30"/>
      <c r="GM192" s="30"/>
      <c r="GN192" s="30"/>
      <c r="GO192" s="30"/>
      <c r="GP192" s="30"/>
      <c r="GQ192" s="30"/>
      <c r="GR192" s="30"/>
      <c r="GS192" s="30"/>
      <c r="GT192" s="30"/>
      <c r="GU192" s="30"/>
      <c r="GV192" s="30"/>
      <c r="GW192" s="30"/>
      <c r="GX192" s="30"/>
      <c r="GY192" s="30"/>
      <c r="GZ192" s="30"/>
      <c r="HA192" s="30"/>
      <c r="HB192" s="30"/>
      <c r="HC192" s="30"/>
      <c r="HD192" s="30"/>
      <c r="HE192" s="30"/>
      <c r="HF192" s="30"/>
      <c r="HG192" s="30"/>
      <c r="HH192" s="30"/>
      <c r="HI192" s="30"/>
      <c r="HJ192" s="30"/>
      <c r="HK192" s="30"/>
      <c r="HL192" s="30"/>
      <c r="HM192" s="30"/>
      <c r="HN192" s="30"/>
      <c r="HO192" s="30"/>
      <c r="HP192" s="30"/>
      <c r="HQ192" s="30"/>
      <c r="HR192" s="30"/>
      <c r="HS192" s="30"/>
      <c r="HT192" s="30"/>
      <c r="HU192" s="30"/>
      <c r="HV192" s="30"/>
      <c r="HW192" s="30"/>
      <c r="HX192" s="30"/>
      <c r="HY192" s="30"/>
      <c r="HZ192" s="30"/>
      <c r="IA192" s="30"/>
      <c r="IB192" s="30"/>
      <c r="IC192" s="30"/>
      <c r="ID192" s="30"/>
      <c r="IE192" s="30"/>
      <c r="IF192" s="30"/>
      <c r="IG192" s="30"/>
      <c r="IH192" s="30"/>
      <c r="II192" s="30"/>
      <c r="IJ192" s="30"/>
      <c r="IK192" s="30"/>
      <c r="IL192" s="30"/>
      <c r="IM192" s="30"/>
      <c r="IN192" s="30"/>
      <c r="IO192" s="30"/>
      <c r="IP192" s="30"/>
      <c r="IQ192" s="30"/>
      <c r="IR192" s="30"/>
      <c r="IS192" s="30"/>
      <c r="IT192" s="30"/>
      <c r="IU192" s="30"/>
      <c r="IV192" s="30"/>
      <c r="IW192" s="30"/>
      <c r="IX192" s="30"/>
      <c r="IY192" s="30"/>
      <c r="IZ192" s="30"/>
      <c r="JA192" s="30"/>
      <c r="JB192" s="30"/>
      <c r="JC192" s="30"/>
      <c r="JD192" s="30"/>
      <c r="JE192" s="30"/>
      <c r="JF192" s="30"/>
      <c r="JG192" s="30"/>
      <c r="JH192" s="30"/>
      <c r="JI192" s="30"/>
      <c r="JJ192" s="30"/>
      <c r="JK192" s="30"/>
      <c r="JL192" s="30"/>
      <c r="JM192" s="30"/>
      <c r="JN192" s="30"/>
      <c r="JO192" s="30"/>
      <c r="JP192" s="30"/>
      <c r="JQ192" s="30"/>
      <c r="JR192" s="30"/>
      <c r="JS192" s="30"/>
      <c r="JT192" s="30"/>
      <c r="JU192" s="30"/>
      <c r="JV192" s="30"/>
      <c r="JW192" s="30"/>
      <c r="JX192" s="30"/>
      <c r="JY192" s="30"/>
      <c r="JZ192" s="30"/>
      <c r="KA192" s="30"/>
      <c r="KB192" s="30"/>
      <c r="KC192" s="30"/>
      <c r="KD192" s="30"/>
      <c r="KE192" s="30"/>
      <c r="KF192" s="30"/>
      <c r="KG192" s="30"/>
      <c r="KH192" s="30"/>
      <c r="KI192" s="30"/>
      <c r="KJ192" s="30"/>
      <c r="KK192" s="30"/>
      <c r="KL192" s="30"/>
      <c r="KM192" s="30"/>
      <c r="KN192" s="30"/>
      <c r="KO192" s="30"/>
      <c r="KP192" s="30"/>
      <c r="KQ192" s="30"/>
      <c r="KR192" s="30"/>
      <c r="KS192" s="30"/>
      <c r="KT192" s="30"/>
      <c r="KU192" s="30"/>
      <c r="KV192" s="30"/>
      <c r="KW192" s="30"/>
      <c r="KX192" s="30"/>
      <c r="KY192" s="30"/>
      <c r="KZ192" s="30"/>
      <c r="LA192" s="30"/>
      <c r="LB192" s="30"/>
      <c r="LC192" s="30"/>
      <c r="LD192" s="30"/>
      <c r="LE192" s="30"/>
      <c r="LF192" s="30"/>
      <c r="LG192" s="30"/>
      <c r="LH192" s="30"/>
      <c r="LI192" s="30"/>
      <c r="LJ192" s="30"/>
      <c r="LK192" s="30"/>
      <c r="LL192" s="30"/>
      <c r="LM192" s="30"/>
      <c r="LN192" s="30"/>
      <c r="LO192" s="30"/>
      <c r="LP192" s="30"/>
      <c r="LQ192" s="30"/>
      <c r="LR192" s="30"/>
      <c r="LS192" s="30"/>
      <c r="LT192" s="30"/>
      <c r="LU192" s="30"/>
      <c r="LV192" s="30"/>
      <c r="LW192" s="30"/>
      <c r="LX192" s="30"/>
      <c r="LY192" s="30"/>
      <c r="LZ192" s="30"/>
      <c r="MA192" s="30"/>
      <c r="MB192" s="30"/>
      <c r="MC192" s="30"/>
      <c r="MD192" s="30"/>
      <c r="ME192" s="30"/>
      <c r="MF192" s="30"/>
      <c r="MG192" s="30"/>
      <c r="MH192" s="30"/>
      <c r="MI192" s="30"/>
      <c r="MJ192" s="30"/>
      <c r="MK192" s="30"/>
      <c r="ML192" s="30"/>
      <c r="MM192" s="30"/>
      <c r="MN192" s="30"/>
      <c r="MO192" s="30"/>
      <c r="MP192" s="30"/>
      <c r="MQ192" s="30"/>
      <c r="MR192" s="30"/>
      <c r="MS192" s="30"/>
      <c r="MT192" s="30"/>
      <c r="MU192" s="30"/>
      <c r="MV192" s="30"/>
      <c r="MW192" s="30"/>
      <c r="MX192" s="30"/>
      <c r="MY192" s="30"/>
      <c r="MZ192" s="30"/>
      <c r="NA192" s="30"/>
      <c r="NB192" s="30"/>
      <c r="NC192" s="30"/>
      <c r="ND192" s="30"/>
      <c r="NE192" s="30"/>
      <c r="NF192" s="30"/>
      <c r="NG192" s="30"/>
      <c r="NH192" s="30"/>
      <c r="NI192" s="30"/>
      <c r="NJ192" s="30"/>
      <c r="NK192" s="30"/>
      <c r="NL192" s="30"/>
      <c r="NM192" s="30"/>
      <c r="NN192" s="30"/>
      <c r="NO192" s="30"/>
      <c r="NP192" s="30"/>
      <c r="NQ192" s="30"/>
      <c r="NR192" s="30"/>
    </row>
    <row r="193" spans="1:382" s="3" customFormat="1" ht="20.100000000000001" customHeight="1" x14ac:dyDescent="0.4">
      <c r="A193" s="29">
        <v>1</v>
      </c>
      <c r="B193" s="5">
        <v>1927</v>
      </c>
      <c r="C193" s="5" t="s">
        <v>279</v>
      </c>
      <c r="D193" s="5" t="s">
        <v>280</v>
      </c>
      <c r="E193" s="5" t="s">
        <v>4</v>
      </c>
      <c r="F193" s="5" t="s">
        <v>32</v>
      </c>
      <c r="G193" s="5" t="s">
        <v>32</v>
      </c>
      <c r="H193" s="5" t="s">
        <v>32</v>
      </c>
      <c r="I193" s="8"/>
      <c r="J193" s="8"/>
      <c r="K193" s="8" t="str">
        <f>IF(OR(J193="",E193=""),"",J193+IFERROR(VLOOKUP(E193,リードタイム!$A$2:$C$9,3,FALSE),0))</f>
        <v/>
      </c>
      <c r="L193" s="5" t="s">
        <v>531</v>
      </c>
      <c r="M193" s="8"/>
      <c r="N193" s="8" t="str">
        <f>IF(OR(M193="",E193=""),"",M193+IFERROR(VLOOKUP(E193,リードタイム!$A$2:$D$9,4,FALSE),0))</f>
        <v/>
      </c>
      <c r="O193" s="5" t="s">
        <v>531</v>
      </c>
      <c r="P193" s="5" t="s">
        <v>533</v>
      </c>
      <c r="Q193" s="5" t="s">
        <v>70</v>
      </c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  <c r="FS193" s="30"/>
      <c r="FT193" s="30"/>
      <c r="FU193" s="30"/>
      <c r="FV193" s="30"/>
      <c r="FW193" s="30"/>
      <c r="FX193" s="30"/>
      <c r="FY193" s="30"/>
      <c r="FZ193" s="30"/>
      <c r="GA193" s="30"/>
      <c r="GB193" s="30"/>
      <c r="GC193" s="30"/>
      <c r="GD193" s="30"/>
      <c r="GE193" s="30"/>
      <c r="GF193" s="30"/>
      <c r="GG193" s="30"/>
      <c r="GH193" s="30"/>
      <c r="GI193" s="30"/>
      <c r="GJ193" s="30"/>
      <c r="GK193" s="30"/>
      <c r="GL193" s="30"/>
      <c r="GM193" s="30"/>
      <c r="GN193" s="30"/>
      <c r="GO193" s="30"/>
      <c r="GP193" s="30"/>
      <c r="GQ193" s="30"/>
      <c r="GR193" s="30"/>
      <c r="GS193" s="30"/>
      <c r="GT193" s="30"/>
      <c r="GU193" s="30"/>
      <c r="GV193" s="30"/>
      <c r="GW193" s="30"/>
      <c r="GX193" s="30"/>
      <c r="GY193" s="30"/>
      <c r="GZ193" s="30"/>
      <c r="HA193" s="30"/>
      <c r="HB193" s="30"/>
      <c r="HC193" s="30"/>
      <c r="HD193" s="30"/>
      <c r="HE193" s="30"/>
      <c r="HF193" s="30"/>
      <c r="HG193" s="30"/>
      <c r="HH193" s="30"/>
      <c r="HI193" s="30"/>
      <c r="HJ193" s="30"/>
      <c r="HK193" s="30"/>
      <c r="HL193" s="30"/>
      <c r="HM193" s="30"/>
      <c r="HN193" s="30"/>
      <c r="HO193" s="30"/>
      <c r="HP193" s="30"/>
      <c r="HQ193" s="30"/>
      <c r="HR193" s="30"/>
      <c r="HS193" s="30"/>
      <c r="HT193" s="30"/>
      <c r="HU193" s="30"/>
      <c r="HV193" s="30"/>
      <c r="HW193" s="30"/>
      <c r="HX193" s="30"/>
      <c r="HY193" s="30"/>
      <c r="HZ193" s="30"/>
      <c r="IA193" s="30"/>
      <c r="IB193" s="30"/>
      <c r="IC193" s="30"/>
      <c r="ID193" s="30"/>
      <c r="IE193" s="30"/>
      <c r="IF193" s="30"/>
      <c r="IG193" s="30"/>
      <c r="IH193" s="30"/>
      <c r="II193" s="30"/>
      <c r="IJ193" s="30"/>
      <c r="IK193" s="30"/>
      <c r="IL193" s="30"/>
      <c r="IM193" s="30"/>
      <c r="IN193" s="30"/>
      <c r="IO193" s="30"/>
      <c r="IP193" s="30"/>
      <c r="IQ193" s="30"/>
      <c r="IR193" s="30"/>
      <c r="IS193" s="30"/>
      <c r="IT193" s="30"/>
      <c r="IU193" s="30"/>
      <c r="IV193" s="30"/>
      <c r="IW193" s="30"/>
      <c r="IX193" s="30"/>
      <c r="IY193" s="30"/>
      <c r="IZ193" s="30"/>
      <c r="JA193" s="30"/>
      <c r="JB193" s="30"/>
      <c r="JC193" s="30"/>
      <c r="JD193" s="30"/>
      <c r="JE193" s="30"/>
      <c r="JF193" s="30"/>
      <c r="JG193" s="30"/>
      <c r="JH193" s="30"/>
      <c r="JI193" s="30"/>
      <c r="JJ193" s="30"/>
      <c r="JK193" s="30"/>
      <c r="JL193" s="30"/>
      <c r="JM193" s="30"/>
      <c r="JN193" s="30"/>
      <c r="JO193" s="30"/>
      <c r="JP193" s="30"/>
      <c r="JQ193" s="30"/>
      <c r="JR193" s="30"/>
      <c r="JS193" s="30"/>
      <c r="JT193" s="30"/>
      <c r="JU193" s="30"/>
      <c r="JV193" s="30"/>
      <c r="JW193" s="30"/>
      <c r="JX193" s="30"/>
      <c r="JY193" s="30"/>
      <c r="JZ193" s="30"/>
      <c r="KA193" s="30"/>
      <c r="KB193" s="30"/>
      <c r="KC193" s="30"/>
      <c r="KD193" s="30"/>
      <c r="KE193" s="30"/>
      <c r="KF193" s="30"/>
      <c r="KG193" s="30"/>
      <c r="KH193" s="30"/>
      <c r="KI193" s="30"/>
      <c r="KJ193" s="30"/>
      <c r="KK193" s="30"/>
      <c r="KL193" s="30"/>
      <c r="KM193" s="30"/>
      <c r="KN193" s="30"/>
      <c r="KO193" s="30"/>
      <c r="KP193" s="30"/>
      <c r="KQ193" s="30"/>
      <c r="KR193" s="30"/>
      <c r="KS193" s="30"/>
      <c r="KT193" s="30"/>
      <c r="KU193" s="30"/>
      <c r="KV193" s="30"/>
      <c r="KW193" s="30"/>
      <c r="KX193" s="30"/>
      <c r="KY193" s="30"/>
      <c r="KZ193" s="30"/>
      <c r="LA193" s="30"/>
      <c r="LB193" s="30"/>
      <c r="LC193" s="30"/>
      <c r="LD193" s="30"/>
      <c r="LE193" s="30"/>
      <c r="LF193" s="30"/>
      <c r="LG193" s="30"/>
      <c r="LH193" s="30"/>
      <c r="LI193" s="30"/>
      <c r="LJ193" s="30"/>
      <c r="LK193" s="30"/>
      <c r="LL193" s="30"/>
      <c r="LM193" s="30"/>
      <c r="LN193" s="30"/>
      <c r="LO193" s="30"/>
      <c r="LP193" s="30"/>
      <c r="LQ193" s="30"/>
      <c r="LR193" s="30"/>
      <c r="LS193" s="30"/>
      <c r="LT193" s="30"/>
      <c r="LU193" s="30"/>
      <c r="LV193" s="30"/>
      <c r="LW193" s="30"/>
      <c r="LX193" s="30"/>
      <c r="LY193" s="30"/>
      <c r="LZ193" s="30"/>
      <c r="MA193" s="30"/>
      <c r="MB193" s="30"/>
      <c r="MC193" s="30"/>
      <c r="MD193" s="30"/>
      <c r="ME193" s="30"/>
      <c r="MF193" s="30"/>
      <c r="MG193" s="30"/>
      <c r="MH193" s="30"/>
      <c r="MI193" s="30"/>
      <c r="MJ193" s="30"/>
      <c r="MK193" s="30"/>
      <c r="ML193" s="30"/>
      <c r="MM193" s="30"/>
      <c r="MN193" s="30"/>
      <c r="MO193" s="30"/>
      <c r="MP193" s="30"/>
      <c r="MQ193" s="30"/>
      <c r="MR193" s="30"/>
      <c r="MS193" s="30"/>
      <c r="MT193" s="30"/>
      <c r="MU193" s="30"/>
      <c r="MV193" s="30"/>
      <c r="MW193" s="30"/>
      <c r="MX193" s="30"/>
      <c r="MY193" s="30"/>
      <c r="MZ193" s="30"/>
      <c r="NA193" s="30"/>
      <c r="NB193" s="30"/>
      <c r="NC193" s="30"/>
      <c r="ND193" s="30"/>
      <c r="NE193" s="30"/>
      <c r="NF193" s="30"/>
      <c r="NG193" s="30"/>
      <c r="NH193" s="30"/>
      <c r="NI193" s="30"/>
      <c r="NJ193" s="30"/>
      <c r="NK193" s="30"/>
      <c r="NL193" s="30"/>
      <c r="NM193" s="30"/>
      <c r="NN193" s="30"/>
      <c r="NO193" s="30"/>
      <c r="NP193" s="30"/>
      <c r="NQ193" s="30"/>
      <c r="NR193" s="30"/>
    </row>
    <row r="194" spans="1:382" s="3" customFormat="1" ht="20.100000000000001" customHeight="1" x14ac:dyDescent="0.4">
      <c r="A194" s="29">
        <v>1</v>
      </c>
      <c r="B194" s="5">
        <v>819</v>
      </c>
      <c r="C194" s="5" t="s">
        <v>281</v>
      </c>
      <c r="D194" s="5" t="s">
        <v>48</v>
      </c>
      <c r="E194" s="5" t="s">
        <v>12</v>
      </c>
      <c r="F194" s="5" t="s">
        <v>32</v>
      </c>
      <c r="G194" s="5" t="s">
        <v>32</v>
      </c>
      <c r="H194" s="5" t="s">
        <v>32</v>
      </c>
      <c r="I194" s="8"/>
      <c r="J194" s="8"/>
      <c r="K194" s="8" t="str">
        <f>IF(OR(J194="",E194=""),"",J194+IFERROR(VLOOKUP(E194,リードタイム!$A$2:$C$9,3,FALSE),0))</f>
        <v/>
      </c>
      <c r="L194" s="5" t="s">
        <v>531</v>
      </c>
      <c r="M194" s="8"/>
      <c r="N194" s="8" t="str">
        <f>IF(OR(M194="",E194=""),"",M194+IFERROR(VLOOKUP(E194,リードタイム!$A$2:$D$9,4,FALSE),0))</f>
        <v/>
      </c>
      <c r="O194" s="5" t="s">
        <v>531</v>
      </c>
      <c r="P194" s="5" t="s">
        <v>533</v>
      </c>
      <c r="Q194" s="5" t="s">
        <v>282</v>
      </c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  <c r="FS194" s="30"/>
      <c r="FT194" s="30"/>
      <c r="FU194" s="30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30"/>
      <c r="GT194" s="30"/>
      <c r="GU194" s="30"/>
      <c r="GV194" s="30"/>
      <c r="GW194" s="30"/>
      <c r="GX194" s="30"/>
      <c r="GY194" s="30"/>
      <c r="GZ194" s="30"/>
      <c r="HA194" s="30"/>
      <c r="HB194" s="30"/>
      <c r="HC194" s="30"/>
      <c r="HD194" s="30"/>
      <c r="HE194" s="30"/>
      <c r="HF194" s="30"/>
      <c r="HG194" s="30"/>
      <c r="HH194" s="30"/>
      <c r="HI194" s="30"/>
      <c r="HJ194" s="30"/>
      <c r="HK194" s="30"/>
      <c r="HL194" s="30"/>
      <c r="HM194" s="30"/>
      <c r="HN194" s="30"/>
      <c r="HO194" s="30"/>
      <c r="HP194" s="30"/>
      <c r="HQ194" s="30"/>
      <c r="HR194" s="30"/>
      <c r="HS194" s="30"/>
      <c r="HT194" s="30"/>
      <c r="HU194" s="30"/>
      <c r="HV194" s="30"/>
      <c r="HW194" s="30"/>
      <c r="HX194" s="30"/>
      <c r="HY194" s="30"/>
      <c r="HZ194" s="30"/>
      <c r="IA194" s="30"/>
      <c r="IB194" s="30"/>
      <c r="IC194" s="30"/>
      <c r="ID194" s="30"/>
      <c r="IE194" s="30"/>
      <c r="IF194" s="30"/>
      <c r="IG194" s="30"/>
      <c r="IH194" s="30"/>
      <c r="II194" s="30"/>
      <c r="IJ194" s="30"/>
      <c r="IK194" s="30"/>
      <c r="IL194" s="30"/>
      <c r="IM194" s="30"/>
      <c r="IN194" s="30"/>
      <c r="IO194" s="30"/>
      <c r="IP194" s="30"/>
      <c r="IQ194" s="30"/>
      <c r="IR194" s="30"/>
      <c r="IS194" s="30"/>
      <c r="IT194" s="30"/>
      <c r="IU194" s="30"/>
      <c r="IV194" s="30"/>
      <c r="IW194" s="30"/>
      <c r="IX194" s="30"/>
      <c r="IY194" s="30"/>
      <c r="IZ194" s="30"/>
      <c r="JA194" s="30"/>
      <c r="JB194" s="30"/>
      <c r="JC194" s="30"/>
      <c r="JD194" s="30"/>
      <c r="JE194" s="30"/>
      <c r="JF194" s="30"/>
      <c r="JG194" s="30"/>
      <c r="JH194" s="30"/>
      <c r="JI194" s="30"/>
      <c r="JJ194" s="30"/>
      <c r="JK194" s="30"/>
      <c r="JL194" s="30"/>
      <c r="JM194" s="30"/>
      <c r="JN194" s="30"/>
      <c r="JO194" s="30"/>
      <c r="JP194" s="30"/>
      <c r="JQ194" s="30"/>
      <c r="JR194" s="30"/>
      <c r="JS194" s="30"/>
      <c r="JT194" s="30"/>
      <c r="JU194" s="30"/>
      <c r="JV194" s="30"/>
      <c r="JW194" s="30"/>
      <c r="JX194" s="30"/>
      <c r="JY194" s="30"/>
      <c r="JZ194" s="30"/>
      <c r="KA194" s="30"/>
      <c r="KB194" s="30"/>
      <c r="KC194" s="30"/>
      <c r="KD194" s="30"/>
      <c r="KE194" s="30"/>
      <c r="KF194" s="30"/>
      <c r="KG194" s="30"/>
      <c r="KH194" s="30"/>
      <c r="KI194" s="30"/>
      <c r="KJ194" s="30"/>
      <c r="KK194" s="30"/>
      <c r="KL194" s="30"/>
      <c r="KM194" s="30"/>
      <c r="KN194" s="30"/>
      <c r="KO194" s="30"/>
      <c r="KP194" s="30"/>
      <c r="KQ194" s="30"/>
      <c r="KR194" s="30"/>
      <c r="KS194" s="30"/>
      <c r="KT194" s="30"/>
      <c r="KU194" s="30"/>
      <c r="KV194" s="30"/>
      <c r="KW194" s="30"/>
      <c r="KX194" s="30"/>
      <c r="KY194" s="30"/>
      <c r="KZ194" s="30"/>
      <c r="LA194" s="30"/>
      <c r="LB194" s="30"/>
      <c r="LC194" s="30"/>
      <c r="LD194" s="30"/>
      <c r="LE194" s="30"/>
      <c r="LF194" s="30"/>
      <c r="LG194" s="30"/>
      <c r="LH194" s="30"/>
      <c r="LI194" s="30"/>
      <c r="LJ194" s="30"/>
      <c r="LK194" s="30"/>
      <c r="LL194" s="30"/>
      <c r="LM194" s="30"/>
      <c r="LN194" s="30"/>
      <c r="LO194" s="30"/>
      <c r="LP194" s="30"/>
      <c r="LQ194" s="30"/>
      <c r="LR194" s="30"/>
      <c r="LS194" s="30"/>
      <c r="LT194" s="30"/>
      <c r="LU194" s="30"/>
      <c r="LV194" s="30"/>
      <c r="LW194" s="30"/>
      <c r="LX194" s="30"/>
      <c r="LY194" s="30"/>
      <c r="LZ194" s="30"/>
      <c r="MA194" s="30"/>
      <c r="MB194" s="30"/>
      <c r="MC194" s="30"/>
      <c r="MD194" s="30"/>
      <c r="ME194" s="30"/>
      <c r="MF194" s="30"/>
      <c r="MG194" s="30"/>
      <c r="MH194" s="30"/>
      <c r="MI194" s="30"/>
      <c r="MJ194" s="30"/>
      <c r="MK194" s="30"/>
      <c r="ML194" s="30"/>
      <c r="MM194" s="30"/>
      <c r="MN194" s="30"/>
      <c r="MO194" s="30"/>
      <c r="MP194" s="30"/>
      <c r="MQ194" s="30"/>
      <c r="MR194" s="30"/>
      <c r="MS194" s="30"/>
      <c r="MT194" s="30"/>
      <c r="MU194" s="30"/>
      <c r="MV194" s="30"/>
      <c r="MW194" s="30"/>
      <c r="MX194" s="30"/>
      <c r="MY194" s="30"/>
      <c r="MZ194" s="30"/>
      <c r="NA194" s="30"/>
      <c r="NB194" s="30"/>
      <c r="NC194" s="30"/>
      <c r="ND194" s="30"/>
      <c r="NE194" s="30"/>
      <c r="NF194" s="30"/>
      <c r="NG194" s="30"/>
      <c r="NH194" s="30"/>
      <c r="NI194" s="30"/>
      <c r="NJ194" s="30"/>
      <c r="NK194" s="30"/>
      <c r="NL194" s="30"/>
      <c r="NM194" s="30"/>
      <c r="NN194" s="30"/>
      <c r="NO194" s="30"/>
      <c r="NP194" s="30"/>
      <c r="NQ194" s="30"/>
      <c r="NR194" s="30"/>
    </row>
    <row r="195" spans="1:382" s="3" customFormat="1" ht="20.100000000000001" customHeight="1" x14ac:dyDescent="0.4">
      <c r="A195" s="29">
        <v>1</v>
      </c>
      <c r="B195" s="5">
        <v>1804</v>
      </c>
      <c r="C195" s="5" t="s">
        <v>283</v>
      </c>
      <c r="D195" s="5" t="s">
        <v>226</v>
      </c>
      <c r="E195" s="5" t="s">
        <v>4</v>
      </c>
      <c r="F195" s="5" t="s">
        <v>32</v>
      </c>
      <c r="G195" s="5" t="s">
        <v>32</v>
      </c>
      <c r="H195" s="5" t="s">
        <v>32</v>
      </c>
      <c r="I195" s="8"/>
      <c r="J195" s="8"/>
      <c r="K195" s="8" t="str">
        <f>IF(OR(J195="",E195=""),"",J195+IFERROR(VLOOKUP(E195,リードタイム!$A$2:$C$9,3,FALSE),0))</f>
        <v/>
      </c>
      <c r="L195" s="5" t="s">
        <v>531</v>
      </c>
      <c r="M195" s="8"/>
      <c r="N195" s="8" t="str">
        <f>IF(OR(M195="",E195=""),"",M195+IFERROR(VLOOKUP(E195,リードタイム!$A$2:$D$9,4,FALSE),0))</f>
        <v/>
      </c>
      <c r="O195" s="5" t="s">
        <v>531</v>
      </c>
      <c r="P195" s="5" t="s">
        <v>533</v>
      </c>
      <c r="Q195" s="5" t="s">
        <v>284</v>
      </c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  <c r="FS195" s="30"/>
      <c r="FT195" s="30"/>
      <c r="FU195" s="30"/>
      <c r="FV195" s="30"/>
      <c r="FW195" s="30"/>
      <c r="FX195" s="30"/>
      <c r="FY195" s="30"/>
      <c r="FZ195" s="30"/>
      <c r="GA195" s="30"/>
      <c r="GB195" s="30"/>
      <c r="GC195" s="30"/>
      <c r="GD195" s="30"/>
      <c r="GE195" s="30"/>
      <c r="GF195" s="30"/>
      <c r="GG195" s="30"/>
      <c r="GH195" s="30"/>
      <c r="GI195" s="30"/>
      <c r="GJ195" s="30"/>
      <c r="GK195" s="30"/>
      <c r="GL195" s="30"/>
      <c r="GM195" s="30"/>
      <c r="GN195" s="30"/>
      <c r="GO195" s="30"/>
      <c r="GP195" s="30"/>
      <c r="GQ195" s="30"/>
      <c r="GR195" s="30"/>
      <c r="GS195" s="30"/>
      <c r="GT195" s="30"/>
      <c r="GU195" s="30"/>
      <c r="GV195" s="30"/>
      <c r="GW195" s="30"/>
      <c r="GX195" s="30"/>
      <c r="GY195" s="30"/>
      <c r="GZ195" s="30"/>
      <c r="HA195" s="30"/>
      <c r="HB195" s="30"/>
      <c r="HC195" s="30"/>
      <c r="HD195" s="30"/>
      <c r="HE195" s="30"/>
      <c r="HF195" s="30"/>
      <c r="HG195" s="30"/>
      <c r="HH195" s="30"/>
      <c r="HI195" s="30"/>
      <c r="HJ195" s="30"/>
      <c r="HK195" s="30"/>
      <c r="HL195" s="30"/>
      <c r="HM195" s="30"/>
      <c r="HN195" s="30"/>
      <c r="HO195" s="30"/>
      <c r="HP195" s="30"/>
      <c r="HQ195" s="30"/>
      <c r="HR195" s="30"/>
      <c r="HS195" s="30"/>
      <c r="HT195" s="30"/>
      <c r="HU195" s="30"/>
      <c r="HV195" s="30"/>
      <c r="HW195" s="30"/>
      <c r="HX195" s="30"/>
      <c r="HY195" s="30"/>
      <c r="HZ195" s="30"/>
      <c r="IA195" s="30"/>
      <c r="IB195" s="30"/>
      <c r="IC195" s="30"/>
      <c r="ID195" s="30"/>
      <c r="IE195" s="30"/>
      <c r="IF195" s="30"/>
      <c r="IG195" s="30"/>
      <c r="IH195" s="30"/>
      <c r="II195" s="30"/>
      <c r="IJ195" s="30"/>
      <c r="IK195" s="30"/>
      <c r="IL195" s="30"/>
      <c r="IM195" s="30"/>
      <c r="IN195" s="30"/>
      <c r="IO195" s="30"/>
      <c r="IP195" s="30"/>
      <c r="IQ195" s="30"/>
      <c r="IR195" s="30"/>
      <c r="IS195" s="30"/>
      <c r="IT195" s="30"/>
      <c r="IU195" s="30"/>
      <c r="IV195" s="30"/>
      <c r="IW195" s="30"/>
      <c r="IX195" s="30"/>
      <c r="IY195" s="30"/>
      <c r="IZ195" s="30"/>
      <c r="JA195" s="30"/>
      <c r="JB195" s="30"/>
      <c r="JC195" s="30"/>
      <c r="JD195" s="30"/>
      <c r="JE195" s="30"/>
      <c r="JF195" s="30"/>
      <c r="JG195" s="30"/>
      <c r="JH195" s="30"/>
      <c r="JI195" s="30"/>
      <c r="JJ195" s="30"/>
      <c r="JK195" s="30"/>
      <c r="JL195" s="30"/>
      <c r="JM195" s="30"/>
      <c r="JN195" s="30"/>
      <c r="JO195" s="30"/>
      <c r="JP195" s="30"/>
      <c r="JQ195" s="30"/>
      <c r="JR195" s="30"/>
      <c r="JS195" s="30"/>
      <c r="JT195" s="30"/>
      <c r="JU195" s="30"/>
      <c r="JV195" s="30"/>
      <c r="JW195" s="30"/>
      <c r="JX195" s="30"/>
      <c r="JY195" s="30"/>
      <c r="JZ195" s="30"/>
      <c r="KA195" s="30"/>
      <c r="KB195" s="30"/>
      <c r="KC195" s="30"/>
      <c r="KD195" s="30"/>
      <c r="KE195" s="30"/>
      <c r="KF195" s="30"/>
      <c r="KG195" s="30"/>
      <c r="KH195" s="30"/>
      <c r="KI195" s="30"/>
      <c r="KJ195" s="30"/>
      <c r="KK195" s="30"/>
      <c r="KL195" s="30"/>
      <c r="KM195" s="30"/>
      <c r="KN195" s="30"/>
      <c r="KO195" s="30"/>
      <c r="KP195" s="30"/>
      <c r="KQ195" s="30"/>
      <c r="KR195" s="30"/>
      <c r="KS195" s="30"/>
      <c r="KT195" s="30"/>
      <c r="KU195" s="30"/>
      <c r="KV195" s="30"/>
      <c r="KW195" s="30"/>
      <c r="KX195" s="30"/>
      <c r="KY195" s="30"/>
      <c r="KZ195" s="30"/>
      <c r="LA195" s="30"/>
      <c r="LB195" s="30"/>
      <c r="LC195" s="30"/>
      <c r="LD195" s="30"/>
      <c r="LE195" s="30"/>
      <c r="LF195" s="30"/>
      <c r="LG195" s="30"/>
      <c r="LH195" s="30"/>
      <c r="LI195" s="30"/>
      <c r="LJ195" s="30"/>
      <c r="LK195" s="30"/>
      <c r="LL195" s="30"/>
      <c r="LM195" s="30"/>
      <c r="LN195" s="30"/>
      <c r="LO195" s="30"/>
      <c r="LP195" s="30"/>
      <c r="LQ195" s="30"/>
      <c r="LR195" s="30"/>
      <c r="LS195" s="30"/>
      <c r="LT195" s="30"/>
      <c r="LU195" s="30"/>
      <c r="LV195" s="30"/>
      <c r="LW195" s="30"/>
      <c r="LX195" s="30"/>
      <c r="LY195" s="30"/>
      <c r="LZ195" s="30"/>
      <c r="MA195" s="30"/>
      <c r="MB195" s="30"/>
      <c r="MC195" s="30"/>
      <c r="MD195" s="30"/>
      <c r="ME195" s="30"/>
      <c r="MF195" s="30"/>
      <c r="MG195" s="30"/>
      <c r="MH195" s="30"/>
      <c r="MI195" s="30"/>
      <c r="MJ195" s="30"/>
      <c r="MK195" s="30"/>
      <c r="ML195" s="30"/>
      <c r="MM195" s="30"/>
      <c r="MN195" s="30"/>
      <c r="MO195" s="30"/>
      <c r="MP195" s="30"/>
      <c r="MQ195" s="30"/>
      <c r="MR195" s="30"/>
      <c r="MS195" s="30"/>
      <c r="MT195" s="30"/>
      <c r="MU195" s="30"/>
      <c r="MV195" s="30"/>
      <c r="MW195" s="30"/>
      <c r="MX195" s="30"/>
      <c r="MY195" s="30"/>
      <c r="MZ195" s="30"/>
      <c r="NA195" s="30"/>
      <c r="NB195" s="30"/>
      <c r="NC195" s="30"/>
      <c r="ND195" s="30"/>
      <c r="NE195" s="30"/>
      <c r="NF195" s="30"/>
      <c r="NG195" s="30"/>
      <c r="NH195" s="30"/>
      <c r="NI195" s="30"/>
      <c r="NJ195" s="30"/>
      <c r="NK195" s="30"/>
      <c r="NL195" s="30"/>
      <c r="NM195" s="30"/>
      <c r="NN195" s="30"/>
      <c r="NO195" s="30"/>
      <c r="NP195" s="30"/>
      <c r="NQ195" s="30"/>
      <c r="NR195" s="30"/>
    </row>
    <row r="196" spans="1:382" s="3" customFormat="1" ht="20.100000000000001" customHeight="1" x14ac:dyDescent="0.4">
      <c r="A196" s="29">
        <v>2</v>
      </c>
      <c r="B196" s="5">
        <v>1927</v>
      </c>
      <c r="C196" s="5" t="s">
        <v>283</v>
      </c>
      <c r="D196" s="5" t="s">
        <v>285</v>
      </c>
      <c r="E196" s="5" t="s">
        <v>4</v>
      </c>
      <c r="F196" s="5" t="s">
        <v>32</v>
      </c>
      <c r="G196" s="5" t="s">
        <v>32</v>
      </c>
      <c r="H196" s="5" t="s">
        <v>32</v>
      </c>
      <c r="I196" s="8"/>
      <c r="J196" s="8"/>
      <c r="K196" s="8" t="str">
        <f>IF(OR(J196="",E196=""),"",J196+IFERROR(VLOOKUP(E196,リードタイム!$A$2:$C$9,3,FALSE),0))</f>
        <v/>
      </c>
      <c r="L196" s="5" t="s">
        <v>531</v>
      </c>
      <c r="M196" s="8"/>
      <c r="N196" s="8" t="str">
        <f>IF(OR(M196="",E196=""),"",M196+IFERROR(VLOOKUP(E196,リードタイム!$A$2:$D$9,4,FALSE),0))</f>
        <v/>
      </c>
      <c r="O196" s="5" t="s">
        <v>531</v>
      </c>
      <c r="P196" s="5" t="s">
        <v>533</v>
      </c>
      <c r="Q196" s="5" t="s">
        <v>32</v>
      </c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  <c r="FS196" s="30"/>
      <c r="FT196" s="30"/>
      <c r="FU196" s="30"/>
      <c r="FV196" s="30"/>
      <c r="FW196" s="30"/>
      <c r="FX196" s="30"/>
      <c r="FY196" s="30"/>
      <c r="FZ196" s="30"/>
      <c r="GA196" s="30"/>
      <c r="GB196" s="30"/>
      <c r="GC196" s="30"/>
      <c r="GD196" s="30"/>
      <c r="GE196" s="30"/>
      <c r="GF196" s="30"/>
      <c r="GG196" s="30"/>
      <c r="GH196" s="30"/>
      <c r="GI196" s="30"/>
      <c r="GJ196" s="30"/>
      <c r="GK196" s="30"/>
      <c r="GL196" s="30"/>
      <c r="GM196" s="30"/>
      <c r="GN196" s="30"/>
      <c r="GO196" s="30"/>
      <c r="GP196" s="30"/>
      <c r="GQ196" s="30"/>
      <c r="GR196" s="30"/>
      <c r="GS196" s="30"/>
      <c r="GT196" s="30"/>
      <c r="GU196" s="30"/>
      <c r="GV196" s="30"/>
      <c r="GW196" s="30"/>
      <c r="GX196" s="30"/>
      <c r="GY196" s="30"/>
      <c r="GZ196" s="30"/>
      <c r="HA196" s="30"/>
      <c r="HB196" s="30"/>
      <c r="HC196" s="30"/>
      <c r="HD196" s="30"/>
      <c r="HE196" s="30"/>
      <c r="HF196" s="30"/>
      <c r="HG196" s="30"/>
      <c r="HH196" s="30"/>
      <c r="HI196" s="30"/>
      <c r="HJ196" s="30"/>
      <c r="HK196" s="30"/>
      <c r="HL196" s="30"/>
      <c r="HM196" s="30"/>
      <c r="HN196" s="30"/>
      <c r="HO196" s="30"/>
      <c r="HP196" s="30"/>
      <c r="HQ196" s="30"/>
      <c r="HR196" s="30"/>
      <c r="HS196" s="30"/>
      <c r="HT196" s="30"/>
      <c r="HU196" s="30"/>
      <c r="HV196" s="30"/>
      <c r="HW196" s="30"/>
      <c r="HX196" s="30"/>
      <c r="HY196" s="30"/>
      <c r="HZ196" s="30"/>
      <c r="IA196" s="30"/>
      <c r="IB196" s="30"/>
      <c r="IC196" s="30"/>
      <c r="ID196" s="30"/>
      <c r="IE196" s="30"/>
      <c r="IF196" s="30"/>
      <c r="IG196" s="30"/>
      <c r="IH196" s="30"/>
      <c r="II196" s="30"/>
      <c r="IJ196" s="30"/>
      <c r="IK196" s="30"/>
      <c r="IL196" s="30"/>
      <c r="IM196" s="30"/>
      <c r="IN196" s="30"/>
      <c r="IO196" s="30"/>
      <c r="IP196" s="30"/>
      <c r="IQ196" s="30"/>
      <c r="IR196" s="30"/>
      <c r="IS196" s="30"/>
      <c r="IT196" s="30"/>
      <c r="IU196" s="30"/>
      <c r="IV196" s="30"/>
      <c r="IW196" s="30"/>
      <c r="IX196" s="30"/>
      <c r="IY196" s="30"/>
      <c r="IZ196" s="30"/>
      <c r="JA196" s="30"/>
      <c r="JB196" s="30"/>
      <c r="JC196" s="30"/>
      <c r="JD196" s="30"/>
      <c r="JE196" s="30"/>
      <c r="JF196" s="30"/>
      <c r="JG196" s="30"/>
      <c r="JH196" s="30"/>
      <c r="JI196" s="30"/>
      <c r="JJ196" s="30"/>
      <c r="JK196" s="30"/>
      <c r="JL196" s="30"/>
      <c r="JM196" s="30"/>
      <c r="JN196" s="30"/>
      <c r="JO196" s="30"/>
      <c r="JP196" s="30"/>
      <c r="JQ196" s="30"/>
      <c r="JR196" s="30"/>
      <c r="JS196" s="30"/>
      <c r="JT196" s="30"/>
      <c r="JU196" s="30"/>
      <c r="JV196" s="30"/>
      <c r="JW196" s="30"/>
      <c r="JX196" s="30"/>
      <c r="JY196" s="30"/>
      <c r="JZ196" s="30"/>
      <c r="KA196" s="30"/>
      <c r="KB196" s="30"/>
      <c r="KC196" s="30"/>
      <c r="KD196" s="30"/>
      <c r="KE196" s="30"/>
      <c r="KF196" s="30"/>
      <c r="KG196" s="30"/>
      <c r="KH196" s="30"/>
      <c r="KI196" s="30"/>
      <c r="KJ196" s="30"/>
      <c r="KK196" s="30"/>
      <c r="KL196" s="30"/>
      <c r="KM196" s="30"/>
      <c r="KN196" s="30"/>
      <c r="KO196" s="30"/>
      <c r="KP196" s="30"/>
      <c r="KQ196" s="30"/>
      <c r="KR196" s="30"/>
      <c r="KS196" s="30"/>
      <c r="KT196" s="30"/>
      <c r="KU196" s="30"/>
      <c r="KV196" s="30"/>
      <c r="KW196" s="30"/>
      <c r="KX196" s="30"/>
      <c r="KY196" s="30"/>
      <c r="KZ196" s="30"/>
      <c r="LA196" s="30"/>
      <c r="LB196" s="30"/>
      <c r="LC196" s="30"/>
      <c r="LD196" s="30"/>
      <c r="LE196" s="30"/>
      <c r="LF196" s="30"/>
      <c r="LG196" s="30"/>
      <c r="LH196" s="30"/>
      <c r="LI196" s="30"/>
      <c r="LJ196" s="30"/>
      <c r="LK196" s="30"/>
      <c r="LL196" s="30"/>
      <c r="LM196" s="30"/>
      <c r="LN196" s="30"/>
      <c r="LO196" s="30"/>
      <c r="LP196" s="30"/>
      <c r="LQ196" s="30"/>
      <c r="LR196" s="30"/>
      <c r="LS196" s="30"/>
      <c r="LT196" s="30"/>
      <c r="LU196" s="30"/>
      <c r="LV196" s="30"/>
      <c r="LW196" s="30"/>
      <c r="LX196" s="30"/>
      <c r="LY196" s="30"/>
      <c r="LZ196" s="30"/>
      <c r="MA196" s="30"/>
      <c r="MB196" s="30"/>
      <c r="MC196" s="30"/>
      <c r="MD196" s="30"/>
      <c r="ME196" s="30"/>
      <c r="MF196" s="30"/>
      <c r="MG196" s="30"/>
      <c r="MH196" s="30"/>
      <c r="MI196" s="30"/>
      <c r="MJ196" s="30"/>
      <c r="MK196" s="30"/>
      <c r="ML196" s="30"/>
      <c r="MM196" s="30"/>
      <c r="MN196" s="30"/>
      <c r="MO196" s="30"/>
      <c r="MP196" s="30"/>
      <c r="MQ196" s="30"/>
      <c r="MR196" s="30"/>
      <c r="MS196" s="30"/>
      <c r="MT196" s="30"/>
      <c r="MU196" s="30"/>
      <c r="MV196" s="30"/>
      <c r="MW196" s="30"/>
      <c r="MX196" s="30"/>
      <c r="MY196" s="30"/>
      <c r="MZ196" s="30"/>
      <c r="NA196" s="30"/>
      <c r="NB196" s="30"/>
      <c r="NC196" s="30"/>
      <c r="ND196" s="30"/>
      <c r="NE196" s="30"/>
      <c r="NF196" s="30"/>
      <c r="NG196" s="30"/>
      <c r="NH196" s="30"/>
      <c r="NI196" s="30"/>
      <c r="NJ196" s="30"/>
      <c r="NK196" s="30"/>
      <c r="NL196" s="30"/>
      <c r="NM196" s="30"/>
      <c r="NN196" s="30"/>
      <c r="NO196" s="30"/>
      <c r="NP196" s="30"/>
      <c r="NQ196" s="30"/>
      <c r="NR196" s="30"/>
    </row>
    <row r="197" spans="1:382" s="3" customFormat="1" ht="20.100000000000001" customHeight="1" x14ac:dyDescent="0.4">
      <c r="A197" s="29">
        <v>3</v>
      </c>
      <c r="B197" s="5">
        <v>1804</v>
      </c>
      <c r="C197" s="5" t="s">
        <v>283</v>
      </c>
      <c r="D197" s="5" t="s">
        <v>286</v>
      </c>
      <c r="E197" s="5" t="s">
        <v>4</v>
      </c>
      <c r="F197" s="5" t="s">
        <v>32</v>
      </c>
      <c r="G197" s="5" t="s">
        <v>32</v>
      </c>
      <c r="H197" s="5" t="s">
        <v>32</v>
      </c>
      <c r="I197" s="8">
        <v>46072.625</v>
      </c>
      <c r="J197" s="8"/>
      <c r="K197" s="8" t="str">
        <f>IF(OR(J197="",E197=""),"",J197+IFERROR(VLOOKUP(E197,リードタイム!$A$2:$C$9,3,FALSE),0))</f>
        <v/>
      </c>
      <c r="L197" s="5" t="s">
        <v>531</v>
      </c>
      <c r="M197" s="8"/>
      <c r="N197" s="8" t="str">
        <f>IF(OR(M197="",E197=""),"",M197+IFERROR(VLOOKUP(E197,リードタイム!$A$2:$D$9,4,FALSE),0))</f>
        <v/>
      </c>
      <c r="O197" s="5" t="s">
        <v>531</v>
      </c>
      <c r="P197" s="5" t="s">
        <v>532</v>
      </c>
      <c r="Q197" s="5" t="s">
        <v>32</v>
      </c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  <c r="FS197" s="30"/>
      <c r="FT197" s="30"/>
      <c r="FU197" s="30"/>
      <c r="FV197" s="30"/>
      <c r="FW197" s="30"/>
      <c r="FX197" s="30"/>
      <c r="FY197" s="30"/>
      <c r="FZ197" s="30"/>
      <c r="GA197" s="30"/>
      <c r="GB197" s="30"/>
      <c r="GC197" s="30"/>
      <c r="GD197" s="30"/>
      <c r="GE197" s="30"/>
      <c r="GF197" s="30"/>
      <c r="GG197" s="30"/>
      <c r="GH197" s="30"/>
      <c r="GI197" s="30"/>
      <c r="GJ197" s="30"/>
      <c r="GK197" s="30"/>
      <c r="GL197" s="30"/>
      <c r="GM197" s="30"/>
      <c r="GN197" s="30"/>
      <c r="GO197" s="30"/>
      <c r="GP197" s="30"/>
      <c r="GQ197" s="30"/>
      <c r="GR197" s="30"/>
      <c r="GS197" s="30"/>
      <c r="GT197" s="30"/>
      <c r="GU197" s="30"/>
      <c r="GV197" s="30"/>
      <c r="GW197" s="30"/>
      <c r="GX197" s="30"/>
      <c r="GY197" s="30"/>
      <c r="GZ197" s="30"/>
      <c r="HA197" s="30"/>
      <c r="HB197" s="30"/>
      <c r="HC197" s="30"/>
      <c r="HD197" s="30"/>
      <c r="HE197" s="30"/>
      <c r="HF197" s="30"/>
      <c r="HG197" s="30"/>
      <c r="HH197" s="30"/>
      <c r="HI197" s="30"/>
      <c r="HJ197" s="30"/>
      <c r="HK197" s="30"/>
      <c r="HL197" s="30"/>
      <c r="HM197" s="30"/>
      <c r="HN197" s="30"/>
      <c r="HO197" s="30"/>
      <c r="HP197" s="30"/>
      <c r="HQ197" s="30"/>
      <c r="HR197" s="30"/>
      <c r="HS197" s="30"/>
      <c r="HT197" s="30"/>
      <c r="HU197" s="30"/>
      <c r="HV197" s="30"/>
      <c r="HW197" s="30"/>
      <c r="HX197" s="30"/>
      <c r="HY197" s="30"/>
      <c r="HZ197" s="30"/>
      <c r="IA197" s="30"/>
      <c r="IB197" s="30"/>
      <c r="IC197" s="30"/>
      <c r="ID197" s="30"/>
      <c r="IE197" s="30"/>
      <c r="IF197" s="30"/>
      <c r="IG197" s="30"/>
      <c r="IH197" s="30"/>
      <c r="II197" s="30"/>
      <c r="IJ197" s="30"/>
      <c r="IK197" s="30"/>
      <c r="IL197" s="30"/>
      <c r="IM197" s="30"/>
      <c r="IN197" s="30"/>
      <c r="IO197" s="30"/>
      <c r="IP197" s="30"/>
      <c r="IQ197" s="30"/>
      <c r="IR197" s="30"/>
      <c r="IS197" s="30"/>
      <c r="IT197" s="30"/>
      <c r="IU197" s="30"/>
      <c r="IV197" s="30"/>
      <c r="IW197" s="30"/>
      <c r="IX197" s="30"/>
      <c r="IY197" s="30"/>
      <c r="IZ197" s="30"/>
      <c r="JA197" s="30"/>
      <c r="JB197" s="30"/>
      <c r="JC197" s="30"/>
      <c r="JD197" s="30"/>
      <c r="JE197" s="30"/>
      <c r="JF197" s="30"/>
      <c r="JG197" s="30"/>
      <c r="JH197" s="30"/>
      <c r="JI197" s="30"/>
      <c r="JJ197" s="30"/>
      <c r="JK197" s="30"/>
      <c r="JL197" s="30"/>
      <c r="JM197" s="30"/>
      <c r="JN197" s="30"/>
      <c r="JO197" s="30"/>
      <c r="JP197" s="30"/>
      <c r="JQ197" s="30"/>
      <c r="JR197" s="30"/>
      <c r="JS197" s="30"/>
      <c r="JT197" s="30"/>
      <c r="JU197" s="30"/>
      <c r="JV197" s="30"/>
      <c r="JW197" s="30"/>
      <c r="JX197" s="30"/>
      <c r="JY197" s="30"/>
      <c r="JZ197" s="30"/>
      <c r="KA197" s="30"/>
      <c r="KB197" s="30"/>
      <c r="KC197" s="30"/>
      <c r="KD197" s="30"/>
      <c r="KE197" s="30"/>
      <c r="KF197" s="30"/>
      <c r="KG197" s="30"/>
      <c r="KH197" s="30"/>
      <c r="KI197" s="30"/>
      <c r="KJ197" s="30"/>
      <c r="KK197" s="30"/>
      <c r="KL197" s="30"/>
      <c r="KM197" s="30"/>
      <c r="KN197" s="30"/>
      <c r="KO197" s="30"/>
      <c r="KP197" s="30"/>
      <c r="KQ197" s="30"/>
      <c r="KR197" s="30"/>
      <c r="KS197" s="30"/>
      <c r="KT197" s="30"/>
      <c r="KU197" s="30"/>
      <c r="KV197" s="30"/>
      <c r="KW197" s="30"/>
      <c r="KX197" s="30"/>
      <c r="KY197" s="30"/>
      <c r="KZ197" s="30"/>
      <c r="LA197" s="30"/>
      <c r="LB197" s="30"/>
      <c r="LC197" s="30"/>
      <c r="LD197" s="30"/>
      <c r="LE197" s="30"/>
      <c r="LF197" s="30"/>
      <c r="LG197" s="30"/>
      <c r="LH197" s="30"/>
      <c r="LI197" s="30"/>
      <c r="LJ197" s="30"/>
      <c r="LK197" s="30"/>
      <c r="LL197" s="30"/>
      <c r="LM197" s="30"/>
      <c r="LN197" s="30"/>
      <c r="LO197" s="30"/>
      <c r="LP197" s="30"/>
      <c r="LQ197" s="30"/>
      <c r="LR197" s="30"/>
      <c r="LS197" s="30"/>
      <c r="LT197" s="30"/>
      <c r="LU197" s="30"/>
      <c r="LV197" s="30"/>
      <c r="LW197" s="30"/>
      <c r="LX197" s="30"/>
      <c r="LY197" s="30"/>
      <c r="LZ197" s="30"/>
      <c r="MA197" s="30"/>
      <c r="MB197" s="30"/>
      <c r="MC197" s="30"/>
      <c r="MD197" s="30"/>
      <c r="ME197" s="30"/>
      <c r="MF197" s="30"/>
      <c r="MG197" s="30"/>
      <c r="MH197" s="30"/>
      <c r="MI197" s="30"/>
      <c r="MJ197" s="30"/>
      <c r="MK197" s="30"/>
      <c r="ML197" s="30"/>
      <c r="MM197" s="30"/>
      <c r="MN197" s="30"/>
      <c r="MO197" s="30"/>
      <c r="MP197" s="30"/>
      <c r="MQ197" s="30"/>
      <c r="MR197" s="30"/>
      <c r="MS197" s="30"/>
      <c r="MT197" s="30"/>
      <c r="MU197" s="30"/>
      <c r="MV197" s="30"/>
      <c r="MW197" s="30"/>
      <c r="MX197" s="30"/>
      <c r="MY197" s="30"/>
      <c r="MZ197" s="30"/>
      <c r="NA197" s="30"/>
      <c r="NB197" s="30"/>
      <c r="NC197" s="30"/>
      <c r="ND197" s="30"/>
      <c r="NE197" s="30"/>
      <c r="NF197" s="30"/>
      <c r="NG197" s="30"/>
      <c r="NH197" s="30"/>
      <c r="NI197" s="30"/>
      <c r="NJ197" s="30"/>
      <c r="NK197" s="30"/>
      <c r="NL197" s="30"/>
      <c r="NM197" s="30"/>
      <c r="NN197" s="30"/>
      <c r="NO197" s="30"/>
      <c r="NP197" s="30"/>
      <c r="NQ197" s="30"/>
      <c r="NR197" s="30"/>
    </row>
    <row r="198" spans="1:382" s="3" customFormat="1" ht="20.100000000000001" customHeight="1" x14ac:dyDescent="0.4">
      <c r="A198" s="29">
        <v>4</v>
      </c>
      <c r="B198" s="5">
        <v>332</v>
      </c>
      <c r="C198" s="5" t="s">
        <v>283</v>
      </c>
      <c r="D198" s="5" t="s">
        <v>76</v>
      </c>
      <c r="E198" s="5" t="s">
        <v>6</v>
      </c>
      <c r="F198" s="5" t="s">
        <v>32</v>
      </c>
      <c r="G198" s="5" t="s">
        <v>32</v>
      </c>
      <c r="H198" s="5" t="s">
        <v>32</v>
      </c>
      <c r="I198" s="8">
        <v>46112.625</v>
      </c>
      <c r="J198" s="8"/>
      <c r="K198" s="8" t="str">
        <f>IF(OR(J198="",E198=""),"",J198+IFERROR(VLOOKUP(E198,リードタイム!$A$2:$C$9,3,FALSE),0))</f>
        <v/>
      </c>
      <c r="L198" s="5" t="s">
        <v>531</v>
      </c>
      <c r="M198" s="8"/>
      <c r="N198" s="8" t="str">
        <f>IF(OR(M198="",E198=""),"",M198+IFERROR(VLOOKUP(E198,リードタイム!$A$2:$D$9,4,FALSE),0))</f>
        <v/>
      </c>
      <c r="O198" s="5" t="s">
        <v>531</v>
      </c>
      <c r="P198" s="5" t="s">
        <v>532</v>
      </c>
      <c r="Q198" s="5" t="s">
        <v>32</v>
      </c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  <c r="FS198" s="30"/>
      <c r="FT198" s="30"/>
      <c r="FU198" s="30"/>
      <c r="FV198" s="30"/>
      <c r="FW198" s="30"/>
      <c r="FX198" s="30"/>
      <c r="FY198" s="30"/>
      <c r="FZ198" s="30"/>
      <c r="GA198" s="30"/>
      <c r="GB198" s="30"/>
      <c r="GC198" s="30"/>
      <c r="GD198" s="30"/>
      <c r="GE198" s="30"/>
      <c r="GF198" s="30"/>
      <c r="GG198" s="30"/>
      <c r="GH198" s="30"/>
      <c r="GI198" s="30"/>
      <c r="GJ198" s="30"/>
      <c r="GK198" s="30"/>
      <c r="GL198" s="30"/>
      <c r="GM198" s="30"/>
      <c r="GN198" s="30"/>
      <c r="GO198" s="30"/>
      <c r="GP198" s="30"/>
      <c r="GQ198" s="30"/>
      <c r="GR198" s="30"/>
      <c r="GS198" s="30"/>
      <c r="GT198" s="30"/>
      <c r="GU198" s="30"/>
      <c r="GV198" s="30"/>
      <c r="GW198" s="30"/>
      <c r="GX198" s="30"/>
      <c r="GY198" s="30"/>
      <c r="GZ198" s="30"/>
      <c r="HA198" s="30"/>
      <c r="HB198" s="30"/>
      <c r="HC198" s="30"/>
      <c r="HD198" s="30"/>
      <c r="HE198" s="30"/>
      <c r="HF198" s="30"/>
      <c r="HG198" s="30"/>
      <c r="HH198" s="30"/>
      <c r="HI198" s="30"/>
      <c r="HJ198" s="30"/>
      <c r="HK198" s="30"/>
      <c r="HL198" s="30"/>
      <c r="HM198" s="30"/>
      <c r="HN198" s="30"/>
      <c r="HO198" s="30"/>
      <c r="HP198" s="30"/>
      <c r="HQ198" s="30"/>
      <c r="HR198" s="30"/>
      <c r="HS198" s="30"/>
      <c r="HT198" s="30"/>
      <c r="HU198" s="30"/>
      <c r="HV198" s="30"/>
      <c r="HW198" s="30"/>
      <c r="HX198" s="30"/>
      <c r="HY198" s="30"/>
      <c r="HZ198" s="30"/>
      <c r="IA198" s="30"/>
      <c r="IB198" s="30"/>
      <c r="IC198" s="30"/>
      <c r="ID198" s="30"/>
      <c r="IE198" s="30"/>
      <c r="IF198" s="30"/>
      <c r="IG198" s="30"/>
      <c r="IH198" s="30"/>
      <c r="II198" s="30"/>
      <c r="IJ198" s="30"/>
      <c r="IK198" s="30"/>
      <c r="IL198" s="30"/>
      <c r="IM198" s="30"/>
      <c r="IN198" s="30"/>
      <c r="IO198" s="30"/>
      <c r="IP198" s="30"/>
      <c r="IQ198" s="30"/>
      <c r="IR198" s="30"/>
      <c r="IS198" s="30"/>
      <c r="IT198" s="30"/>
      <c r="IU198" s="30"/>
      <c r="IV198" s="30"/>
      <c r="IW198" s="30"/>
      <c r="IX198" s="30"/>
      <c r="IY198" s="30"/>
      <c r="IZ198" s="30"/>
      <c r="JA198" s="30"/>
      <c r="JB198" s="30"/>
      <c r="JC198" s="30"/>
      <c r="JD198" s="30"/>
      <c r="JE198" s="30"/>
      <c r="JF198" s="30"/>
      <c r="JG198" s="30"/>
      <c r="JH198" s="30"/>
      <c r="JI198" s="30"/>
      <c r="JJ198" s="30"/>
      <c r="JK198" s="30"/>
      <c r="JL198" s="30"/>
      <c r="JM198" s="30"/>
      <c r="JN198" s="30"/>
      <c r="JO198" s="30"/>
      <c r="JP198" s="30"/>
      <c r="JQ198" s="30"/>
      <c r="JR198" s="30"/>
      <c r="JS198" s="30"/>
      <c r="JT198" s="30"/>
      <c r="JU198" s="30"/>
      <c r="JV198" s="30"/>
      <c r="JW198" s="30"/>
      <c r="JX198" s="30"/>
      <c r="JY198" s="30"/>
      <c r="JZ198" s="30"/>
      <c r="KA198" s="30"/>
      <c r="KB198" s="30"/>
      <c r="KC198" s="30"/>
      <c r="KD198" s="30"/>
      <c r="KE198" s="30"/>
      <c r="KF198" s="30"/>
      <c r="KG198" s="30"/>
      <c r="KH198" s="30"/>
      <c r="KI198" s="30"/>
      <c r="KJ198" s="30"/>
      <c r="KK198" s="30"/>
      <c r="KL198" s="30"/>
      <c r="KM198" s="30"/>
      <c r="KN198" s="30"/>
      <c r="KO198" s="30"/>
      <c r="KP198" s="30"/>
      <c r="KQ198" s="30"/>
      <c r="KR198" s="30"/>
      <c r="KS198" s="30"/>
      <c r="KT198" s="30"/>
      <c r="KU198" s="30"/>
      <c r="KV198" s="30"/>
      <c r="KW198" s="30"/>
      <c r="KX198" s="30"/>
      <c r="KY198" s="30"/>
      <c r="KZ198" s="30"/>
      <c r="LA198" s="30"/>
      <c r="LB198" s="30"/>
      <c r="LC198" s="30"/>
      <c r="LD198" s="30"/>
      <c r="LE198" s="30"/>
      <c r="LF198" s="30"/>
      <c r="LG198" s="30"/>
      <c r="LH198" s="30"/>
      <c r="LI198" s="30"/>
      <c r="LJ198" s="30"/>
      <c r="LK198" s="30"/>
      <c r="LL198" s="30"/>
      <c r="LM198" s="30"/>
      <c r="LN198" s="30"/>
      <c r="LO198" s="30"/>
      <c r="LP198" s="30"/>
      <c r="LQ198" s="30"/>
      <c r="LR198" s="30"/>
      <c r="LS198" s="30"/>
      <c r="LT198" s="30"/>
      <c r="LU198" s="30"/>
      <c r="LV198" s="30"/>
      <c r="LW198" s="30"/>
      <c r="LX198" s="30"/>
      <c r="LY198" s="30"/>
      <c r="LZ198" s="30"/>
      <c r="MA198" s="30"/>
      <c r="MB198" s="30"/>
      <c r="MC198" s="30"/>
      <c r="MD198" s="30"/>
      <c r="ME198" s="30"/>
      <c r="MF198" s="30"/>
      <c r="MG198" s="30"/>
      <c r="MH198" s="30"/>
      <c r="MI198" s="30"/>
      <c r="MJ198" s="30"/>
      <c r="MK198" s="30"/>
      <c r="ML198" s="30"/>
      <c r="MM198" s="30"/>
      <c r="MN198" s="30"/>
      <c r="MO198" s="30"/>
      <c r="MP198" s="30"/>
      <c r="MQ198" s="30"/>
      <c r="MR198" s="30"/>
      <c r="MS198" s="30"/>
      <c r="MT198" s="30"/>
      <c r="MU198" s="30"/>
      <c r="MV198" s="30"/>
      <c r="MW198" s="30"/>
      <c r="MX198" s="30"/>
      <c r="MY198" s="30"/>
      <c r="MZ198" s="30"/>
      <c r="NA198" s="30"/>
      <c r="NB198" s="30"/>
      <c r="NC198" s="30"/>
      <c r="ND198" s="30"/>
      <c r="NE198" s="30"/>
      <c r="NF198" s="30"/>
      <c r="NG198" s="30"/>
      <c r="NH198" s="30"/>
      <c r="NI198" s="30"/>
      <c r="NJ198" s="30"/>
      <c r="NK198" s="30"/>
      <c r="NL198" s="30"/>
      <c r="NM198" s="30"/>
      <c r="NN198" s="30"/>
      <c r="NO198" s="30"/>
      <c r="NP198" s="30"/>
      <c r="NQ198" s="30"/>
      <c r="NR198" s="30"/>
    </row>
    <row r="199" spans="1:382" s="3" customFormat="1" ht="20.100000000000001" customHeight="1" x14ac:dyDescent="0.4">
      <c r="A199" s="29">
        <v>5</v>
      </c>
      <c r="B199" s="5">
        <v>1804</v>
      </c>
      <c r="C199" s="5" t="s">
        <v>283</v>
      </c>
      <c r="D199" s="5" t="s">
        <v>287</v>
      </c>
      <c r="E199" s="5" t="s">
        <v>4</v>
      </c>
      <c r="F199" s="5" t="s">
        <v>32</v>
      </c>
      <c r="G199" s="5" t="s">
        <v>32</v>
      </c>
      <c r="H199" s="5" t="s">
        <v>32</v>
      </c>
      <c r="I199" s="8"/>
      <c r="J199" s="8"/>
      <c r="K199" s="8" t="str">
        <f>IF(OR(J199="",E199=""),"",J199+IFERROR(VLOOKUP(E199,リードタイム!$A$2:$C$9,3,FALSE),0))</f>
        <v/>
      </c>
      <c r="L199" s="5" t="s">
        <v>530</v>
      </c>
      <c r="M199" s="8"/>
      <c r="N199" s="8" t="str">
        <f>IF(OR(M199="",E199=""),"",M199+IFERROR(VLOOKUP(E199,リードタイム!$A$2:$D$9,4,FALSE),0))</f>
        <v/>
      </c>
      <c r="O199" s="5" t="s">
        <v>530</v>
      </c>
      <c r="P199" s="5" t="s">
        <v>530</v>
      </c>
      <c r="Q199" s="5" t="s">
        <v>288</v>
      </c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  <c r="FS199" s="30"/>
      <c r="FT199" s="30"/>
      <c r="FU199" s="30"/>
      <c r="FV199" s="30"/>
      <c r="FW199" s="30"/>
      <c r="FX199" s="30"/>
      <c r="FY199" s="30"/>
      <c r="FZ199" s="30"/>
      <c r="GA199" s="30"/>
      <c r="GB199" s="30"/>
      <c r="GC199" s="30"/>
      <c r="GD199" s="30"/>
      <c r="GE199" s="30"/>
      <c r="GF199" s="30"/>
      <c r="GG199" s="30"/>
      <c r="GH199" s="30"/>
      <c r="GI199" s="30"/>
      <c r="GJ199" s="30"/>
      <c r="GK199" s="30"/>
      <c r="GL199" s="30"/>
      <c r="GM199" s="30"/>
      <c r="GN199" s="30"/>
      <c r="GO199" s="30"/>
      <c r="GP199" s="30"/>
      <c r="GQ199" s="30"/>
      <c r="GR199" s="30"/>
      <c r="GS199" s="30"/>
      <c r="GT199" s="30"/>
      <c r="GU199" s="30"/>
      <c r="GV199" s="30"/>
      <c r="GW199" s="30"/>
      <c r="GX199" s="30"/>
      <c r="GY199" s="30"/>
      <c r="GZ199" s="30"/>
      <c r="HA199" s="30"/>
      <c r="HB199" s="30"/>
      <c r="HC199" s="30"/>
      <c r="HD199" s="30"/>
      <c r="HE199" s="30"/>
      <c r="HF199" s="30"/>
      <c r="HG199" s="30"/>
      <c r="HH199" s="30"/>
      <c r="HI199" s="30"/>
      <c r="HJ199" s="30"/>
      <c r="HK199" s="30"/>
      <c r="HL199" s="30"/>
      <c r="HM199" s="30"/>
      <c r="HN199" s="30"/>
      <c r="HO199" s="30"/>
      <c r="HP199" s="30"/>
      <c r="HQ199" s="30"/>
      <c r="HR199" s="30"/>
      <c r="HS199" s="30"/>
      <c r="HT199" s="30"/>
      <c r="HU199" s="30"/>
      <c r="HV199" s="30"/>
      <c r="HW199" s="30"/>
      <c r="HX199" s="30"/>
      <c r="HY199" s="30"/>
      <c r="HZ199" s="30"/>
      <c r="IA199" s="30"/>
      <c r="IB199" s="30"/>
      <c r="IC199" s="30"/>
      <c r="ID199" s="30"/>
      <c r="IE199" s="30"/>
      <c r="IF199" s="30"/>
      <c r="IG199" s="30"/>
      <c r="IH199" s="30"/>
      <c r="II199" s="30"/>
      <c r="IJ199" s="30"/>
      <c r="IK199" s="30"/>
      <c r="IL199" s="30"/>
      <c r="IM199" s="30"/>
      <c r="IN199" s="30"/>
      <c r="IO199" s="30"/>
      <c r="IP199" s="30"/>
      <c r="IQ199" s="30"/>
      <c r="IR199" s="30"/>
      <c r="IS199" s="30"/>
      <c r="IT199" s="30"/>
      <c r="IU199" s="30"/>
      <c r="IV199" s="30"/>
      <c r="IW199" s="30"/>
      <c r="IX199" s="30"/>
      <c r="IY199" s="30"/>
      <c r="IZ199" s="30"/>
      <c r="JA199" s="30"/>
      <c r="JB199" s="30"/>
      <c r="JC199" s="30"/>
      <c r="JD199" s="30"/>
      <c r="JE199" s="30"/>
      <c r="JF199" s="30"/>
      <c r="JG199" s="30"/>
      <c r="JH199" s="30"/>
      <c r="JI199" s="30"/>
      <c r="JJ199" s="30"/>
      <c r="JK199" s="30"/>
      <c r="JL199" s="30"/>
      <c r="JM199" s="30"/>
      <c r="JN199" s="30"/>
      <c r="JO199" s="30"/>
      <c r="JP199" s="30"/>
      <c r="JQ199" s="30"/>
      <c r="JR199" s="30"/>
      <c r="JS199" s="30"/>
      <c r="JT199" s="30"/>
      <c r="JU199" s="30"/>
      <c r="JV199" s="30"/>
      <c r="JW199" s="30"/>
      <c r="JX199" s="30"/>
      <c r="JY199" s="30"/>
      <c r="JZ199" s="30"/>
      <c r="KA199" s="30"/>
      <c r="KB199" s="30"/>
      <c r="KC199" s="30"/>
      <c r="KD199" s="30"/>
      <c r="KE199" s="30"/>
      <c r="KF199" s="30"/>
      <c r="KG199" s="30"/>
      <c r="KH199" s="30"/>
      <c r="KI199" s="30"/>
      <c r="KJ199" s="30"/>
      <c r="KK199" s="30"/>
      <c r="KL199" s="30"/>
      <c r="KM199" s="30"/>
      <c r="KN199" s="30"/>
      <c r="KO199" s="30"/>
      <c r="KP199" s="30"/>
      <c r="KQ199" s="30"/>
      <c r="KR199" s="30"/>
      <c r="KS199" s="30"/>
      <c r="KT199" s="30"/>
      <c r="KU199" s="30"/>
      <c r="KV199" s="30"/>
      <c r="KW199" s="30"/>
      <c r="KX199" s="30"/>
      <c r="KY199" s="30"/>
      <c r="KZ199" s="30"/>
      <c r="LA199" s="30"/>
      <c r="LB199" s="30"/>
      <c r="LC199" s="30"/>
      <c r="LD199" s="30"/>
      <c r="LE199" s="30"/>
      <c r="LF199" s="30"/>
      <c r="LG199" s="30"/>
      <c r="LH199" s="30"/>
      <c r="LI199" s="30"/>
      <c r="LJ199" s="30"/>
      <c r="LK199" s="30"/>
      <c r="LL199" s="30"/>
      <c r="LM199" s="30"/>
      <c r="LN199" s="30"/>
      <c r="LO199" s="30"/>
      <c r="LP199" s="30"/>
      <c r="LQ199" s="30"/>
      <c r="LR199" s="30"/>
      <c r="LS199" s="30"/>
      <c r="LT199" s="30"/>
      <c r="LU199" s="30"/>
      <c r="LV199" s="30"/>
      <c r="LW199" s="30"/>
      <c r="LX199" s="30"/>
      <c r="LY199" s="30"/>
      <c r="LZ199" s="30"/>
      <c r="MA199" s="30"/>
      <c r="MB199" s="30"/>
      <c r="MC199" s="30"/>
      <c r="MD199" s="30"/>
      <c r="ME199" s="30"/>
      <c r="MF199" s="30"/>
      <c r="MG199" s="30"/>
      <c r="MH199" s="30"/>
      <c r="MI199" s="30"/>
      <c r="MJ199" s="30"/>
      <c r="MK199" s="30"/>
      <c r="ML199" s="30"/>
      <c r="MM199" s="30"/>
      <c r="MN199" s="30"/>
      <c r="MO199" s="30"/>
      <c r="MP199" s="30"/>
      <c r="MQ199" s="30"/>
      <c r="MR199" s="30"/>
      <c r="MS199" s="30"/>
      <c r="MT199" s="30"/>
      <c r="MU199" s="30"/>
      <c r="MV199" s="30"/>
      <c r="MW199" s="30"/>
      <c r="MX199" s="30"/>
      <c r="MY199" s="30"/>
      <c r="MZ199" s="30"/>
      <c r="NA199" s="30"/>
      <c r="NB199" s="30"/>
      <c r="NC199" s="30"/>
      <c r="ND199" s="30"/>
      <c r="NE199" s="30"/>
      <c r="NF199" s="30"/>
      <c r="NG199" s="30"/>
      <c r="NH199" s="30"/>
      <c r="NI199" s="30"/>
      <c r="NJ199" s="30"/>
      <c r="NK199" s="30"/>
      <c r="NL199" s="30"/>
      <c r="NM199" s="30"/>
      <c r="NN199" s="30"/>
      <c r="NO199" s="30"/>
      <c r="NP199" s="30"/>
      <c r="NQ199" s="30"/>
      <c r="NR199" s="30"/>
    </row>
    <row r="200" spans="1:382" s="3" customFormat="1" ht="20.100000000000001" customHeight="1" x14ac:dyDescent="0.4">
      <c r="A200" s="29">
        <v>1</v>
      </c>
      <c r="B200" s="5">
        <v>1927</v>
      </c>
      <c r="C200" s="5" t="s">
        <v>289</v>
      </c>
      <c r="D200" s="5" t="s">
        <v>139</v>
      </c>
      <c r="E200" s="5" t="s">
        <v>4</v>
      </c>
      <c r="F200" s="5" t="s">
        <v>32</v>
      </c>
      <c r="G200" s="5" t="s">
        <v>32</v>
      </c>
      <c r="H200" s="5" t="s">
        <v>32</v>
      </c>
      <c r="I200" s="8"/>
      <c r="J200" s="8"/>
      <c r="K200" s="8" t="str">
        <f>IF(OR(J200="",E200=""),"",J200+IFERROR(VLOOKUP(E200,リードタイム!$A$2:$C$9,3,FALSE),0))</f>
        <v/>
      </c>
      <c r="L200" s="5" t="s">
        <v>531</v>
      </c>
      <c r="M200" s="8"/>
      <c r="N200" s="8" t="str">
        <f>IF(OR(M200="",E200=""),"",M200+IFERROR(VLOOKUP(E200,リードタイム!$A$2:$D$9,4,FALSE),0))</f>
        <v/>
      </c>
      <c r="O200" s="5" t="s">
        <v>531</v>
      </c>
      <c r="P200" s="5" t="s">
        <v>533</v>
      </c>
      <c r="Q200" s="5" t="s">
        <v>290</v>
      </c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  <c r="FS200" s="30"/>
      <c r="FT200" s="30"/>
      <c r="FU200" s="30"/>
      <c r="FV200" s="30"/>
      <c r="FW200" s="30"/>
      <c r="FX200" s="30"/>
      <c r="FY200" s="30"/>
      <c r="FZ200" s="30"/>
      <c r="GA200" s="30"/>
      <c r="GB200" s="30"/>
      <c r="GC200" s="30"/>
      <c r="GD200" s="30"/>
      <c r="GE200" s="30"/>
      <c r="GF200" s="30"/>
      <c r="GG200" s="30"/>
      <c r="GH200" s="30"/>
      <c r="GI200" s="30"/>
      <c r="GJ200" s="30"/>
      <c r="GK200" s="30"/>
      <c r="GL200" s="30"/>
      <c r="GM200" s="30"/>
      <c r="GN200" s="30"/>
      <c r="GO200" s="30"/>
      <c r="GP200" s="30"/>
      <c r="GQ200" s="30"/>
      <c r="GR200" s="30"/>
      <c r="GS200" s="30"/>
      <c r="GT200" s="30"/>
      <c r="GU200" s="30"/>
      <c r="GV200" s="30"/>
      <c r="GW200" s="30"/>
      <c r="GX200" s="30"/>
      <c r="GY200" s="30"/>
      <c r="GZ200" s="30"/>
      <c r="HA200" s="30"/>
      <c r="HB200" s="30"/>
      <c r="HC200" s="30"/>
      <c r="HD200" s="30"/>
      <c r="HE200" s="30"/>
      <c r="HF200" s="30"/>
      <c r="HG200" s="30"/>
      <c r="HH200" s="30"/>
      <c r="HI200" s="30"/>
      <c r="HJ200" s="30"/>
      <c r="HK200" s="30"/>
      <c r="HL200" s="30"/>
      <c r="HM200" s="30"/>
      <c r="HN200" s="30"/>
      <c r="HO200" s="30"/>
      <c r="HP200" s="30"/>
      <c r="HQ200" s="30"/>
      <c r="HR200" s="30"/>
      <c r="HS200" s="30"/>
      <c r="HT200" s="30"/>
      <c r="HU200" s="30"/>
      <c r="HV200" s="30"/>
      <c r="HW200" s="30"/>
      <c r="HX200" s="30"/>
      <c r="HY200" s="30"/>
      <c r="HZ200" s="30"/>
      <c r="IA200" s="30"/>
      <c r="IB200" s="30"/>
      <c r="IC200" s="30"/>
      <c r="ID200" s="30"/>
      <c r="IE200" s="30"/>
      <c r="IF200" s="30"/>
      <c r="IG200" s="30"/>
      <c r="IH200" s="30"/>
      <c r="II200" s="30"/>
      <c r="IJ200" s="30"/>
      <c r="IK200" s="30"/>
      <c r="IL200" s="30"/>
      <c r="IM200" s="30"/>
      <c r="IN200" s="30"/>
      <c r="IO200" s="30"/>
      <c r="IP200" s="30"/>
      <c r="IQ200" s="30"/>
      <c r="IR200" s="30"/>
      <c r="IS200" s="30"/>
      <c r="IT200" s="30"/>
      <c r="IU200" s="30"/>
      <c r="IV200" s="30"/>
      <c r="IW200" s="30"/>
      <c r="IX200" s="30"/>
      <c r="IY200" s="30"/>
      <c r="IZ200" s="30"/>
      <c r="JA200" s="30"/>
      <c r="JB200" s="30"/>
      <c r="JC200" s="30"/>
      <c r="JD200" s="30"/>
      <c r="JE200" s="30"/>
      <c r="JF200" s="30"/>
      <c r="JG200" s="30"/>
      <c r="JH200" s="30"/>
      <c r="JI200" s="30"/>
      <c r="JJ200" s="30"/>
      <c r="JK200" s="30"/>
      <c r="JL200" s="30"/>
      <c r="JM200" s="30"/>
      <c r="JN200" s="30"/>
      <c r="JO200" s="30"/>
      <c r="JP200" s="30"/>
      <c r="JQ200" s="30"/>
      <c r="JR200" s="30"/>
      <c r="JS200" s="30"/>
      <c r="JT200" s="30"/>
      <c r="JU200" s="30"/>
      <c r="JV200" s="30"/>
      <c r="JW200" s="30"/>
      <c r="JX200" s="30"/>
      <c r="JY200" s="30"/>
      <c r="JZ200" s="30"/>
      <c r="KA200" s="30"/>
      <c r="KB200" s="30"/>
      <c r="KC200" s="30"/>
      <c r="KD200" s="30"/>
      <c r="KE200" s="30"/>
      <c r="KF200" s="30"/>
      <c r="KG200" s="30"/>
      <c r="KH200" s="30"/>
      <c r="KI200" s="30"/>
      <c r="KJ200" s="30"/>
      <c r="KK200" s="30"/>
      <c r="KL200" s="30"/>
      <c r="KM200" s="30"/>
      <c r="KN200" s="30"/>
      <c r="KO200" s="30"/>
      <c r="KP200" s="30"/>
      <c r="KQ200" s="30"/>
      <c r="KR200" s="30"/>
      <c r="KS200" s="30"/>
      <c r="KT200" s="30"/>
      <c r="KU200" s="30"/>
      <c r="KV200" s="30"/>
      <c r="KW200" s="30"/>
      <c r="KX200" s="30"/>
      <c r="KY200" s="30"/>
      <c r="KZ200" s="30"/>
      <c r="LA200" s="30"/>
      <c r="LB200" s="30"/>
      <c r="LC200" s="30"/>
      <c r="LD200" s="30"/>
      <c r="LE200" s="30"/>
      <c r="LF200" s="30"/>
      <c r="LG200" s="30"/>
      <c r="LH200" s="30"/>
      <c r="LI200" s="30"/>
      <c r="LJ200" s="30"/>
      <c r="LK200" s="30"/>
      <c r="LL200" s="30"/>
      <c r="LM200" s="30"/>
      <c r="LN200" s="30"/>
      <c r="LO200" s="30"/>
      <c r="LP200" s="30"/>
      <c r="LQ200" s="30"/>
      <c r="LR200" s="30"/>
      <c r="LS200" s="30"/>
      <c r="LT200" s="30"/>
      <c r="LU200" s="30"/>
      <c r="LV200" s="30"/>
      <c r="LW200" s="30"/>
      <c r="LX200" s="30"/>
      <c r="LY200" s="30"/>
      <c r="LZ200" s="30"/>
      <c r="MA200" s="30"/>
      <c r="MB200" s="30"/>
      <c r="MC200" s="30"/>
      <c r="MD200" s="30"/>
      <c r="ME200" s="30"/>
      <c r="MF200" s="30"/>
      <c r="MG200" s="30"/>
      <c r="MH200" s="30"/>
      <c r="MI200" s="30"/>
      <c r="MJ200" s="30"/>
      <c r="MK200" s="30"/>
      <c r="ML200" s="30"/>
      <c r="MM200" s="30"/>
      <c r="MN200" s="30"/>
      <c r="MO200" s="30"/>
      <c r="MP200" s="30"/>
      <c r="MQ200" s="30"/>
      <c r="MR200" s="30"/>
      <c r="MS200" s="30"/>
      <c r="MT200" s="30"/>
      <c r="MU200" s="30"/>
      <c r="MV200" s="30"/>
      <c r="MW200" s="30"/>
      <c r="MX200" s="30"/>
      <c r="MY200" s="30"/>
      <c r="MZ200" s="30"/>
      <c r="NA200" s="30"/>
      <c r="NB200" s="30"/>
      <c r="NC200" s="30"/>
      <c r="ND200" s="30"/>
      <c r="NE200" s="30"/>
      <c r="NF200" s="30"/>
      <c r="NG200" s="30"/>
      <c r="NH200" s="30"/>
      <c r="NI200" s="30"/>
      <c r="NJ200" s="30"/>
      <c r="NK200" s="30"/>
      <c r="NL200" s="30"/>
      <c r="NM200" s="30"/>
      <c r="NN200" s="30"/>
      <c r="NO200" s="30"/>
      <c r="NP200" s="30"/>
      <c r="NQ200" s="30"/>
      <c r="NR200" s="30"/>
    </row>
    <row r="201" spans="1:382" s="3" customFormat="1" ht="20.100000000000001" customHeight="1" x14ac:dyDescent="0.4">
      <c r="A201" s="29">
        <v>1</v>
      </c>
      <c r="B201" s="5">
        <v>1985</v>
      </c>
      <c r="C201" s="5" t="s">
        <v>291</v>
      </c>
      <c r="D201" s="5" t="s">
        <v>292</v>
      </c>
      <c r="E201" s="5" t="s">
        <v>18</v>
      </c>
      <c r="F201" s="5" t="s">
        <v>32</v>
      </c>
      <c r="G201" s="5" t="s">
        <v>32</v>
      </c>
      <c r="H201" s="5" t="s">
        <v>32</v>
      </c>
      <c r="I201" s="8"/>
      <c r="J201" s="8"/>
      <c r="K201" s="8" t="str">
        <f>IF(OR(J201="",E201=""),"",J201+IFERROR(VLOOKUP(E201,リードタイム!$A$2:$C$9,3,FALSE),0))</f>
        <v/>
      </c>
      <c r="L201" s="5" t="s">
        <v>530</v>
      </c>
      <c r="M201" s="8"/>
      <c r="N201" s="8" t="str">
        <f>IF(OR(M201="",E201=""),"",M201+IFERROR(VLOOKUP(E201,リードタイム!$A$2:$D$9,4,FALSE),0))</f>
        <v/>
      </c>
      <c r="O201" s="5" t="s">
        <v>530</v>
      </c>
      <c r="P201" s="5" t="s">
        <v>530</v>
      </c>
      <c r="Q201" s="5" t="s">
        <v>293</v>
      </c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  <c r="FS201" s="30"/>
      <c r="FT201" s="30"/>
      <c r="FU201" s="30"/>
      <c r="FV201" s="30"/>
      <c r="FW201" s="30"/>
      <c r="FX201" s="30"/>
      <c r="FY201" s="30"/>
      <c r="FZ201" s="30"/>
      <c r="GA201" s="30"/>
      <c r="GB201" s="30"/>
      <c r="GC201" s="30"/>
      <c r="GD201" s="30"/>
      <c r="GE201" s="30"/>
      <c r="GF201" s="30"/>
      <c r="GG201" s="30"/>
      <c r="GH201" s="30"/>
      <c r="GI201" s="30"/>
      <c r="GJ201" s="30"/>
      <c r="GK201" s="30"/>
      <c r="GL201" s="30"/>
      <c r="GM201" s="30"/>
      <c r="GN201" s="30"/>
      <c r="GO201" s="30"/>
      <c r="GP201" s="30"/>
      <c r="GQ201" s="30"/>
      <c r="GR201" s="30"/>
      <c r="GS201" s="30"/>
      <c r="GT201" s="30"/>
      <c r="GU201" s="30"/>
      <c r="GV201" s="30"/>
      <c r="GW201" s="30"/>
      <c r="GX201" s="30"/>
      <c r="GY201" s="30"/>
      <c r="GZ201" s="30"/>
      <c r="HA201" s="30"/>
      <c r="HB201" s="30"/>
      <c r="HC201" s="30"/>
      <c r="HD201" s="30"/>
      <c r="HE201" s="30"/>
      <c r="HF201" s="30"/>
      <c r="HG201" s="30"/>
      <c r="HH201" s="30"/>
      <c r="HI201" s="30"/>
      <c r="HJ201" s="30"/>
      <c r="HK201" s="30"/>
      <c r="HL201" s="30"/>
      <c r="HM201" s="30"/>
      <c r="HN201" s="30"/>
      <c r="HO201" s="30"/>
      <c r="HP201" s="30"/>
      <c r="HQ201" s="30"/>
      <c r="HR201" s="30"/>
      <c r="HS201" s="30"/>
      <c r="HT201" s="30"/>
      <c r="HU201" s="30"/>
      <c r="HV201" s="30"/>
      <c r="HW201" s="30"/>
      <c r="HX201" s="30"/>
      <c r="HY201" s="30"/>
      <c r="HZ201" s="30"/>
      <c r="IA201" s="30"/>
      <c r="IB201" s="30"/>
      <c r="IC201" s="30"/>
      <c r="ID201" s="30"/>
      <c r="IE201" s="30"/>
      <c r="IF201" s="30"/>
      <c r="IG201" s="30"/>
      <c r="IH201" s="30"/>
      <c r="II201" s="30"/>
      <c r="IJ201" s="30"/>
      <c r="IK201" s="30"/>
      <c r="IL201" s="30"/>
      <c r="IM201" s="30"/>
      <c r="IN201" s="30"/>
      <c r="IO201" s="30"/>
      <c r="IP201" s="30"/>
      <c r="IQ201" s="30"/>
      <c r="IR201" s="30"/>
      <c r="IS201" s="30"/>
      <c r="IT201" s="30"/>
      <c r="IU201" s="30"/>
      <c r="IV201" s="30"/>
      <c r="IW201" s="30"/>
      <c r="IX201" s="30"/>
      <c r="IY201" s="30"/>
      <c r="IZ201" s="30"/>
      <c r="JA201" s="30"/>
      <c r="JB201" s="30"/>
      <c r="JC201" s="30"/>
      <c r="JD201" s="30"/>
      <c r="JE201" s="30"/>
      <c r="JF201" s="30"/>
      <c r="JG201" s="30"/>
      <c r="JH201" s="30"/>
      <c r="JI201" s="30"/>
      <c r="JJ201" s="30"/>
      <c r="JK201" s="30"/>
      <c r="JL201" s="30"/>
      <c r="JM201" s="30"/>
      <c r="JN201" s="30"/>
      <c r="JO201" s="30"/>
      <c r="JP201" s="30"/>
      <c r="JQ201" s="30"/>
      <c r="JR201" s="30"/>
      <c r="JS201" s="30"/>
      <c r="JT201" s="30"/>
      <c r="JU201" s="30"/>
      <c r="JV201" s="30"/>
      <c r="JW201" s="30"/>
      <c r="JX201" s="30"/>
      <c r="JY201" s="30"/>
      <c r="JZ201" s="30"/>
      <c r="KA201" s="30"/>
      <c r="KB201" s="30"/>
      <c r="KC201" s="30"/>
      <c r="KD201" s="30"/>
      <c r="KE201" s="30"/>
      <c r="KF201" s="30"/>
      <c r="KG201" s="30"/>
      <c r="KH201" s="30"/>
      <c r="KI201" s="30"/>
      <c r="KJ201" s="30"/>
      <c r="KK201" s="30"/>
      <c r="KL201" s="30"/>
      <c r="KM201" s="30"/>
      <c r="KN201" s="30"/>
      <c r="KO201" s="30"/>
      <c r="KP201" s="30"/>
      <c r="KQ201" s="30"/>
      <c r="KR201" s="30"/>
      <c r="KS201" s="30"/>
      <c r="KT201" s="30"/>
      <c r="KU201" s="30"/>
      <c r="KV201" s="30"/>
      <c r="KW201" s="30"/>
      <c r="KX201" s="30"/>
      <c r="KY201" s="30"/>
      <c r="KZ201" s="30"/>
      <c r="LA201" s="30"/>
      <c r="LB201" s="30"/>
      <c r="LC201" s="30"/>
      <c r="LD201" s="30"/>
      <c r="LE201" s="30"/>
      <c r="LF201" s="30"/>
      <c r="LG201" s="30"/>
      <c r="LH201" s="30"/>
      <c r="LI201" s="30"/>
      <c r="LJ201" s="30"/>
      <c r="LK201" s="30"/>
      <c r="LL201" s="30"/>
      <c r="LM201" s="30"/>
      <c r="LN201" s="30"/>
      <c r="LO201" s="30"/>
      <c r="LP201" s="30"/>
      <c r="LQ201" s="30"/>
      <c r="LR201" s="30"/>
      <c r="LS201" s="30"/>
      <c r="LT201" s="30"/>
      <c r="LU201" s="30"/>
      <c r="LV201" s="30"/>
      <c r="LW201" s="30"/>
      <c r="LX201" s="30"/>
      <c r="LY201" s="30"/>
      <c r="LZ201" s="30"/>
      <c r="MA201" s="30"/>
      <c r="MB201" s="30"/>
      <c r="MC201" s="30"/>
      <c r="MD201" s="30"/>
      <c r="ME201" s="30"/>
      <c r="MF201" s="30"/>
      <c r="MG201" s="30"/>
      <c r="MH201" s="30"/>
      <c r="MI201" s="30"/>
      <c r="MJ201" s="30"/>
      <c r="MK201" s="30"/>
      <c r="ML201" s="30"/>
      <c r="MM201" s="30"/>
      <c r="MN201" s="30"/>
      <c r="MO201" s="30"/>
      <c r="MP201" s="30"/>
      <c r="MQ201" s="30"/>
      <c r="MR201" s="30"/>
      <c r="MS201" s="30"/>
      <c r="MT201" s="30"/>
      <c r="MU201" s="30"/>
      <c r="MV201" s="30"/>
      <c r="MW201" s="30"/>
      <c r="MX201" s="30"/>
      <c r="MY201" s="30"/>
      <c r="MZ201" s="30"/>
      <c r="NA201" s="30"/>
      <c r="NB201" s="30"/>
      <c r="NC201" s="30"/>
      <c r="ND201" s="30"/>
      <c r="NE201" s="30"/>
      <c r="NF201" s="30"/>
      <c r="NG201" s="30"/>
      <c r="NH201" s="30"/>
      <c r="NI201" s="30"/>
      <c r="NJ201" s="30"/>
      <c r="NK201" s="30"/>
      <c r="NL201" s="30"/>
      <c r="NM201" s="30"/>
      <c r="NN201" s="30"/>
      <c r="NO201" s="30"/>
      <c r="NP201" s="30"/>
      <c r="NQ201" s="30"/>
      <c r="NR201" s="30"/>
    </row>
    <row r="202" spans="1:382" s="3" customFormat="1" ht="20.100000000000001" customHeight="1" x14ac:dyDescent="0.4">
      <c r="A202" s="29">
        <v>1</v>
      </c>
      <c r="B202" s="5">
        <v>1927</v>
      </c>
      <c r="C202" s="5" t="s">
        <v>294</v>
      </c>
      <c r="D202" s="5" t="s">
        <v>295</v>
      </c>
      <c r="E202" s="5" t="s">
        <v>4</v>
      </c>
      <c r="F202" s="5" t="s">
        <v>32</v>
      </c>
      <c r="G202" s="5" t="s">
        <v>32</v>
      </c>
      <c r="H202" s="5" t="s">
        <v>32</v>
      </c>
      <c r="I202" s="8"/>
      <c r="J202" s="8"/>
      <c r="K202" s="8" t="str">
        <f>IF(OR(J202="",E202=""),"",J202+IFERROR(VLOOKUP(E202,リードタイム!$A$2:$C$9,3,FALSE),0))</f>
        <v/>
      </c>
      <c r="L202" s="5" t="s">
        <v>531</v>
      </c>
      <c r="M202" s="8"/>
      <c r="N202" s="8" t="str">
        <f>IF(OR(M202="",E202=""),"",M202+IFERROR(VLOOKUP(E202,リードタイム!$A$2:$D$9,4,FALSE),0))</f>
        <v/>
      </c>
      <c r="O202" s="5" t="s">
        <v>531</v>
      </c>
      <c r="P202" s="5" t="s">
        <v>533</v>
      </c>
      <c r="Q202" s="5" t="s">
        <v>70</v>
      </c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  <c r="FS202" s="30"/>
      <c r="FT202" s="30"/>
      <c r="FU202" s="30"/>
      <c r="FV202" s="30"/>
      <c r="FW202" s="30"/>
      <c r="FX202" s="30"/>
      <c r="FY202" s="30"/>
      <c r="FZ202" s="30"/>
      <c r="GA202" s="30"/>
      <c r="GB202" s="30"/>
      <c r="GC202" s="30"/>
      <c r="GD202" s="30"/>
      <c r="GE202" s="30"/>
      <c r="GF202" s="30"/>
      <c r="GG202" s="30"/>
      <c r="GH202" s="30"/>
      <c r="GI202" s="30"/>
      <c r="GJ202" s="30"/>
      <c r="GK202" s="30"/>
      <c r="GL202" s="30"/>
      <c r="GM202" s="30"/>
      <c r="GN202" s="30"/>
      <c r="GO202" s="30"/>
      <c r="GP202" s="30"/>
      <c r="GQ202" s="30"/>
      <c r="GR202" s="30"/>
      <c r="GS202" s="30"/>
      <c r="GT202" s="30"/>
      <c r="GU202" s="30"/>
      <c r="GV202" s="30"/>
      <c r="GW202" s="30"/>
      <c r="GX202" s="30"/>
      <c r="GY202" s="30"/>
      <c r="GZ202" s="30"/>
      <c r="HA202" s="30"/>
      <c r="HB202" s="30"/>
      <c r="HC202" s="30"/>
      <c r="HD202" s="30"/>
      <c r="HE202" s="30"/>
      <c r="HF202" s="30"/>
      <c r="HG202" s="30"/>
      <c r="HH202" s="30"/>
      <c r="HI202" s="30"/>
      <c r="HJ202" s="30"/>
      <c r="HK202" s="30"/>
      <c r="HL202" s="30"/>
      <c r="HM202" s="30"/>
      <c r="HN202" s="30"/>
      <c r="HO202" s="30"/>
      <c r="HP202" s="30"/>
      <c r="HQ202" s="30"/>
      <c r="HR202" s="30"/>
      <c r="HS202" s="30"/>
      <c r="HT202" s="30"/>
      <c r="HU202" s="30"/>
      <c r="HV202" s="30"/>
      <c r="HW202" s="30"/>
      <c r="HX202" s="30"/>
      <c r="HY202" s="30"/>
      <c r="HZ202" s="30"/>
      <c r="IA202" s="30"/>
      <c r="IB202" s="30"/>
      <c r="IC202" s="30"/>
      <c r="ID202" s="30"/>
      <c r="IE202" s="30"/>
      <c r="IF202" s="30"/>
      <c r="IG202" s="30"/>
      <c r="IH202" s="30"/>
      <c r="II202" s="30"/>
      <c r="IJ202" s="30"/>
      <c r="IK202" s="30"/>
      <c r="IL202" s="30"/>
      <c r="IM202" s="30"/>
      <c r="IN202" s="30"/>
      <c r="IO202" s="30"/>
      <c r="IP202" s="30"/>
      <c r="IQ202" s="30"/>
      <c r="IR202" s="30"/>
      <c r="IS202" s="30"/>
      <c r="IT202" s="30"/>
      <c r="IU202" s="30"/>
      <c r="IV202" s="30"/>
      <c r="IW202" s="30"/>
      <c r="IX202" s="30"/>
      <c r="IY202" s="30"/>
      <c r="IZ202" s="30"/>
      <c r="JA202" s="30"/>
      <c r="JB202" s="30"/>
      <c r="JC202" s="30"/>
      <c r="JD202" s="30"/>
      <c r="JE202" s="30"/>
      <c r="JF202" s="30"/>
      <c r="JG202" s="30"/>
      <c r="JH202" s="30"/>
      <c r="JI202" s="30"/>
      <c r="JJ202" s="30"/>
      <c r="JK202" s="30"/>
      <c r="JL202" s="30"/>
      <c r="JM202" s="30"/>
      <c r="JN202" s="30"/>
      <c r="JO202" s="30"/>
      <c r="JP202" s="30"/>
      <c r="JQ202" s="30"/>
      <c r="JR202" s="30"/>
      <c r="JS202" s="30"/>
      <c r="JT202" s="30"/>
      <c r="JU202" s="30"/>
      <c r="JV202" s="30"/>
      <c r="JW202" s="30"/>
      <c r="JX202" s="30"/>
      <c r="JY202" s="30"/>
      <c r="JZ202" s="30"/>
      <c r="KA202" s="30"/>
      <c r="KB202" s="30"/>
      <c r="KC202" s="30"/>
      <c r="KD202" s="30"/>
      <c r="KE202" s="30"/>
      <c r="KF202" s="30"/>
      <c r="KG202" s="30"/>
      <c r="KH202" s="30"/>
      <c r="KI202" s="30"/>
      <c r="KJ202" s="30"/>
      <c r="KK202" s="30"/>
      <c r="KL202" s="30"/>
      <c r="KM202" s="30"/>
      <c r="KN202" s="30"/>
      <c r="KO202" s="30"/>
      <c r="KP202" s="30"/>
      <c r="KQ202" s="30"/>
      <c r="KR202" s="30"/>
      <c r="KS202" s="30"/>
      <c r="KT202" s="30"/>
      <c r="KU202" s="30"/>
      <c r="KV202" s="30"/>
      <c r="KW202" s="30"/>
      <c r="KX202" s="30"/>
      <c r="KY202" s="30"/>
      <c r="KZ202" s="30"/>
      <c r="LA202" s="30"/>
      <c r="LB202" s="30"/>
      <c r="LC202" s="30"/>
      <c r="LD202" s="30"/>
      <c r="LE202" s="30"/>
      <c r="LF202" s="30"/>
      <c r="LG202" s="30"/>
      <c r="LH202" s="30"/>
      <c r="LI202" s="30"/>
      <c r="LJ202" s="30"/>
      <c r="LK202" s="30"/>
      <c r="LL202" s="30"/>
      <c r="LM202" s="30"/>
      <c r="LN202" s="30"/>
      <c r="LO202" s="30"/>
      <c r="LP202" s="30"/>
      <c r="LQ202" s="30"/>
      <c r="LR202" s="30"/>
      <c r="LS202" s="30"/>
      <c r="LT202" s="30"/>
      <c r="LU202" s="30"/>
      <c r="LV202" s="30"/>
      <c r="LW202" s="30"/>
      <c r="LX202" s="30"/>
      <c r="LY202" s="30"/>
      <c r="LZ202" s="30"/>
      <c r="MA202" s="30"/>
      <c r="MB202" s="30"/>
      <c r="MC202" s="30"/>
      <c r="MD202" s="30"/>
      <c r="ME202" s="30"/>
      <c r="MF202" s="30"/>
      <c r="MG202" s="30"/>
      <c r="MH202" s="30"/>
      <c r="MI202" s="30"/>
      <c r="MJ202" s="30"/>
      <c r="MK202" s="30"/>
      <c r="ML202" s="30"/>
      <c r="MM202" s="30"/>
      <c r="MN202" s="30"/>
      <c r="MO202" s="30"/>
      <c r="MP202" s="30"/>
      <c r="MQ202" s="30"/>
      <c r="MR202" s="30"/>
      <c r="MS202" s="30"/>
      <c r="MT202" s="30"/>
      <c r="MU202" s="30"/>
      <c r="MV202" s="30"/>
      <c r="MW202" s="30"/>
      <c r="MX202" s="30"/>
      <c r="MY202" s="30"/>
      <c r="MZ202" s="30"/>
      <c r="NA202" s="30"/>
      <c r="NB202" s="30"/>
      <c r="NC202" s="30"/>
      <c r="ND202" s="30"/>
      <c r="NE202" s="30"/>
      <c r="NF202" s="30"/>
      <c r="NG202" s="30"/>
      <c r="NH202" s="30"/>
      <c r="NI202" s="30"/>
      <c r="NJ202" s="30"/>
      <c r="NK202" s="30"/>
      <c r="NL202" s="30"/>
      <c r="NM202" s="30"/>
      <c r="NN202" s="30"/>
      <c r="NO202" s="30"/>
      <c r="NP202" s="30"/>
      <c r="NQ202" s="30"/>
      <c r="NR202" s="30"/>
    </row>
    <row r="203" spans="1:382" s="3" customFormat="1" ht="20.100000000000001" customHeight="1" x14ac:dyDescent="0.4">
      <c r="A203" s="29">
        <v>2</v>
      </c>
      <c r="B203" s="5">
        <v>283</v>
      </c>
      <c r="C203" s="5" t="s">
        <v>294</v>
      </c>
      <c r="D203" s="5" t="s">
        <v>48</v>
      </c>
      <c r="E203" s="5" t="s">
        <v>12</v>
      </c>
      <c r="F203" s="5" t="s">
        <v>32</v>
      </c>
      <c r="G203" s="5" t="s">
        <v>32</v>
      </c>
      <c r="H203" s="5" t="s">
        <v>32</v>
      </c>
      <c r="I203" s="8"/>
      <c r="J203" s="8"/>
      <c r="K203" s="8" t="str">
        <f>IF(OR(J203="",E203=""),"",J203+IFERROR(VLOOKUP(E203,リードタイム!$A$2:$C$9,3,FALSE),0))</f>
        <v/>
      </c>
      <c r="L203" s="5" t="s">
        <v>531</v>
      </c>
      <c r="M203" s="8"/>
      <c r="N203" s="8" t="str">
        <f>IF(OR(M203="",E203=""),"",M203+IFERROR(VLOOKUP(E203,リードタイム!$A$2:$D$9,4,FALSE),0))</f>
        <v/>
      </c>
      <c r="O203" s="5" t="s">
        <v>531</v>
      </c>
      <c r="P203" s="5" t="s">
        <v>533</v>
      </c>
      <c r="Q203" s="5" t="s">
        <v>32</v>
      </c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  <c r="FS203" s="30"/>
      <c r="FT203" s="30"/>
      <c r="FU203" s="30"/>
      <c r="FV203" s="30"/>
      <c r="FW203" s="30"/>
      <c r="FX203" s="30"/>
      <c r="FY203" s="30"/>
      <c r="FZ203" s="30"/>
      <c r="GA203" s="30"/>
      <c r="GB203" s="30"/>
      <c r="GC203" s="30"/>
      <c r="GD203" s="30"/>
      <c r="GE203" s="30"/>
      <c r="GF203" s="30"/>
      <c r="GG203" s="30"/>
      <c r="GH203" s="30"/>
      <c r="GI203" s="30"/>
      <c r="GJ203" s="30"/>
      <c r="GK203" s="30"/>
      <c r="GL203" s="30"/>
      <c r="GM203" s="30"/>
      <c r="GN203" s="30"/>
      <c r="GO203" s="30"/>
      <c r="GP203" s="30"/>
      <c r="GQ203" s="30"/>
      <c r="GR203" s="30"/>
      <c r="GS203" s="30"/>
      <c r="GT203" s="30"/>
      <c r="GU203" s="30"/>
      <c r="GV203" s="30"/>
      <c r="GW203" s="30"/>
      <c r="GX203" s="30"/>
      <c r="GY203" s="30"/>
      <c r="GZ203" s="30"/>
      <c r="HA203" s="30"/>
      <c r="HB203" s="30"/>
      <c r="HC203" s="30"/>
      <c r="HD203" s="30"/>
      <c r="HE203" s="30"/>
      <c r="HF203" s="30"/>
      <c r="HG203" s="30"/>
      <c r="HH203" s="30"/>
      <c r="HI203" s="30"/>
      <c r="HJ203" s="30"/>
      <c r="HK203" s="30"/>
      <c r="HL203" s="30"/>
      <c r="HM203" s="30"/>
      <c r="HN203" s="30"/>
      <c r="HO203" s="30"/>
      <c r="HP203" s="30"/>
      <c r="HQ203" s="30"/>
      <c r="HR203" s="30"/>
      <c r="HS203" s="30"/>
      <c r="HT203" s="30"/>
      <c r="HU203" s="30"/>
      <c r="HV203" s="30"/>
      <c r="HW203" s="30"/>
      <c r="HX203" s="30"/>
      <c r="HY203" s="30"/>
      <c r="HZ203" s="30"/>
      <c r="IA203" s="30"/>
      <c r="IB203" s="30"/>
      <c r="IC203" s="30"/>
      <c r="ID203" s="30"/>
      <c r="IE203" s="30"/>
      <c r="IF203" s="30"/>
      <c r="IG203" s="30"/>
      <c r="IH203" s="30"/>
      <c r="II203" s="30"/>
      <c r="IJ203" s="30"/>
      <c r="IK203" s="30"/>
      <c r="IL203" s="30"/>
      <c r="IM203" s="30"/>
      <c r="IN203" s="30"/>
      <c r="IO203" s="30"/>
      <c r="IP203" s="30"/>
      <c r="IQ203" s="30"/>
      <c r="IR203" s="30"/>
      <c r="IS203" s="30"/>
      <c r="IT203" s="30"/>
      <c r="IU203" s="30"/>
      <c r="IV203" s="30"/>
      <c r="IW203" s="30"/>
      <c r="IX203" s="30"/>
      <c r="IY203" s="30"/>
      <c r="IZ203" s="30"/>
      <c r="JA203" s="30"/>
      <c r="JB203" s="30"/>
      <c r="JC203" s="30"/>
      <c r="JD203" s="30"/>
      <c r="JE203" s="30"/>
      <c r="JF203" s="30"/>
      <c r="JG203" s="30"/>
      <c r="JH203" s="30"/>
      <c r="JI203" s="30"/>
      <c r="JJ203" s="30"/>
      <c r="JK203" s="30"/>
      <c r="JL203" s="30"/>
      <c r="JM203" s="30"/>
      <c r="JN203" s="30"/>
      <c r="JO203" s="30"/>
      <c r="JP203" s="30"/>
      <c r="JQ203" s="30"/>
      <c r="JR203" s="30"/>
      <c r="JS203" s="30"/>
      <c r="JT203" s="30"/>
      <c r="JU203" s="30"/>
      <c r="JV203" s="30"/>
      <c r="JW203" s="30"/>
      <c r="JX203" s="30"/>
      <c r="JY203" s="30"/>
      <c r="JZ203" s="30"/>
      <c r="KA203" s="30"/>
      <c r="KB203" s="30"/>
      <c r="KC203" s="30"/>
      <c r="KD203" s="30"/>
      <c r="KE203" s="30"/>
      <c r="KF203" s="30"/>
      <c r="KG203" s="30"/>
      <c r="KH203" s="30"/>
      <c r="KI203" s="30"/>
      <c r="KJ203" s="30"/>
      <c r="KK203" s="30"/>
      <c r="KL203" s="30"/>
      <c r="KM203" s="30"/>
      <c r="KN203" s="30"/>
      <c r="KO203" s="30"/>
      <c r="KP203" s="30"/>
      <c r="KQ203" s="30"/>
      <c r="KR203" s="30"/>
      <c r="KS203" s="30"/>
      <c r="KT203" s="30"/>
      <c r="KU203" s="30"/>
      <c r="KV203" s="30"/>
      <c r="KW203" s="30"/>
      <c r="KX203" s="30"/>
      <c r="KY203" s="30"/>
      <c r="KZ203" s="30"/>
      <c r="LA203" s="30"/>
      <c r="LB203" s="30"/>
      <c r="LC203" s="30"/>
      <c r="LD203" s="30"/>
      <c r="LE203" s="30"/>
      <c r="LF203" s="30"/>
      <c r="LG203" s="30"/>
      <c r="LH203" s="30"/>
      <c r="LI203" s="30"/>
      <c r="LJ203" s="30"/>
      <c r="LK203" s="30"/>
      <c r="LL203" s="30"/>
      <c r="LM203" s="30"/>
      <c r="LN203" s="30"/>
      <c r="LO203" s="30"/>
      <c r="LP203" s="30"/>
      <c r="LQ203" s="30"/>
      <c r="LR203" s="30"/>
      <c r="LS203" s="30"/>
      <c r="LT203" s="30"/>
      <c r="LU203" s="30"/>
      <c r="LV203" s="30"/>
      <c r="LW203" s="30"/>
      <c r="LX203" s="30"/>
      <c r="LY203" s="30"/>
      <c r="LZ203" s="30"/>
      <c r="MA203" s="30"/>
      <c r="MB203" s="30"/>
      <c r="MC203" s="30"/>
      <c r="MD203" s="30"/>
      <c r="ME203" s="30"/>
      <c r="MF203" s="30"/>
      <c r="MG203" s="30"/>
      <c r="MH203" s="30"/>
      <c r="MI203" s="30"/>
      <c r="MJ203" s="30"/>
      <c r="MK203" s="30"/>
      <c r="ML203" s="30"/>
      <c r="MM203" s="30"/>
      <c r="MN203" s="30"/>
      <c r="MO203" s="30"/>
      <c r="MP203" s="30"/>
      <c r="MQ203" s="30"/>
      <c r="MR203" s="30"/>
      <c r="MS203" s="30"/>
      <c r="MT203" s="30"/>
      <c r="MU203" s="30"/>
      <c r="MV203" s="30"/>
      <c r="MW203" s="30"/>
      <c r="MX203" s="30"/>
      <c r="MY203" s="30"/>
      <c r="MZ203" s="30"/>
      <c r="NA203" s="30"/>
      <c r="NB203" s="30"/>
      <c r="NC203" s="30"/>
      <c r="ND203" s="30"/>
      <c r="NE203" s="30"/>
      <c r="NF203" s="30"/>
      <c r="NG203" s="30"/>
      <c r="NH203" s="30"/>
      <c r="NI203" s="30"/>
      <c r="NJ203" s="30"/>
      <c r="NK203" s="30"/>
      <c r="NL203" s="30"/>
      <c r="NM203" s="30"/>
      <c r="NN203" s="30"/>
      <c r="NO203" s="30"/>
      <c r="NP203" s="30"/>
      <c r="NQ203" s="30"/>
      <c r="NR203" s="30"/>
    </row>
    <row r="204" spans="1:382" s="3" customFormat="1" ht="20.100000000000001" customHeight="1" x14ac:dyDescent="0.4">
      <c r="A204" s="29">
        <v>1</v>
      </c>
      <c r="B204" s="5">
        <v>420</v>
      </c>
      <c r="C204" s="5" t="s">
        <v>296</v>
      </c>
      <c r="D204" s="5" t="s">
        <v>41</v>
      </c>
      <c r="E204" s="5" t="s">
        <v>6</v>
      </c>
      <c r="F204" s="5" t="s">
        <v>32</v>
      </c>
      <c r="G204" s="5" t="s">
        <v>32</v>
      </c>
      <c r="H204" s="5" t="s">
        <v>32</v>
      </c>
      <c r="I204" s="8"/>
      <c r="J204" s="8"/>
      <c r="K204" s="8" t="str">
        <f>IF(OR(J204="",E204=""),"",J204+IFERROR(VLOOKUP(E204,リードタイム!$A$2:$C$9,3,FALSE),0))</f>
        <v/>
      </c>
      <c r="L204" s="5" t="s">
        <v>531</v>
      </c>
      <c r="M204" s="8"/>
      <c r="N204" s="8" t="str">
        <f>IF(OR(M204="",E204=""),"",M204+IFERROR(VLOOKUP(E204,リードタイム!$A$2:$D$9,4,FALSE),0))</f>
        <v/>
      </c>
      <c r="O204" s="5" t="s">
        <v>531</v>
      </c>
      <c r="P204" s="5" t="s">
        <v>533</v>
      </c>
      <c r="Q204" s="5" t="s">
        <v>297</v>
      </c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  <c r="FS204" s="30"/>
      <c r="FT204" s="30"/>
      <c r="FU204" s="30"/>
      <c r="FV204" s="30"/>
      <c r="FW204" s="30"/>
      <c r="FX204" s="30"/>
      <c r="FY204" s="30"/>
      <c r="FZ204" s="30"/>
      <c r="GA204" s="30"/>
      <c r="GB204" s="30"/>
      <c r="GC204" s="30"/>
      <c r="GD204" s="30"/>
      <c r="GE204" s="30"/>
      <c r="GF204" s="30"/>
      <c r="GG204" s="30"/>
      <c r="GH204" s="30"/>
      <c r="GI204" s="30"/>
      <c r="GJ204" s="30"/>
      <c r="GK204" s="30"/>
      <c r="GL204" s="30"/>
      <c r="GM204" s="30"/>
      <c r="GN204" s="30"/>
      <c r="GO204" s="30"/>
      <c r="GP204" s="30"/>
      <c r="GQ204" s="30"/>
      <c r="GR204" s="30"/>
      <c r="GS204" s="30"/>
      <c r="GT204" s="30"/>
      <c r="GU204" s="30"/>
      <c r="GV204" s="30"/>
      <c r="GW204" s="30"/>
      <c r="GX204" s="30"/>
      <c r="GY204" s="30"/>
      <c r="GZ204" s="30"/>
      <c r="HA204" s="30"/>
      <c r="HB204" s="30"/>
      <c r="HC204" s="30"/>
      <c r="HD204" s="30"/>
      <c r="HE204" s="30"/>
      <c r="HF204" s="30"/>
      <c r="HG204" s="30"/>
      <c r="HH204" s="30"/>
      <c r="HI204" s="30"/>
      <c r="HJ204" s="30"/>
      <c r="HK204" s="30"/>
      <c r="HL204" s="30"/>
      <c r="HM204" s="30"/>
      <c r="HN204" s="30"/>
      <c r="HO204" s="30"/>
      <c r="HP204" s="30"/>
      <c r="HQ204" s="30"/>
      <c r="HR204" s="30"/>
      <c r="HS204" s="30"/>
      <c r="HT204" s="30"/>
      <c r="HU204" s="30"/>
      <c r="HV204" s="30"/>
      <c r="HW204" s="30"/>
      <c r="HX204" s="30"/>
      <c r="HY204" s="30"/>
      <c r="HZ204" s="30"/>
      <c r="IA204" s="30"/>
      <c r="IB204" s="30"/>
      <c r="IC204" s="30"/>
      <c r="ID204" s="30"/>
      <c r="IE204" s="30"/>
      <c r="IF204" s="30"/>
      <c r="IG204" s="30"/>
      <c r="IH204" s="30"/>
      <c r="II204" s="30"/>
      <c r="IJ204" s="30"/>
      <c r="IK204" s="30"/>
      <c r="IL204" s="30"/>
      <c r="IM204" s="30"/>
      <c r="IN204" s="30"/>
      <c r="IO204" s="30"/>
      <c r="IP204" s="30"/>
      <c r="IQ204" s="30"/>
      <c r="IR204" s="30"/>
      <c r="IS204" s="30"/>
      <c r="IT204" s="30"/>
      <c r="IU204" s="30"/>
      <c r="IV204" s="30"/>
      <c r="IW204" s="30"/>
      <c r="IX204" s="30"/>
      <c r="IY204" s="30"/>
      <c r="IZ204" s="30"/>
      <c r="JA204" s="30"/>
      <c r="JB204" s="30"/>
      <c r="JC204" s="30"/>
      <c r="JD204" s="30"/>
      <c r="JE204" s="30"/>
      <c r="JF204" s="30"/>
      <c r="JG204" s="30"/>
      <c r="JH204" s="30"/>
      <c r="JI204" s="30"/>
      <c r="JJ204" s="30"/>
      <c r="JK204" s="30"/>
      <c r="JL204" s="30"/>
      <c r="JM204" s="30"/>
      <c r="JN204" s="30"/>
      <c r="JO204" s="30"/>
      <c r="JP204" s="30"/>
      <c r="JQ204" s="30"/>
      <c r="JR204" s="30"/>
      <c r="JS204" s="30"/>
      <c r="JT204" s="30"/>
      <c r="JU204" s="30"/>
      <c r="JV204" s="30"/>
      <c r="JW204" s="30"/>
      <c r="JX204" s="30"/>
      <c r="JY204" s="30"/>
      <c r="JZ204" s="30"/>
      <c r="KA204" s="30"/>
      <c r="KB204" s="30"/>
      <c r="KC204" s="30"/>
      <c r="KD204" s="30"/>
      <c r="KE204" s="30"/>
      <c r="KF204" s="30"/>
      <c r="KG204" s="30"/>
      <c r="KH204" s="30"/>
      <c r="KI204" s="30"/>
      <c r="KJ204" s="30"/>
      <c r="KK204" s="30"/>
      <c r="KL204" s="30"/>
      <c r="KM204" s="30"/>
      <c r="KN204" s="30"/>
      <c r="KO204" s="30"/>
      <c r="KP204" s="30"/>
      <c r="KQ204" s="30"/>
      <c r="KR204" s="30"/>
      <c r="KS204" s="30"/>
      <c r="KT204" s="30"/>
      <c r="KU204" s="30"/>
      <c r="KV204" s="30"/>
      <c r="KW204" s="30"/>
      <c r="KX204" s="30"/>
      <c r="KY204" s="30"/>
      <c r="KZ204" s="30"/>
      <c r="LA204" s="30"/>
      <c r="LB204" s="30"/>
      <c r="LC204" s="30"/>
      <c r="LD204" s="30"/>
      <c r="LE204" s="30"/>
      <c r="LF204" s="30"/>
      <c r="LG204" s="30"/>
      <c r="LH204" s="30"/>
      <c r="LI204" s="30"/>
      <c r="LJ204" s="30"/>
      <c r="LK204" s="30"/>
      <c r="LL204" s="30"/>
      <c r="LM204" s="30"/>
      <c r="LN204" s="30"/>
      <c r="LO204" s="30"/>
      <c r="LP204" s="30"/>
      <c r="LQ204" s="30"/>
      <c r="LR204" s="30"/>
      <c r="LS204" s="30"/>
      <c r="LT204" s="30"/>
      <c r="LU204" s="30"/>
      <c r="LV204" s="30"/>
      <c r="LW204" s="30"/>
      <c r="LX204" s="30"/>
      <c r="LY204" s="30"/>
      <c r="LZ204" s="30"/>
      <c r="MA204" s="30"/>
      <c r="MB204" s="30"/>
      <c r="MC204" s="30"/>
      <c r="MD204" s="30"/>
      <c r="ME204" s="30"/>
      <c r="MF204" s="30"/>
      <c r="MG204" s="30"/>
      <c r="MH204" s="30"/>
      <c r="MI204" s="30"/>
      <c r="MJ204" s="30"/>
      <c r="MK204" s="30"/>
      <c r="ML204" s="30"/>
      <c r="MM204" s="30"/>
      <c r="MN204" s="30"/>
      <c r="MO204" s="30"/>
      <c r="MP204" s="30"/>
      <c r="MQ204" s="30"/>
      <c r="MR204" s="30"/>
      <c r="MS204" s="30"/>
      <c r="MT204" s="30"/>
      <c r="MU204" s="30"/>
      <c r="MV204" s="30"/>
      <c r="MW204" s="30"/>
      <c r="MX204" s="30"/>
      <c r="MY204" s="30"/>
      <c r="MZ204" s="30"/>
      <c r="NA204" s="30"/>
      <c r="NB204" s="30"/>
      <c r="NC204" s="30"/>
      <c r="ND204" s="30"/>
      <c r="NE204" s="30"/>
      <c r="NF204" s="30"/>
      <c r="NG204" s="30"/>
      <c r="NH204" s="30"/>
      <c r="NI204" s="30"/>
      <c r="NJ204" s="30"/>
      <c r="NK204" s="30"/>
      <c r="NL204" s="30"/>
      <c r="NM204" s="30"/>
      <c r="NN204" s="30"/>
      <c r="NO204" s="30"/>
      <c r="NP204" s="30"/>
      <c r="NQ204" s="30"/>
      <c r="NR204" s="30"/>
    </row>
    <row r="205" spans="1:382" s="3" customFormat="1" ht="20.100000000000001" customHeight="1" x14ac:dyDescent="0.4">
      <c r="A205" s="29">
        <v>2</v>
      </c>
      <c r="B205" s="5">
        <v>407</v>
      </c>
      <c r="C205" s="5" t="s">
        <v>296</v>
      </c>
      <c r="D205" s="5" t="s">
        <v>298</v>
      </c>
      <c r="E205" s="5" t="s">
        <v>10</v>
      </c>
      <c r="F205" s="5" t="s">
        <v>32</v>
      </c>
      <c r="G205" s="5" t="s">
        <v>32</v>
      </c>
      <c r="H205" s="5" t="s">
        <v>32</v>
      </c>
      <c r="I205" s="8"/>
      <c r="J205" s="8"/>
      <c r="K205" s="8" t="str">
        <f>IF(OR(J205="",E205=""),"",J205+IFERROR(VLOOKUP(E205,リードタイム!$A$2:$C$9,3,FALSE),0))</f>
        <v/>
      </c>
      <c r="L205" s="5" t="s">
        <v>531</v>
      </c>
      <c r="M205" s="8"/>
      <c r="N205" s="8" t="str">
        <f>IF(OR(M205="",E205=""),"",M205+IFERROR(VLOOKUP(E205,リードタイム!$A$2:$D$9,4,FALSE),0))</f>
        <v/>
      </c>
      <c r="O205" s="5" t="s">
        <v>531</v>
      </c>
      <c r="P205" s="5" t="s">
        <v>533</v>
      </c>
      <c r="Q205" s="5" t="s">
        <v>32</v>
      </c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  <c r="FS205" s="30"/>
      <c r="FT205" s="30"/>
      <c r="FU205" s="30"/>
      <c r="FV205" s="30"/>
      <c r="FW205" s="30"/>
      <c r="FX205" s="30"/>
      <c r="FY205" s="30"/>
      <c r="FZ205" s="30"/>
      <c r="GA205" s="30"/>
      <c r="GB205" s="30"/>
      <c r="GC205" s="30"/>
      <c r="GD205" s="30"/>
      <c r="GE205" s="30"/>
      <c r="GF205" s="30"/>
      <c r="GG205" s="30"/>
      <c r="GH205" s="30"/>
      <c r="GI205" s="30"/>
      <c r="GJ205" s="30"/>
      <c r="GK205" s="30"/>
      <c r="GL205" s="30"/>
      <c r="GM205" s="30"/>
      <c r="GN205" s="30"/>
      <c r="GO205" s="30"/>
      <c r="GP205" s="30"/>
      <c r="GQ205" s="30"/>
      <c r="GR205" s="30"/>
      <c r="GS205" s="30"/>
      <c r="GT205" s="30"/>
      <c r="GU205" s="30"/>
      <c r="GV205" s="30"/>
      <c r="GW205" s="30"/>
      <c r="GX205" s="30"/>
      <c r="GY205" s="30"/>
      <c r="GZ205" s="30"/>
      <c r="HA205" s="30"/>
      <c r="HB205" s="30"/>
      <c r="HC205" s="30"/>
      <c r="HD205" s="30"/>
      <c r="HE205" s="30"/>
      <c r="HF205" s="30"/>
      <c r="HG205" s="30"/>
      <c r="HH205" s="30"/>
      <c r="HI205" s="30"/>
      <c r="HJ205" s="30"/>
      <c r="HK205" s="30"/>
      <c r="HL205" s="30"/>
      <c r="HM205" s="30"/>
      <c r="HN205" s="30"/>
      <c r="HO205" s="30"/>
      <c r="HP205" s="30"/>
      <c r="HQ205" s="30"/>
      <c r="HR205" s="30"/>
      <c r="HS205" s="30"/>
      <c r="HT205" s="30"/>
      <c r="HU205" s="30"/>
      <c r="HV205" s="30"/>
      <c r="HW205" s="30"/>
      <c r="HX205" s="30"/>
      <c r="HY205" s="30"/>
      <c r="HZ205" s="30"/>
      <c r="IA205" s="30"/>
      <c r="IB205" s="30"/>
      <c r="IC205" s="30"/>
      <c r="ID205" s="30"/>
      <c r="IE205" s="30"/>
      <c r="IF205" s="30"/>
      <c r="IG205" s="30"/>
      <c r="IH205" s="30"/>
      <c r="II205" s="30"/>
      <c r="IJ205" s="30"/>
      <c r="IK205" s="30"/>
      <c r="IL205" s="30"/>
      <c r="IM205" s="30"/>
      <c r="IN205" s="30"/>
      <c r="IO205" s="30"/>
      <c r="IP205" s="30"/>
      <c r="IQ205" s="30"/>
      <c r="IR205" s="30"/>
      <c r="IS205" s="30"/>
      <c r="IT205" s="30"/>
      <c r="IU205" s="30"/>
      <c r="IV205" s="30"/>
      <c r="IW205" s="30"/>
      <c r="IX205" s="30"/>
      <c r="IY205" s="30"/>
      <c r="IZ205" s="30"/>
      <c r="JA205" s="30"/>
      <c r="JB205" s="30"/>
      <c r="JC205" s="30"/>
      <c r="JD205" s="30"/>
      <c r="JE205" s="30"/>
      <c r="JF205" s="30"/>
      <c r="JG205" s="30"/>
      <c r="JH205" s="30"/>
      <c r="JI205" s="30"/>
      <c r="JJ205" s="30"/>
      <c r="JK205" s="30"/>
      <c r="JL205" s="30"/>
      <c r="JM205" s="30"/>
      <c r="JN205" s="30"/>
      <c r="JO205" s="30"/>
      <c r="JP205" s="30"/>
      <c r="JQ205" s="30"/>
      <c r="JR205" s="30"/>
      <c r="JS205" s="30"/>
      <c r="JT205" s="30"/>
      <c r="JU205" s="30"/>
      <c r="JV205" s="30"/>
      <c r="JW205" s="30"/>
      <c r="JX205" s="30"/>
      <c r="JY205" s="30"/>
      <c r="JZ205" s="30"/>
      <c r="KA205" s="30"/>
      <c r="KB205" s="30"/>
      <c r="KC205" s="30"/>
      <c r="KD205" s="30"/>
      <c r="KE205" s="30"/>
      <c r="KF205" s="30"/>
      <c r="KG205" s="30"/>
      <c r="KH205" s="30"/>
      <c r="KI205" s="30"/>
      <c r="KJ205" s="30"/>
      <c r="KK205" s="30"/>
      <c r="KL205" s="30"/>
      <c r="KM205" s="30"/>
      <c r="KN205" s="30"/>
      <c r="KO205" s="30"/>
      <c r="KP205" s="30"/>
      <c r="KQ205" s="30"/>
      <c r="KR205" s="30"/>
      <c r="KS205" s="30"/>
      <c r="KT205" s="30"/>
      <c r="KU205" s="30"/>
      <c r="KV205" s="30"/>
      <c r="KW205" s="30"/>
      <c r="KX205" s="30"/>
      <c r="KY205" s="30"/>
      <c r="KZ205" s="30"/>
      <c r="LA205" s="30"/>
      <c r="LB205" s="30"/>
      <c r="LC205" s="30"/>
      <c r="LD205" s="30"/>
      <c r="LE205" s="30"/>
      <c r="LF205" s="30"/>
      <c r="LG205" s="30"/>
      <c r="LH205" s="30"/>
      <c r="LI205" s="30"/>
      <c r="LJ205" s="30"/>
      <c r="LK205" s="30"/>
      <c r="LL205" s="30"/>
      <c r="LM205" s="30"/>
      <c r="LN205" s="30"/>
      <c r="LO205" s="30"/>
      <c r="LP205" s="30"/>
      <c r="LQ205" s="30"/>
      <c r="LR205" s="30"/>
      <c r="LS205" s="30"/>
      <c r="LT205" s="30"/>
      <c r="LU205" s="30"/>
      <c r="LV205" s="30"/>
      <c r="LW205" s="30"/>
      <c r="LX205" s="30"/>
      <c r="LY205" s="30"/>
      <c r="LZ205" s="30"/>
      <c r="MA205" s="30"/>
      <c r="MB205" s="30"/>
      <c r="MC205" s="30"/>
      <c r="MD205" s="30"/>
      <c r="ME205" s="30"/>
      <c r="MF205" s="30"/>
      <c r="MG205" s="30"/>
      <c r="MH205" s="30"/>
      <c r="MI205" s="30"/>
      <c r="MJ205" s="30"/>
      <c r="MK205" s="30"/>
      <c r="ML205" s="30"/>
      <c r="MM205" s="30"/>
      <c r="MN205" s="30"/>
      <c r="MO205" s="30"/>
      <c r="MP205" s="30"/>
      <c r="MQ205" s="30"/>
      <c r="MR205" s="30"/>
      <c r="MS205" s="30"/>
      <c r="MT205" s="30"/>
      <c r="MU205" s="30"/>
      <c r="MV205" s="30"/>
      <c r="MW205" s="30"/>
      <c r="MX205" s="30"/>
      <c r="MY205" s="30"/>
      <c r="MZ205" s="30"/>
      <c r="NA205" s="30"/>
      <c r="NB205" s="30"/>
      <c r="NC205" s="30"/>
      <c r="ND205" s="30"/>
      <c r="NE205" s="30"/>
      <c r="NF205" s="30"/>
      <c r="NG205" s="30"/>
      <c r="NH205" s="30"/>
      <c r="NI205" s="30"/>
      <c r="NJ205" s="30"/>
      <c r="NK205" s="30"/>
      <c r="NL205" s="30"/>
      <c r="NM205" s="30"/>
      <c r="NN205" s="30"/>
      <c r="NO205" s="30"/>
      <c r="NP205" s="30"/>
      <c r="NQ205" s="30"/>
      <c r="NR205" s="30"/>
    </row>
    <row r="206" spans="1:382" s="3" customFormat="1" ht="20.100000000000001" customHeight="1" x14ac:dyDescent="0.4">
      <c r="A206" s="29">
        <v>3</v>
      </c>
      <c r="B206" s="5">
        <v>1</v>
      </c>
      <c r="C206" s="5" t="s">
        <v>296</v>
      </c>
      <c r="D206" s="5" t="s">
        <v>50</v>
      </c>
      <c r="E206" s="5" t="s">
        <v>4</v>
      </c>
      <c r="F206" s="5" t="s">
        <v>32</v>
      </c>
      <c r="G206" s="5" t="s">
        <v>32</v>
      </c>
      <c r="H206" s="5" t="s">
        <v>32</v>
      </c>
      <c r="I206" s="8"/>
      <c r="J206" s="8"/>
      <c r="K206" s="8" t="str">
        <f>IF(OR(J206="",E206=""),"",J206+IFERROR(VLOOKUP(E206,リードタイム!$A$2:$C$9,3,FALSE),0))</f>
        <v/>
      </c>
      <c r="L206" s="5" t="s">
        <v>531</v>
      </c>
      <c r="M206" s="8"/>
      <c r="N206" s="8" t="str">
        <f>IF(OR(M206="",E206=""),"",M206+IFERROR(VLOOKUP(E206,リードタイム!$A$2:$D$9,4,FALSE),0))</f>
        <v/>
      </c>
      <c r="O206" s="5" t="s">
        <v>531</v>
      </c>
      <c r="P206" s="5" t="s">
        <v>533</v>
      </c>
      <c r="Q206" s="5" t="s">
        <v>299</v>
      </c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  <c r="FS206" s="30"/>
      <c r="FT206" s="30"/>
      <c r="FU206" s="30"/>
      <c r="FV206" s="30"/>
      <c r="FW206" s="30"/>
      <c r="FX206" s="30"/>
      <c r="FY206" s="30"/>
      <c r="FZ206" s="30"/>
      <c r="GA206" s="30"/>
      <c r="GB206" s="30"/>
      <c r="GC206" s="30"/>
      <c r="GD206" s="30"/>
      <c r="GE206" s="30"/>
      <c r="GF206" s="30"/>
      <c r="GG206" s="30"/>
      <c r="GH206" s="30"/>
      <c r="GI206" s="30"/>
      <c r="GJ206" s="30"/>
      <c r="GK206" s="30"/>
      <c r="GL206" s="30"/>
      <c r="GM206" s="30"/>
      <c r="GN206" s="30"/>
      <c r="GO206" s="30"/>
      <c r="GP206" s="30"/>
      <c r="GQ206" s="30"/>
      <c r="GR206" s="30"/>
      <c r="GS206" s="30"/>
      <c r="GT206" s="30"/>
      <c r="GU206" s="30"/>
      <c r="GV206" s="30"/>
      <c r="GW206" s="30"/>
      <c r="GX206" s="30"/>
      <c r="GY206" s="30"/>
      <c r="GZ206" s="30"/>
      <c r="HA206" s="30"/>
      <c r="HB206" s="30"/>
      <c r="HC206" s="30"/>
      <c r="HD206" s="30"/>
      <c r="HE206" s="30"/>
      <c r="HF206" s="30"/>
      <c r="HG206" s="30"/>
      <c r="HH206" s="30"/>
      <c r="HI206" s="30"/>
      <c r="HJ206" s="30"/>
      <c r="HK206" s="30"/>
      <c r="HL206" s="30"/>
      <c r="HM206" s="30"/>
      <c r="HN206" s="30"/>
      <c r="HO206" s="30"/>
      <c r="HP206" s="30"/>
      <c r="HQ206" s="30"/>
      <c r="HR206" s="30"/>
      <c r="HS206" s="30"/>
      <c r="HT206" s="30"/>
      <c r="HU206" s="30"/>
      <c r="HV206" s="30"/>
      <c r="HW206" s="30"/>
      <c r="HX206" s="30"/>
      <c r="HY206" s="30"/>
      <c r="HZ206" s="30"/>
      <c r="IA206" s="30"/>
      <c r="IB206" s="30"/>
      <c r="IC206" s="30"/>
      <c r="ID206" s="30"/>
      <c r="IE206" s="30"/>
      <c r="IF206" s="30"/>
      <c r="IG206" s="30"/>
      <c r="IH206" s="30"/>
      <c r="II206" s="30"/>
      <c r="IJ206" s="30"/>
      <c r="IK206" s="30"/>
      <c r="IL206" s="30"/>
      <c r="IM206" s="30"/>
      <c r="IN206" s="30"/>
      <c r="IO206" s="30"/>
      <c r="IP206" s="30"/>
      <c r="IQ206" s="30"/>
      <c r="IR206" s="30"/>
      <c r="IS206" s="30"/>
      <c r="IT206" s="30"/>
      <c r="IU206" s="30"/>
      <c r="IV206" s="30"/>
      <c r="IW206" s="30"/>
      <c r="IX206" s="30"/>
      <c r="IY206" s="30"/>
      <c r="IZ206" s="30"/>
      <c r="JA206" s="30"/>
      <c r="JB206" s="30"/>
      <c r="JC206" s="30"/>
      <c r="JD206" s="30"/>
      <c r="JE206" s="30"/>
      <c r="JF206" s="30"/>
      <c r="JG206" s="30"/>
      <c r="JH206" s="30"/>
      <c r="JI206" s="30"/>
      <c r="JJ206" s="30"/>
      <c r="JK206" s="30"/>
      <c r="JL206" s="30"/>
      <c r="JM206" s="30"/>
      <c r="JN206" s="30"/>
      <c r="JO206" s="30"/>
      <c r="JP206" s="30"/>
      <c r="JQ206" s="30"/>
      <c r="JR206" s="30"/>
      <c r="JS206" s="30"/>
      <c r="JT206" s="30"/>
      <c r="JU206" s="30"/>
      <c r="JV206" s="30"/>
      <c r="JW206" s="30"/>
      <c r="JX206" s="30"/>
      <c r="JY206" s="30"/>
      <c r="JZ206" s="30"/>
      <c r="KA206" s="30"/>
      <c r="KB206" s="30"/>
      <c r="KC206" s="30"/>
      <c r="KD206" s="30"/>
      <c r="KE206" s="30"/>
      <c r="KF206" s="30"/>
      <c r="KG206" s="30"/>
      <c r="KH206" s="30"/>
      <c r="KI206" s="30"/>
      <c r="KJ206" s="30"/>
      <c r="KK206" s="30"/>
      <c r="KL206" s="30"/>
      <c r="KM206" s="30"/>
      <c r="KN206" s="30"/>
      <c r="KO206" s="30"/>
      <c r="KP206" s="30"/>
      <c r="KQ206" s="30"/>
      <c r="KR206" s="30"/>
      <c r="KS206" s="30"/>
      <c r="KT206" s="30"/>
      <c r="KU206" s="30"/>
      <c r="KV206" s="30"/>
      <c r="KW206" s="30"/>
      <c r="KX206" s="30"/>
      <c r="KY206" s="30"/>
      <c r="KZ206" s="30"/>
      <c r="LA206" s="30"/>
      <c r="LB206" s="30"/>
      <c r="LC206" s="30"/>
      <c r="LD206" s="30"/>
      <c r="LE206" s="30"/>
      <c r="LF206" s="30"/>
      <c r="LG206" s="30"/>
      <c r="LH206" s="30"/>
      <c r="LI206" s="30"/>
      <c r="LJ206" s="30"/>
      <c r="LK206" s="30"/>
      <c r="LL206" s="30"/>
      <c r="LM206" s="30"/>
      <c r="LN206" s="30"/>
      <c r="LO206" s="30"/>
      <c r="LP206" s="30"/>
      <c r="LQ206" s="30"/>
      <c r="LR206" s="30"/>
      <c r="LS206" s="30"/>
      <c r="LT206" s="30"/>
      <c r="LU206" s="30"/>
      <c r="LV206" s="30"/>
      <c r="LW206" s="30"/>
      <c r="LX206" s="30"/>
      <c r="LY206" s="30"/>
      <c r="LZ206" s="30"/>
      <c r="MA206" s="30"/>
      <c r="MB206" s="30"/>
      <c r="MC206" s="30"/>
      <c r="MD206" s="30"/>
      <c r="ME206" s="30"/>
      <c r="MF206" s="30"/>
      <c r="MG206" s="30"/>
      <c r="MH206" s="30"/>
      <c r="MI206" s="30"/>
      <c r="MJ206" s="30"/>
      <c r="MK206" s="30"/>
      <c r="ML206" s="30"/>
      <c r="MM206" s="30"/>
      <c r="MN206" s="30"/>
      <c r="MO206" s="30"/>
      <c r="MP206" s="30"/>
      <c r="MQ206" s="30"/>
      <c r="MR206" s="30"/>
      <c r="MS206" s="30"/>
      <c r="MT206" s="30"/>
      <c r="MU206" s="30"/>
      <c r="MV206" s="30"/>
      <c r="MW206" s="30"/>
      <c r="MX206" s="30"/>
      <c r="MY206" s="30"/>
      <c r="MZ206" s="30"/>
      <c r="NA206" s="30"/>
      <c r="NB206" s="30"/>
      <c r="NC206" s="30"/>
      <c r="ND206" s="30"/>
      <c r="NE206" s="30"/>
      <c r="NF206" s="30"/>
      <c r="NG206" s="30"/>
      <c r="NH206" s="30"/>
      <c r="NI206" s="30"/>
      <c r="NJ206" s="30"/>
      <c r="NK206" s="30"/>
      <c r="NL206" s="30"/>
      <c r="NM206" s="30"/>
      <c r="NN206" s="30"/>
      <c r="NO206" s="30"/>
      <c r="NP206" s="30"/>
      <c r="NQ206" s="30"/>
      <c r="NR206" s="30"/>
    </row>
    <row r="207" spans="1:382" s="3" customFormat="1" ht="20.100000000000001" customHeight="1" x14ac:dyDescent="0.4">
      <c r="A207" s="29">
        <v>1</v>
      </c>
      <c r="B207" s="5">
        <v>1927</v>
      </c>
      <c r="C207" s="5" t="s">
        <v>300</v>
      </c>
      <c r="D207" s="5" t="s">
        <v>69</v>
      </c>
      <c r="E207" s="5" t="s">
        <v>4</v>
      </c>
      <c r="F207" s="5" t="s">
        <v>32</v>
      </c>
      <c r="G207" s="5" t="s">
        <v>32</v>
      </c>
      <c r="H207" s="5" t="s">
        <v>32</v>
      </c>
      <c r="I207" s="8"/>
      <c r="J207" s="8"/>
      <c r="K207" s="8" t="str">
        <f>IF(OR(J207="",E207=""),"",J207+IFERROR(VLOOKUP(E207,リードタイム!$A$2:$C$9,3,FALSE),0))</f>
        <v/>
      </c>
      <c r="L207" s="5" t="s">
        <v>531</v>
      </c>
      <c r="M207" s="8"/>
      <c r="N207" s="8" t="str">
        <f>IF(OR(M207="",E207=""),"",M207+IFERROR(VLOOKUP(E207,リードタイム!$A$2:$D$9,4,FALSE),0))</f>
        <v/>
      </c>
      <c r="O207" s="5" t="s">
        <v>531</v>
      </c>
      <c r="P207" s="5" t="s">
        <v>533</v>
      </c>
      <c r="Q207" s="5" t="s">
        <v>301</v>
      </c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  <c r="FS207" s="30"/>
      <c r="FT207" s="30"/>
      <c r="FU207" s="30"/>
      <c r="FV207" s="30"/>
      <c r="FW207" s="30"/>
      <c r="FX207" s="30"/>
      <c r="FY207" s="30"/>
      <c r="FZ207" s="30"/>
      <c r="GA207" s="30"/>
      <c r="GB207" s="30"/>
      <c r="GC207" s="30"/>
      <c r="GD207" s="30"/>
      <c r="GE207" s="30"/>
      <c r="GF207" s="30"/>
      <c r="GG207" s="30"/>
      <c r="GH207" s="30"/>
      <c r="GI207" s="30"/>
      <c r="GJ207" s="30"/>
      <c r="GK207" s="30"/>
      <c r="GL207" s="30"/>
      <c r="GM207" s="30"/>
      <c r="GN207" s="30"/>
      <c r="GO207" s="30"/>
      <c r="GP207" s="30"/>
      <c r="GQ207" s="30"/>
      <c r="GR207" s="30"/>
      <c r="GS207" s="30"/>
      <c r="GT207" s="30"/>
      <c r="GU207" s="30"/>
      <c r="GV207" s="30"/>
      <c r="GW207" s="30"/>
      <c r="GX207" s="30"/>
      <c r="GY207" s="30"/>
      <c r="GZ207" s="30"/>
      <c r="HA207" s="30"/>
      <c r="HB207" s="30"/>
      <c r="HC207" s="30"/>
      <c r="HD207" s="30"/>
      <c r="HE207" s="30"/>
      <c r="HF207" s="30"/>
      <c r="HG207" s="30"/>
      <c r="HH207" s="30"/>
      <c r="HI207" s="30"/>
      <c r="HJ207" s="30"/>
      <c r="HK207" s="30"/>
      <c r="HL207" s="30"/>
      <c r="HM207" s="30"/>
      <c r="HN207" s="30"/>
      <c r="HO207" s="30"/>
      <c r="HP207" s="30"/>
      <c r="HQ207" s="30"/>
      <c r="HR207" s="30"/>
      <c r="HS207" s="30"/>
      <c r="HT207" s="30"/>
      <c r="HU207" s="30"/>
      <c r="HV207" s="30"/>
      <c r="HW207" s="30"/>
      <c r="HX207" s="30"/>
      <c r="HY207" s="30"/>
      <c r="HZ207" s="30"/>
      <c r="IA207" s="30"/>
      <c r="IB207" s="30"/>
      <c r="IC207" s="30"/>
      <c r="ID207" s="30"/>
      <c r="IE207" s="30"/>
      <c r="IF207" s="30"/>
      <c r="IG207" s="30"/>
      <c r="IH207" s="30"/>
      <c r="II207" s="30"/>
      <c r="IJ207" s="30"/>
      <c r="IK207" s="30"/>
      <c r="IL207" s="30"/>
      <c r="IM207" s="30"/>
      <c r="IN207" s="30"/>
      <c r="IO207" s="30"/>
      <c r="IP207" s="30"/>
      <c r="IQ207" s="30"/>
      <c r="IR207" s="30"/>
      <c r="IS207" s="30"/>
      <c r="IT207" s="30"/>
      <c r="IU207" s="30"/>
      <c r="IV207" s="30"/>
      <c r="IW207" s="30"/>
      <c r="IX207" s="30"/>
      <c r="IY207" s="30"/>
      <c r="IZ207" s="30"/>
      <c r="JA207" s="30"/>
      <c r="JB207" s="30"/>
      <c r="JC207" s="30"/>
      <c r="JD207" s="30"/>
      <c r="JE207" s="30"/>
      <c r="JF207" s="30"/>
      <c r="JG207" s="30"/>
      <c r="JH207" s="30"/>
      <c r="JI207" s="30"/>
      <c r="JJ207" s="30"/>
      <c r="JK207" s="30"/>
      <c r="JL207" s="30"/>
      <c r="JM207" s="30"/>
      <c r="JN207" s="30"/>
      <c r="JO207" s="30"/>
      <c r="JP207" s="30"/>
      <c r="JQ207" s="30"/>
      <c r="JR207" s="30"/>
      <c r="JS207" s="30"/>
      <c r="JT207" s="30"/>
      <c r="JU207" s="30"/>
      <c r="JV207" s="30"/>
      <c r="JW207" s="30"/>
      <c r="JX207" s="30"/>
      <c r="JY207" s="30"/>
      <c r="JZ207" s="30"/>
      <c r="KA207" s="30"/>
      <c r="KB207" s="30"/>
      <c r="KC207" s="30"/>
      <c r="KD207" s="30"/>
      <c r="KE207" s="30"/>
      <c r="KF207" s="30"/>
      <c r="KG207" s="30"/>
      <c r="KH207" s="30"/>
      <c r="KI207" s="30"/>
      <c r="KJ207" s="30"/>
      <c r="KK207" s="30"/>
      <c r="KL207" s="30"/>
      <c r="KM207" s="30"/>
      <c r="KN207" s="30"/>
      <c r="KO207" s="30"/>
      <c r="KP207" s="30"/>
      <c r="KQ207" s="30"/>
      <c r="KR207" s="30"/>
      <c r="KS207" s="30"/>
      <c r="KT207" s="30"/>
      <c r="KU207" s="30"/>
      <c r="KV207" s="30"/>
      <c r="KW207" s="30"/>
      <c r="KX207" s="30"/>
      <c r="KY207" s="30"/>
      <c r="KZ207" s="30"/>
      <c r="LA207" s="30"/>
      <c r="LB207" s="30"/>
      <c r="LC207" s="30"/>
      <c r="LD207" s="30"/>
      <c r="LE207" s="30"/>
      <c r="LF207" s="30"/>
      <c r="LG207" s="30"/>
      <c r="LH207" s="30"/>
      <c r="LI207" s="30"/>
      <c r="LJ207" s="30"/>
      <c r="LK207" s="30"/>
      <c r="LL207" s="30"/>
      <c r="LM207" s="30"/>
      <c r="LN207" s="30"/>
      <c r="LO207" s="30"/>
      <c r="LP207" s="30"/>
      <c r="LQ207" s="30"/>
      <c r="LR207" s="30"/>
      <c r="LS207" s="30"/>
      <c r="LT207" s="30"/>
      <c r="LU207" s="30"/>
      <c r="LV207" s="30"/>
      <c r="LW207" s="30"/>
      <c r="LX207" s="30"/>
      <c r="LY207" s="30"/>
      <c r="LZ207" s="30"/>
      <c r="MA207" s="30"/>
      <c r="MB207" s="30"/>
      <c r="MC207" s="30"/>
      <c r="MD207" s="30"/>
      <c r="ME207" s="30"/>
      <c r="MF207" s="30"/>
      <c r="MG207" s="30"/>
      <c r="MH207" s="30"/>
      <c r="MI207" s="30"/>
      <c r="MJ207" s="30"/>
      <c r="MK207" s="30"/>
      <c r="ML207" s="30"/>
      <c r="MM207" s="30"/>
      <c r="MN207" s="30"/>
      <c r="MO207" s="30"/>
      <c r="MP207" s="30"/>
      <c r="MQ207" s="30"/>
      <c r="MR207" s="30"/>
      <c r="MS207" s="30"/>
      <c r="MT207" s="30"/>
      <c r="MU207" s="30"/>
      <c r="MV207" s="30"/>
      <c r="MW207" s="30"/>
      <c r="MX207" s="30"/>
      <c r="MY207" s="30"/>
      <c r="MZ207" s="30"/>
      <c r="NA207" s="30"/>
      <c r="NB207" s="30"/>
      <c r="NC207" s="30"/>
      <c r="ND207" s="30"/>
      <c r="NE207" s="30"/>
      <c r="NF207" s="30"/>
      <c r="NG207" s="30"/>
      <c r="NH207" s="30"/>
      <c r="NI207" s="30"/>
      <c r="NJ207" s="30"/>
      <c r="NK207" s="30"/>
      <c r="NL207" s="30"/>
      <c r="NM207" s="30"/>
      <c r="NN207" s="30"/>
      <c r="NO207" s="30"/>
      <c r="NP207" s="30"/>
      <c r="NQ207" s="30"/>
      <c r="NR207" s="30"/>
    </row>
    <row r="208" spans="1:382" s="3" customFormat="1" ht="20.100000000000001" customHeight="1" x14ac:dyDescent="0.4">
      <c r="A208" s="29">
        <v>1</v>
      </c>
      <c r="B208" s="5">
        <v>1927</v>
      </c>
      <c r="C208" s="5" t="s">
        <v>302</v>
      </c>
      <c r="D208" s="5" t="s">
        <v>303</v>
      </c>
      <c r="E208" s="5" t="s">
        <v>4</v>
      </c>
      <c r="F208" s="5" t="s">
        <v>32</v>
      </c>
      <c r="G208" s="5" t="s">
        <v>32</v>
      </c>
      <c r="H208" s="5" t="s">
        <v>32</v>
      </c>
      <c r="I208" s="8"/>
      <c r="J208" s="8"/>
      <c r="K208" s="8" t="str">
        <f>IF(OR(J208="",E208=""),"",J208+IFERROR(VLOOKUP(E208,リードタイム!$A$2:$C$9,3,FALSE),0))</f>
        <v/>
      </c>
      <c r="L208" s="5" t="s">
        <v>531</v>
      </c>
      <c r="M208" s="8"/>
      <c r="N208" s="8" t="str">
        <f>IF(OR(M208="",E208=""),"",M208+IFERROR(VLOOKUP(E208,リードタイム!$A$2:$D$9,4,FALSE),0))</f>
        <v/>
      </c>
      <c r="O208" s="5" t="s">
        <v>531</v>
      </c>
      <c r="P208" s="5" t="s">
        <v>533</v>
      </c>
      <c r="Q208" s="5" t="s">
        <v>70</v>
      </c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  <c r="FS208" s="30"/>
      <c r="FT208" s="30"/>
      <c r="FU208" s="30"/>
      <c r="FV208" s="30"/>
      <c r="FW208" s="30"/>
      <c r="FX208" s="30"/>
      <c r="FY208" s="30"/>
      <c r="FZ208" s="30"/>
      <c r="GA208" s="30"/>
      <c r="GB208" s="30"/>
      <c r="GC208" s="30"/>
      <c r="GD208" s="30"/>
      <c r="GE208" s="30"/>
      <c r="GF208" s="30"/>
      <c r="GG208" s="30"/>
      <c r="GH208" s="30"/>
      <c r="GI208" s="30"/>
      <c r="GJ208" s="30"/>
      <c r="GK208" s="30"/>
      <c r="GL208" s="30"/>
      <c r="GM208" s="30"/>
      <c r="GN208" s="30"/>
      <c r="GO208" s="30"/>
      <c r="GP208" s="30"/>
      <c r="GQ208" s="30"/>
      <c r="GR208" s="30"/>
      <c r="GS208" s="30"/>
      <c r="GT208" s="30"/>
      <c r="GU208" s="30"/>
      <c r="GV208" s="30"/>
      <c r="GW208" s="30"/>
      <c r="GX208" s="30"/>
      <c r="GY208" s="30"/>
      <c r="GZ208" s="30"/>
      <c r="HA208" s="30"/>
      <c r="HB208" s="30"/>
      <c r="HC208" s="30"/>
      <c r="HD208" s="30"/>
      <c r="HE208" s="30"/>
      <c r="HF208" s="30"/>
      <c r="HG208" s="30"/>
      <c r="HH208" s="30"/>
      <c r="HI208" s="30"/>
      <c r="HJ208" s="30"/>
      <c r="HK208" s="30"/>
      <c r="HL208" s="30"/>
      <c r="HM208" s="30"/>
      <c r="HN208" s="30"/>
      <c r="HO208" s="30"/>
      <c r="HP208" s="30"/>
      <c r="HQ208" s="30"/>
      <c r="HR208" s="30"/>
      <c r="HS208" s="30"/>
      <c r="HT208" s="30"/>
      <c r="HU208" s="30"/>
      <c r="HV208" s="30"/>
      <c r="HW208" s="30"/>
      <c r="HX208" s="30"/>
      <c r="HY208" s="30"/>
      <c r="HZ208" s="30"/>
      <c r="IA208" s="30"/>
      <c r="IB208" s="30"/>
      <c r="IC208" s="30"/>
      <c r="ID208" s="30"/>
      <c r="IE208" s="30"/>
      <c r="IF208" s="30"/>
      <c r="IG208" s="30"/>
      <c r="IH208" s="30"/>
      <c r="II208" s="30"/>
      <c r="IJ208" s="30"/>
      <c r="IK208" s="30"/>
      <c r="IL208" s="30"/>
      <c r="IM208" s="30"/>
      <c r="IN208" s="30"/>
      <c r="IO208" s="30"/>
      <c r="IP208" s="30"/>
      <c r="IQ208" s="30"/>
      <c r="IR208" s="30"/>
      <c r="IS208" s="30"/>
      <c r="IT208" s="30"/>
      <c r="IU208" s="30"/>
      <c r="IV208" s="30"/>
      <c r="IW208" s="30"/>
      <c r="IX208" s="30"/>
      <c r="IY208" s="30"/>
      <c r="IZ208" s="30"/>
      <c r="JA208" s="30"/>
      <c r="JB208" s="30"/>
      <c r="JC208" s="30"/>
      <c r="JD208" s="30"/>
      <c r="JE208" s="30"/>
      <c r="JF208" s="30"/>
      <c r="JG208" s="30"/>
      <c r="JH208" s="30"/>
      <c r="JI208" s="30"/>
      <c r="JJ208" s="30"/>
      <c r="JK208" s="30"/>
      <c r="JL208" s="30"/>
      <c r="JM208" s="30"/>
      <c r="JN208" s="30"/>
      <c r="JO208" s="30"/>
      <c r="JP208" s="30"/>
      <c r="JQ208" s="30"/>
      <c r="JR208" s="30"/>
      <c r="JS208" s="30"/>
      <c r="JT208" s="30"/>
      <c r="JU208" s="30"/>
      <c r="JV208" s="30"/>
      <c r="JW208" s="30"/>
      <c r="JX208" s="30"/>
      <c r="JY208" s="30"/>
      <c r="JZ208" s="30"/>
      <c r="KA208" s="30"/>
      <c r="KB208" s="30"/>
      <c r="KC208" s="30"/>
      <c r="KD208" s="30"/>
      <c r="KE208" s="30"/>
      <c r="KF208" s="30"/>
      <c r="KG208" s="30"/>
      <c r="KH208" s="30"/>
      <c r="KI208" s="30"/>
      <c r="KJ208" s="30"/>
      <c r="KK208" s="30"/>
      <c r="KL208" s="30"/>
      <c r="KM208" s="30"/>
      <c r="KN208" s="30"/>
      <c r="KO208" s="30"/>
      <c r="KP208" s="30"/>
      <c r="KQ208" s="30"/>
      <c r="KR208" s="30"/>
      <c r="KS208" s="30"/>
      <c r="KT208" s="30"/>
      <c r="KU208" s="30"/>
      <c r="KV208" s="30"/>
      <c r="KW208" s="30"/>
      <c r="KX208" s="30"/>
      <c r="KY208" s="30"/>
      <c r="KZ208" s="30"/>
      <c r="LA208" s="30"/>
      <c r="LB208" s="30"/>
      <c r="LC208" s="30"/>
      <c r="LD208" s="30"/>
      <c r="LE208" s="30"/>
      <c r="LF208" s="30"/>
      <c r="LG208" s="30"/>
      <c r="LH208" s="30"/>
      <c r="LI208" s="30"/>
      <c r="LJ208" s="30"/>
      <c r="LK208" s="30"/>
      <c r="LL208" s="30"/>
      <c r="LM208" s="30"/>
      <c r="LN208" s="30"/>
      <c r="LO208" s="30"/>
      <c r="LP208" s="30"/>
      <c r="LQ208" s="30"/>
      <c r="LR208" s="30"/>
      <c r="LS208" s="30"/>
      <c r="LT208" s="30"/>
      <c r="LU208" s="30"/>
      <c r="LV208" s="30"/>
      <c r="LW208" s="30"/>
      <c r="LX208" s="30"/>
      <c r="LY208" s="30"/>
      <c r="LZ208" s="30"/>
      <c r="MA208" s="30"/>
      <c r="MB208" s="30"/>
      <c r="MC208" s="30"/>
      <c r="MD208" s="30"/>
      <c r="ME208" s="30"/>
      <c r="MF208" s="30"/>
      <c r="MG208" s="30"/>
      <c r="MH208" s="30"/>
      <c r="MI208" s="30"/>
      <c r="MJ208" s="30"/>
      <c r="MK208" s="30"/>
      <c r="ML208" s="30"/>
      <c r="MM208" s="30"/>
      <c r="MN208" s="30"/>
      <c r="MO208" s="30"/>
      <c r="MP208" s="30"/>
      <c r="MQ208" s="30"/>
      <c r="MR208" s="30"/>
      <c r="MS208" s="30"/>
      <c r="MT208" s="30"/>
      <c r="MU208" s="30"/>
      <c r="MV208" s="30"/>
      <c r="MW208" s="30"/>
      <c r="MX208" s="30"/>
      <c r="MY208" s="30"/>
      <c r="MZ208" s="30"/>
      <c r="NA208" s="30"/>
      <c r="NB208" s="30"/>
      <c r="NC208" s="30"/>
      <c r="ND208" s="30"/>
      <c r="NE208" s="30"/>
      <c r="NF208" s="30"/>
      <c r="NG208" s="30"/>
      <c r="NH208" s="30"/>
      <c r="NI208" s="30"/>
      <c r="NJ208" s="30"/>
      <c r="NK208" s="30"/>
      <c r="NL208" s="30"/>
      <c r="NM208" s="30"/>
      <c r="NN208" s="30"/>
      <c r="NO208" s="30"/>
      <c r="NP208" s="30"/>
      <c r="NQ208" s="30"/>
      <c r="NR208" s="30"/>
    </row>
    <row r="209" spans="1:382" s="3" customFormat="1" ht="20.100000000000001" customHeight="1" x14ac:dyDescent="0.4">
      <c r="A209" s="29">
        <v>1</v>
      </c>
      <c r="B209" s="5">
        <v>1931</v>
      </c>
      <c r="C209" s="5" t="s">
        <v>304</v>
      </c>
      <c r="D209" s="5" t="s">
        <v>41</v>
      </c>
      <c r="E209" s="5" t="s">
        <v>6</v>
      </c>
      <c r="F209" s="5" t="s">
        <v>32</v>
      </c>
      <c r="G209" s="5" t="s">
        <v>32</v>
      </c>
      <c r="H209" s="5" t="s">
        <v>32</v>
      </c>
      <c r="I209" s="8">
        <v>46000.625</v>
      </c>
      <c r="J209" s="8"/>
      <c r="K209" s="8" t="str">
        <f>IF(OR(J209="",E209=""),"",J209+IFERROR(VLOOKUP(E209,リードタイム!$A$2:$C$9,3,FALSE),0))</f>
        <v/>
      </c>
      <c r="L209" s="5" t="s">
        <v>531</v>
      </c>
      <c r="M209" s="8"/>
      <c r="N209" s="8" t="str">
        <f>IF(OR(M209="",E209=""),"",M209+IFERROR(VLOOKUP(E209,リードタイム!$A$2:$D$9,4,FALSE),0))</f>
        <v/>
      </c>
      <c r="O209" s="5" t="s">
        <v>531</v>
      </c>
      <c r="P209" s="5" t="s">
        <v>533</v>
      </c>
      <c r="Q209" s="5" t="s">
        <v>32</v>
      </c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  <c r="FS209" s="30"/>
      <c r="FT209" s="30"/>
      <c r="FU209" s="30"/>
      <c r="FV209" s="30"/>
      <c r="FW209" s="30"/>
      <c r="FX209" s="30"/>
      <c r="FY209" s="30"/>
      <c r="FZ209" s="30"/>
      <c r="GA209" s="30"/>
      <c r="GB209" s="30"/>
      <c r="GC209" s="30"/>
      <c r="GD209" s="30"/>
      <c r="GE209" s="30"/>
      <c r="GF209" s="30"/>
      <c r="GG209" s="30"/>
      <c r="GH209" s="30"/>
      <c r="GI209" s="30"/>
      <c r="GJ209" s="30"/>
      <c r="GK209" s="30"/>
      <c r="GL209" s="30"/>
      <c r="GM209" s="30"/>
      <c r="GN209" s="30"/>
      <c r="GO209" s="30"/>
      <c r="GP209" s="30"/>
      <c r="GQ209" s="30"/>
      <c r="GR209" s="30"/>
      <c r="GS209" s="30"/>
      <c r="GT209" s="30"/>
      <c r="GU209" s="30"/>
      <c r="GV209" s="30"/>
      <c r="GW209" s="30"/>
      <c r="GX209" s="30"/>
      <c r="GY209" s="30"/>
      <c r="GZ209" s="30"/>
      <c r="HA209" s="30"/>
      <c r="HB209" s="30"/>
      <c r="HC209" s="30"/>
      <c r="HD209" s="30"/>
      <c r="HE209" s="30"/>
      <c r="HF209" s="30"/>
      <c r="HG209" s="30"/>
      <c r="HH209" s="30"/>
      <c r="HI209" s="30"/>
      <c r="HJ209" s="30"/>
      <c r="HK209" s="30"/>
      <c r="HL209" s="30"/>
      <c r="HM209" s="30"/>
      <c r="HN209" s="30"/>
      <c r="HO209" s="30"/>
      <c r="HP209" s="30"/>
      <c r="HQ209" s="30"/>
      <c r="HR209" s="30"/>
      <c r="HS209" s="30"/>
      <c r="HT209" s="30"/>
      <c r="HU209" s="30"/>
      <c r="HV209" s="30"/>
      <c r="HW209" s="30"/>
      <c r="HX209" s="30"/>
      <c r="HY209" s="30"/>
      <c r="HZ209" s="30"/>
      <c r="IA209" s="30"/>
      <c r="IB209" s="30"/>
      <c r="IC209" s="30"/>
      <c r="ID209" s="30"/>
      <c r="IE209" s="30"/>
      <c r="IF209" s="30"/>
      <c r="IG209" s="30"/>
      <c r="IH209" s="30"/>
      <c r="II209" s="30"/>
      <c r="IJ209" s="30"/>
      <c r="IK209" s="30"/>
      <c r="IL209" s="30"/>
      <c r="IM209" s="30"/>
      <c r="IN209" s="30"/>
      <c r="IO209" s="30"/>
      <c r="IP209" s="30"/>
      <c r="IQ209" s="30"/>
      <c r="IR209" s="30"/>
      <c r="IS209" s="30"/>
      <c r="IT209" s="30"/>
      <c r="IU209" s="30"/>
      <c r="IV209" s="30"/>
      <c r="IW209" s="30"/>
      <c r="IX209" s="30"/>
      <c r="IY209" s="30"/>
      <c r="IZ209" s="30"/>
      <c r="JA209" s="30"/>
      <c r="JB209" s="30"/>
      <c r="JC209" s="30"/>
      <c r="JD209" s="30"/>
      <c r="JE209" s="30"/>
      <c r="JF209" s="30"/>
      <c r="JG209" s="30"/>
      <c r="JH209" s="30"/>
      <c r="JI209" s="30"/>
      <c r="JJ209" s="30"/>
      <c r="JK209" s="30"/>
      <c r="JL209" s="30"/>
      <c r="JM209" s="30"/>
      <c r="JN209" s="30"/>
      <c r="JO209" s="30"/>
      <c r="JP209" s="30"/>
      <c r="JQ209" s="30"/>
      <c r="JR209" s="30"/>
      <c r="JS209" s="30"/>
      <c r="JT209" s="30"/>
      <c r="JU209" s="30"/>
      <c r="JV209" s="30"/>
      <c r="JW209" s="30"/>
      <c r="JX209" s="30"/>
      <c r="JY209" s="30"/>
      <c r="JZ209" s="30"/>
      <c r="KA209" s="30"/>
      <c r="KB209" s="30"/>
      <c r="KC209" s="30"/>
      <c r="KD209" s="30"/>
      <c r="KE209" s="30"/>
      <c r="KF209" s="30"/>
      <c r="KG209" s="30"/>
      <c r="KH209" s="30"/>
      <c r="KI209" s="30"/>
      <c r="KJ209" s="30"/>
      <c r="KK209" s="30"/>
      <c r="KL209" s="30"/>
      <c r="KM209" s="30"/>
      <c r="KN209" s="30"/>
      <c r="KO209" s="30"/>
      <c r="KP209" s="30"/>
      <c r="KQ209" s="30"/>
      <c r="KR209" s="30"/>
      <c r="KS209" s="30"/>
      <c r="KT209" s="30"/>
      <c r="KU209" s="30"/>
      <c r="KV209" s="30"/>
      <c r="KW209" s="30"/>
      <c r="KX209" s="30"/>
      <c r="KY209" s="30"/>
      <c r="KZ209" s="30"/>
      <c r="LA209" s="30"/>
      <c r="LB209" s="30"/>
      <c r="LC209" s="30"/>
      <c r="LD209" s="30"/>
      <c r="LE209" s="30"/>
      <c r="LF209" s="30"/>
      <c r="LG209" s="30"/>
      <c r="LH209" s="30"/>
      <c r="LI209" s="30"/>
      <c r="LJ209" s="30"/>
      <c r="LK209" s="30"/>
      <c r="LL209" s="30"/>
      <c r="LM209" s="30"/>
      <c r="LN209" s="30"/>
      <c r="LO209" s="30"/>
      <c r="LP209" s="30"/>
      <c r="LQ209" s="30"/>
      <c r="LR209" s="30"/>
      <c r="LS209" s="30"/>
      <c r="LT209" s="30"/>
      <c r="LU209" s="30"/>
      <c r="LV209" s="30"/>
      <c r="LW209" s="30"/>
      <c r="LX209" s="30"/>
      <c r="LY209" s="30"/>
      <c r="LZ209" s="30"/>
      <c r="MA209" s="30"/>
      <c r="MB209" s="30"/>
      <c r="MC209" s="30"/>
      <c r="MD209" s="30"/>
      <c r="ME209" s="30"/>
      <c r="MF209" s="30"/>
      <c r="MG209" s="30"/>
      <c r="MH209" s="30"/>
      <c r="MI209" s="30"/>
      <c r="MJ209" s="30"/>
      <c r="MK209" s="30"/>
      <c r="ML209" s="30"/>
      <c r="MM209" s="30"/>
      <c r="MN209" s="30"/>
      <c r="MO209" s="30"/>
      <c r="MP209" s="30"/>
      <c r="MQ209" s="30"/>
      <c r="MR209" s="30"/>
      <c r="MS209" s="30"/>
      <c r="MT209" s="30"/>
      <c r="MU209" s="30"/>
      <c r="MV209" s="30"/>
      <c r="MW209" s="30"/>
      <c r="MX209" s="30"/>
      <c r="MY209" s="30"/>
      <c r="MZ209" s="30"/>
      <c r="NA209" s="30"/>
      <c r="NB209" s="30"/>
      <c r="NC209" s="30"/>
      <c r="ND209" s="30"/>
      <c r="NE209" s="30"/>
      <c r="NF209" s="30"/>
      <c r="NG209" s="30"/>
      <c r="NH209" s="30"/>
      <c r="NI209" s="30"/>
      <c r="NJ209" s="30"/>
      <c r="NK209" s="30"/>
      <c r="NL209" s="30"/>
      <c r="NM209" s="30"/>
      <c r="NN209" s="30"/>
      <c r="NO209" s="30"/>
      <c r="NP209" s="30"/>
      <c r="NQ209" s="30"/>
      <c r="NR209" s="30"/>
    </row>
    <row r="210" spans="1:382" s="3" customFormat="1" ht="20.100000000000001" customHeight="1" x14ac:dyDescent="0.4">
      <c r="A210" s="29">
        <v>1</v>
      </c>
      <c r="B210" s="5">
        <v>115</v>
      </c>
      <c r="C210" s="5" t="s">
        <v>305</v>
      </c>
      <c r="D210" s="5" t="s">
        <v>76</v>
      </c>
      <c r="E210" s="5" t="s">
        <v>6</v>
      </c>
      <c r="F210" s="5" t="s">
        <v>32</v>
      </c>
      <c r="G210" s="5" t="s">
        <v>32</v>
      </c>
      <c r="H210" s="5" t="s">
        <v>32</v>
      </c>
      <c r="I210" s="8"/>
      <c r="J210" s="8"/>
      <c r="K210" s="8" t="str">
        <f>IF(OR(J210="",E210=""),"",J210+IFERROR(VLOOKUP(E210,リードタイム!$A$2:$C$9,3,FALSE),0))</f>
        <v/>
      </c>
      <c r="L210" s="5" t="s">
        <v>531</v>
      </c>
      <c r="M210" s="8"/>
      <c r="N210" s="8" t="str">
        <f>IF(OR(M210="",E210=""),"",M210+IFERROR(VLOOKUP(E210,リードタイム!$A$2:$D$9,4,FALSE),0))</f>
        <v/>
      </c>
      <c r="O210" s="5" t="s">
        <v>531</v>
      </c>
      <c r="P210" s="5" t="s">
        <v>533</v>
      </c>
      <c r="Q210" s="5" t="s">
        <v>32</v>
      </c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  <c r="FS210" s="30"/>
      <c r="FT210" s="30"/>
      <c r="FU210" s="30"/>
      <c r="FV210" s="30"/>
      <c r="FW210" s="30"/>
      <c r="FX210" s="30"/>
      <c r="FY210" s="30"/>
      <c r="FZ210" s="30"/>
      <c r="GA210" s="30"/>
      <c r="GB210" s="30"/>
      <c r="GC210" s="30"/>
      <c r="GD210" s="30"/>
      <c r="GE210" s="30"/>
      <c r="GF210" s="30"/>
      <c r="GG210" s="30"/>
      <c r="GH210" s="30"/>
      <c r="GI210" s="30"/>
      <c r="GJ210" s="30"/>
      <c r="GK210" s="30"/>
      <c r="GL210" s="30"/>
      <c r="GM210" s="30"/>
      <c r="GN210" s="30"/>
      <c r="GO210" s="30"/>
      <c r="GP210" s="30"/>
      <c r="GQ210" s="30"/>
      <c r="GR210" s="30"/>
      <c r="GS210" s="30"/>
      <c r="GT210" s="30"/>
      <c r="GU210" s="30"/>
      <c r="GV210" s="30"/>
      <c r="GW210" s="30"/>
      <c r="GX210" s="30"/>
      <c r="GY210" s="30"/>
      <c r="GZ210" s="30"/>
      <c r="HA210" s="30"/>
      <c r="HB210" s="30"/>
      <c r="HC210" s="30"/>
      <c r="HD210" s="30"/>
      <c r="HE210" s="30"/>
      <c r="HF210" s="30"/>
      <c r="HG210" s="30"/>
      <c r="HH210" s="30"/>
      <c r="HI210" s="30"/>
      <c r="HJ210" s="30"/>
      <c r="HK210" s="30"/>
      <c r="HL210" s="30"/>
      <c r="HM210" s="30"/>
      <c r="HN210" s="30"/>
      <c r="HO210" s="30"/>
      <c r="HP210" s="30"/>
      <c r="HQ210" s="30"/>
      <c r="HR210" s="30"/>
      <c r="HS210" s="30"/>
      <c r="HT210" s="30"/>
      <c r="HU210" s="30"/>
      <c r="HV210" s="30"/>
      <c r="HW210" s="30"/>
      <c r="HX210" s="30"/>
      <c r="HY210" s="30"/>
      <c r="HZ210" s="30"/>
      <c r="IA210" s="30"/>
      <c r="IB210" s="30"/>
      <c r="IC210" s="30"/>
      <c r="ID210" s="30"/>
      <c r="IE210" s="30"/>
      <c r="IF210" s="30"/>
      <c r="IG210" s="30"/>
      <c r="IH210" s="30"/>
      <c r="II210" s="30"/>
      <c r="IJ210" s="30"/>
      <c r="IK210" s="30"/>
      <c r="IL210" s="30"/>
      <c r="IM210" s="30"/>
      <c r="IN210" s="30"/>
      <c r="IO210" s="30"/>
      <c r="IP210" s="30"/>
      <c r="IQ210" s="30"/>
      <c r="IR210" s="30"/>
      <c r="IS210" s="30"/>
      <c r="IT210" s="30"/>
      <c r="IU210" s="30"/>
      <c r="IV210" s="30"/>
      <c r="IW210" s="30"/>
      <c r="IX210" s="30"/>
      <c r="IY210" s="30"/>
      <c r="IZ210" s="30"/>
      <c r="JA210" s="30"/>
      <c r="JB210" s="30"/>
      <c r="JC210" s="30"/>
      <c r="JD210" s="30"/>
      <c r="JE210" s="30"/>
      <c r="JF210" s="30"/>
      <c r="JG210" s="30"/>
      <c r="JH210" s="30"/>
      <c r="JI210" s="30"/>
      <c r="JJ210" s="30"/>
      <c r="JK210" s="30"/>
      <c r="JL210" s="30"/>
      <c r="JM210" s="30"/>
      <c r="JN210" s="30"/>
      <c r="JO210" s="30"/>
      <c r="JP210" s="30"/>
      <c r="JQ210" s="30"/>
      <c r="JR210" s="30"/>
      <c r="JS210" s="30"/>
      <c r="JT210" s="30"/>
      <c r="JU210" s="30"/>
      <c r="JV210" s="30"/>
      <c r="JW210" s="30"/>
      <c r="JX210" s="30"/>
      <c r="JY210" s="30"/>
      <c r="JZ210" s="30"/>
      <c r="KA210" s="30"/>
      <c r="KB210" s="30"/>
      <c r="KC210" s="30"/>
      <c r="KD210" s="30"/>
      <c r="KE210" s="30"/>
      <c r="KF210" s="30"/>
      <c r="KG210" s="30"/>
      <c r="KH210" s="30"/>
      <c r="KI210" s="30"/>
      <c r="KJ210" s="30"/>
      <c r="KK210" s="30"/>
      <c r="KL210" s="30"/>
      <c r="KM210" s="30"/>
      <c r="KN210" s="30"/>
      <c r="KO210" s="30"/>
      <c r="KP210" s="30"/>
      <c r="KQ210" s="30"/>
      <c r="KR210" s="30"/>
      <c r="KS210" s="30"/>
      <c r="KT210" s="30"/>
      <c r="KU210" s="30"/>
      <c r="KV210" s="30"/>
      <c r="KW210" s="30"/>
      <c r="KX210" s="30"/>
      <c r="KY210" s="30"/>
      <c r="KZ210" s="30"/>
      <c r="LA210" s="30"/>
      <c r="LB210" s="30"/>
      <c r="LC210" s="30"/>
      <c r="LD210" s="30"/>
      <c r="LE210" s="30"/>
      <c r="LF210" s="30"/>
      <c r="LG210" s="30"/>
      <c r="LH210" s="30"/>
      <c r="LI210" s="30"/>
      <c r="LJ210" s="30"/>
      <c r="LK210" s="30"/>
      <c r="LL210" s="30"/>
      <c r="LM210" s="30"/>
      <c r="LN210" s="30"/>
      <c r="LO210" s="30"/>
      <c r="LP210" s="30"/>
      <c r="LQ210" s="30"/>
      <c r="LR210" s="30"/>
      <c r="LS210" s="30"/>
      <c r="LT210" s="30"/>
      <c r="LU210" s="30"/>
      <c r="LV210" s="30"/>
      <c r="LW210" s="30"/>
      <c r="LX210" s="30"/>
      <c r="LY210" s="30"/>
      <c r="LZ210" s="30"/>
      <c r="MA210" s="30"/>
      <c r="MB210" s="30"/>
      <c r="MC210" s="30"/>
      <c r="MD210" s="30"/>
      <c r="ME210" s="30"/>
      <c r="MF210" s="30"/>
      <c r="MG210" s="30"/>
      <c r="MH210" s="30"/>
      <c r="MI210" s="30"/>
      <c r="MJ210" s="30"/>
      <c r="MK210" s="30"/>
      <c r="ML210" s="30"/>
      <c r="MM210" s="30"/>
      <c r="MN210" s="30"/>
      <c r="MO210" s="30"/>
      <c r="MP210" s="30"/>
      <c r="MQ210" s="30"/>
      <c r="MR210" s="30"/>
      <c r="MS210" s="30"/>
      <c r="MT210" s="30"/>
      <c r="MU210" s="30"/>
      <c r="MV210" s="30"/>
      <c r="MW210" s="30"/>
      <c r="MX210" s="30"/>
      <c r="MY210" s="30"/>
      <c r="MZ210" s="30"/>
      <c r="NA210" s="30"/>
      <c r="NB210" s="30"/>
      <c r="NC210" s="30"/>
      <c r="ND210" s="30"/>
      <c r="NE210" s="30"/>
      <c r="NF210" s="30"/>
      <c r="NG210" s="30"/>
      <c r="NH210" s="30"/>
      <c r="NI210" s="30"/>
      <c r="NJ210" s="30"/>
      <c r="NK210" s="30"/>
      <c r="NL210" s="30"/>
      <c r="NM210" s="30"/>
      <c r="NN210" s="30"/>
      <c r="NO210" s="30"/>
      <c r="NP210" s="30"/>
      <c r="NQ210" s="30"/>
      <c r="NR210" s="30"/>
    </row>
    <row r="211" spans="1:382" s="3" customFormat="1" ht="20.100000000000001" customHeight="1" x14ac:dyDescent="0.4">
      <c r="A211" s="29">
        <v>1</v>
      </c>
      <c r="B211" s="5">
        <v>1946</v>
      </c>
      <c r="C211" s="5" t="s">
        <v>306</v>
      </c>
      <c r="D211" s="5" t="s">
        <v>307</v>
      </c>
      <c r="E211" s="5" t="s">
        <v>4</v>
      </c>
      <c r="F211" s="5" t="s">
        <v>32</v>
      </c>
      <c r="G211" s="5" t="s">
        <v>32</v>
      </c>
      <c r="H211" s="5" t="s">
        <v>32</v>
      </c>
      <c r="I211" s="8">
        <v>46015.625</v>
      </c>
      <c r="J211" s="8"/>
      <c r="K211" s="8" t="str">
        <f>IF(OR(J211="",E211=""),"",J211+IFERROR(VLOOKUP(E211,リードタイム!$A$2:$C$9,3,FALSE),0))</f>
        <v/>
      </c>
      <c r="L211" s="5" t="s">
        <v>531</v>
      </c>
      <c r="M211" s="8"/>
      <c r="N211" s="8" t="str">
        <f>IF(OR(M211="",E211=""),"",M211+IFERROR(VLOOKUP(E211,リードタイム!$A$2:$D$9,4,FALSE),0))</f>
        <v/>
      </c>
      <c r="O211" s="5" t="s">
        <v>531</v>
      </c>
      <c r="P211" s="5" t="s">
        <v>533</v>
      </c>
      <c r="Q211" s="5" t="s">
        <v>308</v>
      </c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  <c r="FS211" s="30"/>
      <c r="FT211" s="30"/>
      <c r="FU211" s="30"/>
      <c r="FV211" s="30"/>
      <c r="FW211" s="30"/>
      <c r="FX211" s="30"/>
      <c r="FY211" s="30"/>
      <c r="FZ211" s="30"/>
      <c r="GA211" s="30"/>
      <c r="GB211" s="30"/>
      <c r="GC211" s="30"/>
      <c r="GD211" s="30"/>
      <c r="GE211" s="30"/>
      <c r="GF211" s="30"/>
      <c r="GG211" s="30"/>
      <c r="GH211" s="30"/>
      <c r="GI211" s="30"/>
      <c r="GJ211" s="30"/>
      <c r="GK211" s="30"/>
      <c r="GL211" s="30"/>
      <c r="GM211" s="30"/>
      <c r="GN211" s="30"/>
      <c r="GO211" s="30"/>
      <c r="GP211" s="30"/>
      <c r="GQ211" s="30"/>
      <c r="GR211" s="30"/>
      <c r="GS211" s="30"/>
      <c r="GT211" s="30"/>
      <c r="GU211" s="30"/>
      <c r="GV211" s="30"/>
      <c r="GW211" s="30"/>
      <c r="GX211" s="30"/>
      <c r="GY211" s="30"/>
      <c r="GZ211" s="30"/>
      <c r="HA211" s="30"/>
      <c r="HB211" s="30"/>
      <c r="HC211" s="30"/>
      <c r="HD211" s="30"/>
      <c r="HE211" s="30"/>
      <c r="HF211" s="30"/>
      <c r="HG211" s="30"/>
      <c r="HH211" s="30"/>
      <c r="HI211" s="30"/>
      <c r="HJ211" s="30"/>
      <c r="HK211" s="30"/>
      <c r="HL211" s="30"/>
      <c r="HM211" s="30"/>
      <c r="HN211" s="30"/>
      <c r="HO211" s="30"/>
      <c r="HP211" s="30"/>
      <c r="HQ211" s="30"/>
      <c r="HR211" s="30"/>
      <c r="HS211" s="30"/>
      <c r="HT211" s="30"/>
      <c r="HU211" s="30"/>
      <c r="HV211" s="30"/>
      <c r="HW211" s="30"/>
      <c r="HX211" s="30"/>
      <c r="HY211" s="30"/>
      <c r="HZ211" s="30"/>
      <c r="IA211" s="30"/>
      <c r="IB211" s="30"/>
      <c r="IC211" s="30"/>
      <c r="ID211" s="30"/>
      <c r="IE211" s="30"/>
      <c r="IF211" s="30"/>
      <c r="IG211" s="30"/>
      <c r="IH211" s="30"/>
      <c r="II211" s="30"/>
      <c r="IJ211" s="30"/>
      <c r="IK211" s="30"/>
      <c r="IL211" s="30"/>
      <c r="IM211" s="30"/>
      <c r="IN211" s="30"/>
      <c r="IO211" s="30"/>
      <c r="IP211" s="30"/>
      <c r="IQ211" s="30"/>
      <c r="IR211" s="30"/>
      <c r="IS211" s="30"/>
      <c r="IT211" s="30"/>
      <c r="IU211" s="30"/>
      <c r="IV211" s="30"/>
      <c r="IW211" s="30"/>
      <c r="IX211" s="30"/>
      <c r="IY211" s="30"/>
      <c r="IZ211" s="30"/>
      <c r="JA211" s="30"/>
      <c r="JB211" s="30"/>
      <c r="JC211" s="30"/>
      <c r="JD211" s="30"/>
      <c r="JE211" s="30"/>
      <c r="JF211" s="30"/>
      <c r="JG211" s="30"/>
      <c r="JH211" s="30"/>
      <c r="JI211" s="30"/>
      <c r="JJ211" s="30"/>
      <c r="JK211" s="30"/>
      <c r="JL211" s="30"/>
      <c r="JM211" s="30"/>
      <c r="JN211" s="30"/>
      <c r="JO211" s="30"/>
      <c r="JP211" s="30"/>
      <c r="JQ211" s="30"/>
      <c r="JR211" s="30"/>
      <c r="JS211" s="30"/>
      <c r="JT211" s="30"/>
      <c r="JU211" s="30"/>
      <c r="JV211" s="30"/>
      <c r="JW211" s="30"/>
      <c r="JX211" s="30"/>
      <c r="JY211" s="30"/>
      <c r="JZ211" s="30"/>
      <c r="KA211" s="30"/>
      <c r="KB211" s="30"/>
      <c r="KC211" s="30"/>
      <c r="KD211" s="30"/>
      <c r="KE211" s="30"/>
      <c r="KF211" s="30"/>
      <c r="KG211" s="30"/>
      <c r="KH211" s="30"/>
      <c r="KI211" s="30"/>
      <c r="KJ211" s="30"/>
      <c r="KK211" s="30"/>
      <c r="KL211" s="30"/>
      <c r="KM211" s="30"/>
      <c r="KN211" s="30"/>
      <c r="KO211" s="30"/>
      <c r="KP211" s="30"/>
      <c r="KQ211" s="30"/>
      <c r="KR211" s="30"/>
      <c r="KS211" s="30"/>
      <c r="KT211" s="30"/>
      <c r="KU211" s="30"/>
      <c r="KV211" s="30"/>
      <c r="KW211" s="30"/>
      <c r="KX211" s="30"/>
      <c r="KY211" s="30"/>
      <c r="KZ211" s="30"/>
      <c r="LA211" s="30"/>
      <c r="LB211" s="30"/>
      <c r="LC211" s="30"/>
      <c r="LD211" s="30"/>
      <c r="LE211" s="30"/>
      <c r="LF211" s="30"/>
      <c r="LG211" s="30"/>
      <c r="LH211" s="30"/>
      <c r="LI211" s="30"/>
      <c r="LJ211" s="30"/>
      <c r="LK211" s="30"/>
      <c r="LL211" s="30"/>
      <c r="LM211" s="30"/>
      <c r="LN211" s="30"/>
      <c r="LO211" s="30"/>
      <c r="LP211" s="30"/>
      <c r="LQ211" s="30"/>
      <c r="LR211" s="30"/>
      <c r="LS211" s="30"/>
      <c r="LT211" s="30"/>
      <c r="LU211" s="30"/>
      <c r="LV211" s="30"/>
      <c r="LW211" s="30"/>
      <c r="LX211" s="30"/>
      <c r="LY211" s="30"/>
      <c r="LZ211" s="30"/>
      <c r="MA211" s="30"/>
      <c r="MB211" s="30"/>
      <c r="MC211" s="30"/>
      <c r="MD211" s="30"/>
      <c r="ME211" s="30"/>
      <c r="MF211" s="30"/>
      <c r="MG211" s="30"/>
      <c r="MH211" s="30"/>
      <c r="MI211" s="30"/>
      <c r="MJ211" s="30"/>
      <c r="MK211" s="30"/>
      <c r="ML211" s="30"/>
      <c r="MM211" s="30"/>
      <c r="MN211" s="30"/>
      <c r="MO211" s="30"/>
      <c r="MP211" s="30"/>
      <c r="MQ211" s="30"/>
      <c r="MR211" s="30"/>
      <c r="MS211" s="30"/>
      <c r="MT211" s="30"/>
      <c r="MU211" s="30"/>
      <c r="MV211" s="30"/>
      <c r="MW211" s="30"/>
      <c r="MX211" s="30"/>
      <c r="MY211" s="30"/>
      <c r="MZ211" s="30"/>
      <c r="NA211" s="30"/>
      <c r="NB211" s="30"/>
      <c r="NC211" s="30"/>
      <c r="ND211" s="30"/>
      <c r="NE211" s="30"/>
      <c r="NF211" s="30"/>
      <c r="NG211" s="30"/>
      <c r="NH211" s="30"/>
      <c r="NI211" s="30"/>
      <c r="NJ211" s="30"/>
      <c r="NK211" s="30"/>
      <c r="NL211" s="30"/>
      <c r="NM211" s="30"/>
      <c r="NN211" s="30"/>
      <c r="NO211" s="30"/>
      <c r="NP211" s="30"/>
      <c r="NQ211" s="30"/>
      <c r="NR211" s="30"/>
    </row>
    <row r="212" spans="1:382" s="3" customFormat="1" ht="20.100000000000001" customHeight="1" x14ac:dyDescent="0.4">
      <c r="A212" s="29">
        <v>1</v>
      </c>
      <c r="B212" s="5">
        <v>1927</v>
      </c>
      <c r="C212" s="5" t="s">
        <v>309</v>
      </c>
      <c r="D212" s="5" t="s">
        <v>88</v>
      </c>
      <c r="E212" s="5" t="s">
        <v>4</v>
      </c>
      <c r="F212" s="5" t="s">
        <v>32</v>
      </c>
      <c r="G212" s="5" t="s">
        <v>32</v>
      </c>
      <c r="H212" s="5" t="s">
        <v>32</v>
      </c>
      <c r="I212" s="8"/>
      <c r="J212" s="8"/>
      <c r="K212" s="8" t="str">
        <f>IF(OR(J212="",E212=""),"",J212+IFERROR(VLOOKUP(E212,リードタイム!$A$2:$C$9,3,FALSE),0))</f>
        <v/>
      </c>
      <c r="L212" s="5" t="s">
        <v>531</v>
      </c>
      <c r="M212" s="8"/>
      <c r="N212" s="8" t="str">
        <f>IF(OR(M212="",E212=""),"",M212+IFERROR(VLOOKUP(E212,リードタイム!$A$2:$D$9,4,FALSE),0))</f>
        <v/>
      </c>
      <c r="O212" s="5" t="s">
        <v>531</v>
      </c>
      <c r="P212" s="5" t="s">
        <v>532</v>
      </c>
      <c r="Q212" s="5" t="s">
        <v>32</v>
      </c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  <c r="FS212" s="30"/>
      <c r="FT212" s="30"/>
      <c r="FU212" s="30"/>
      <c r="FV212" s="30"/>
      <c r="FW212" s="30"/>
      <c r="FX212" s="30"/>
      <c r="FY212" s="30"/>
      <c r="FZ212" s="30"/>
      <c r="GA212" s="30"/>
      <c r="GB212" s="30"/>
      <c r="GC212" s="30"/>
      <c r="GD212" s="30"/>
      <c r="GE212" s="30"/>
      <c r="GF212" s="30"/>
      <c r="GG212" s="30"/>
      <c r="GH212" s="30"/>
      <c r="GI212" s="30"/>
      <c r="GJ212" s="30"/>
      <c r="GK212" s="30"/>
      <c r="GL212" s="30"/>
      <c r="GM212" s="30"/>
      <c r="GN212" s="30"/>
      <c r="GO212" s="30"/>
      <c r="GP212" s="30"/>
      <c r="GQ212" s="30"/>
      <c r="GR212" s="30"/>
      <c r="GS212" s="30"/>
      <c r="GT212" s="30"/>
      <c r="GU212" s="30"/>
      <c r="GV212" s="30"/>
      <c r="GW212" s="30"/>
      <c r="GX212" s="30"/>
      <c r="GY212" s="30"/>
      <c r="GZ212" s="30"/>
      <c r="HA212" s="30"/>
      <c r="HB212" s="30"/>
      <c r="HC212" s="30"/>
      <c r="HD212" s="30"/>
      <c r="HE212" s="30"/>
      <c r="HF212" s="30"/>
      <c r="HG212" s="30"/>
      <c r="HH212" s="30"/>
      <c r="HI212" s="30"/>
      <c r="HJ212" s="30"/>
      <c r="HK212" s="30"/>
      <c r="HL212" s="30"/>
      <c r="HM212" s="30"/>
      <c r="HN212" s="30"/>
      <c r="HO212" s="30"/>
      <c r="HP212" s="30"/>
      <c r="HQ212" s="30"/>
      <c r="HR212" s="30"/>
      <c r="HS212" s="30"/>
      <c r="HT212" s="30"/>
      <c r="HU212" s="30"/>
      <c r="HV212" s="30"/>
      <c r="HW212" s="30"/>
      <c r="HX212" s="30"/>
      <c r="HY212" s="30"/>
      <c r="HZ212" s="30"/>
      <c r="IA212" s="30"/>
      <c r="IB212" s="30"/>
      <c r="IC212" s="30"/>
      <c r="ID212" s="30"/>
      <c r="IE212" s="30"/>
      <c r="IF212" s="30"/>
      <c r="IG212" s="30"/>
      <c r="IH212" s="30"/>
      <c r="II212" s="30"/>
      <c r="IJ212" s="30"/>
      <c r="IK212" s="30"/>
      <c r="IL212" s="30"/>
      <c r="IM212" s="30"/>
      <c r="IN212" s="30"/>
      <c r="IO212" s="30"/>
      <c r="IP212" s="30"/>
      <c r="IQ212" s="30"/>
      <c r="IR212" s="30"/>
      <c r="IS212" s="30"/>
      <c r="IT212" s="30"/>
      <c r="IU212" s="30"/>
      <c r="IV212" s="30"/>
      <c r="IW212" s="30"/>
      <c r="IX212" s="30"/>
      <c r="IY212" s="30"/>
      <c r="IZ212" s="30"/>
      <c r="JA212" s="30"/>
      <c r="JB212" s="30"/>
      <c r="JC212" s="30"/>
      <c r="JD212" s="30"/>
      <c r="JE212" s="30"/>
      <c r="JF212" s="30"/>
      <c r="JG212" s="30"/>
      <c r="JH212" s="30"/>
      <c r="JI212" s="30"/>
      <c r="JJ212" s="30"/>
      <c r="JK212" s="30"/>
      <c r="JL212" s="30"/>
      <c r="JM212" s="30"/>
      <c r="JN212" s="30"/>
      <c r="JO212" s="30"/>
      <c r="JP212" s="30"/>
      <c r="JQ212" s="30"/>
      <c r="JR212" s="30"/>
      <c r="JS212" s="30"/>
      <c r="JT212" s="30"/>
      <c r="JU212" s="30"/>
      <c r="JV212" s="30"/>
      <c r="JW212" s="30"/>
      <c r="JX212" s="30"/>
      <c r="JY212" s="30"/>
      <c r="JZ212" s="30"/>
      <c r="KA212" s="30"/>
      <c r="KB212" s="30"/>
      <c r="KC212" s="30"/>
      <c r="KD212" s="30"/>
      <c r="KE212" s="30"/>
      <c r="KF212" s="30"/>
      <c r="KG212" s="30"/>
      <c r="KH212" s="30"/>
      <c r="KI212" s="30"/>
      <c r="KJ212" s="30"/>
      <c r="KK212" s="30"/>
      <c r="KL212" s="30"/>
      <c r="KM212" s="30"/>
      <c r="KN212" s="30"/>
      <c r="KO212" s="30"/>
      <c r="KP212" s="30"/>
      <c r="KQ212" s="30"/>
      <c r="KR212" s="30"/>
      <c r="KS212" s="30"/>
      <c r="KT212" s="30"/>
      <c r="KU212" s="30"/>
      <c r="KV212" s="30"/>
      <c r="KW212" s="30"/>
      <c r="KX212" s="30"/>
      <c r="KY212" s="30"/>
      <c r="KZ212" s="30"/>
      <c r="LA212" s="30"/>
      <c r="LB212" s="30"/>
      <c r="LC212" s="30"/>
      <c r="LD212" s="30"/>
      <c r="LE212" s="30"/>
      <c r="LF212" s="30"/>
      <c r="LG212" s="30"/>
      <c r="LH212" s="30"/>
      <c r="LI212" s="30"/>
      <c r="LJ212" s="30"/>
      <c r="LK212" s="30"/>
      <c r="LL212" s="30"/>
      <c r="LM212" s="30"/>
      <c r="LN212" s="30"/>
      <c r="LO212" s="30"/>
      <c r="LP212" s="30"/>
      <c r="LQ212" s="30"/>
      <c r="LR212" s="30"/>
      <c r="LS212" s="30"/>
      <c r="LT212" s="30"/>
      <c r="LU212" s="30"/>
      <c r="LV212" s="30"/>
      <c r="LW212" s="30"/>
      <c r="LX212" s="30"/>
      <c r="LY212" s="30"/>
      <c r="LZ212" s="30"/>
      <c r="MA212" s="30"/>
      <c r="MB212" s="30"/>
      <c r="MC212" s="30"/>
      <c r="MD212" s="30"/>
      <c r="ME212" s="30"/>
      <c r="MF212" s="30"/>
      <c r="MG212" s="30"/>
      <c r="MH212" s="30"/>
      <c r="MI212" s="30"/>
      <c r="MJ212" s="30"/>
      <c r="MK212" s="30"/>
      <c r="ML212" s="30"/>
      <c r="MM212" s="30"/>
      <c r="MN212" s="30"/>
      <c r="MO212" s="30"/>
      <c r="MP212" s="30"/>
      <c r="MQ212" s="30"/>
      <c r="MR212" s="30"/>
      <c r="MS212" s="30"/>
      <c r="MT212" s="30"/>
      <c r="MU212" s="30"/>
      <c r="MV212" s="30"/>
      <c r="MW212" s="30"/>
      <c r="MX212" s="30"/>
      <c r="MY212" s="30"/>
      <c r="MZ212" s="30"/>
      <c r="NA212" s="30"/>
      <c r="NB212" s="30"/>
      <c r="NC212" s="30"/>
      <c r="ND212" s="30"/>
      <c r="NE212" s="30"/>
      <c r="NF212" s="30"/>
      <c r="NG212" s="30"/>
      <c r="NH212" s="30"/>
      <c r="NI212" s="30"/>
      <c r="NJ212" s="30"/>
      <c r="NK212" s="30"/>
      <c r="NL212" s="30"/>
      <c r="NM212" s="30"/>
      <c r="NN212" s="30"/>
      <c r="NO212" s="30"/>
      <c r="NP212" s="30"/>
      <c r="NQ212" s="30"/>
      <c r="NR212" s="30"/>
    </row>
    <row r="213" spans="1:382" s="3" customFormat="1" ht="20.100000000000001" customHeight="1" x14ac:dyDescent="0.4">
      <c r="A213" s="29">
        <v>1</v>
      </c>
      <c r="B213" s="5">
        <v>1823</v>
      </c>
      <c r="C213" s="5" t="s">
        <v>310</v>
      </c>
      <c r="D213" s="5" t="s">
        <v>220</v>
      </c>
      <c r="E213" s="5" t="s">
        <v>8</v>
      </c>
      <c r="F213" s="5" t="s">
        <v>32</v>
      </c>
      <c r="G213" s="5" t="s">
        <v>32</v>
      </c>
      <c r="H213" s="5" t="s">
        <v>32</v>
      </c>
      <c r="I213" s="8">
        <v>46065.625</v>
      </c>
      <c r="J213" s="8"/>
      <c r="K213" s="8" t="str">
        <f>IF(OR(J213="",E213=""),"",J213+IFERROR(VLOOKUP(E213,リードタイム!$A$2:$C$9,3,FALSE),0))</f>
        <v/>
      </c>
      <c r="L213" s="5" t="s">
        <v>531</v>
      </c>
      <c r="M213" s="8"/>
      <c r="N213" s="8" t="str">
        <f>IF(OR(M213="",E213=""),"",M213+IFERROR(VLOOKUP(E213,リードタイム!$A$2:$D$9,4,FALSE),0))</f>
        <v/>
      </c>
      <c r="O213" s="5" t="s">
        <v>531</v>
      </c>
      <c r="P213" s="5" t="s">
        <v>533</v>
      </c>
      <c r="Q213" s="5" t="s">
        <v>32</v>
      </c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  <c r="FS213" s="30"/>
      <c r="FT213" s="30"/>
      <c r="FU213" s="30"/>
      <c r="FV213" s="30"/>
      <c r="FW213" s="30"/>
      <c r="FX213" s="30"/>
      <c r="FY213" s="30"/>
      <c r="FZ213" s="30"/>
      <c r="GA213" s="30"/>
      <c r="GB213" s="30"/>
      <c r="GC213" s="30"/>
      <c r="GD213" s="30"/>
      <c r="GE213" s="30"/>
      <c r="GF213" s="30"/>
      <c r="GG213" s="30"/>
      <c r="GH213" s="30"/>
      <c r="GI213" s="30"/>
      <c r="GJ213" s="30"/>
      <c r="GK213" s="30"/>
      <c r="GL213" s="30"/>
      <c r="GM213" s="30"/>
      <c r="GN213" s="30"/>
      <c r="GO213" s="30"/>
      <c r="GP213" s="30"/>
      <c r="GQ213" s="30"/>
      <c r="GR213" s="30"/>
      <c r="GS213" s="30"/>
      <c r="GT213" s="30"/>
      <c r="GU213" s="30"/>
      <c r="GV213" s="30"/>
      <c r="GW213" s="30"/>
      <c r="GX213" s="30"/>
      <c r="GY213" s="30"/>
      <c r="GZ213" s="30"/>
      <c r="HA213" s="30"/>
      <c r="HB213" s="30"/>
      <c r="HC213" s="30"/>
      <c r="HD213" s="30"/>
      <c r="HE213" s="30"/>
      <c r="HF213" s="30"/>
      <c r="HG213" s="30"/>
      <c r="HH213" s="30"/>
      <c r="HI213" s="30"/>
      <c r="HJ213" s="30"/>
      <c r="HK213" s="30"/>
      <c r="HL213" s="30"/>
      <c r="HM213" s="30"/>
      <c r="HN213" s="30"/>
      <c r="HO213" s="30"/>
      <c r="HP213" s="30"/>
      <c r="HQ213" s="30"/>
      <c r="HR213" s="30"/>
      <c r="HS213" s="30"/>
      <c r="HT213" s="30"/>
      <c r="HU213" s="30"/>
      <c r="HV213" s="30"/>
      <c r="HW213" s="30"/>
      <c r="HX213" s="30"/>
      <c r="HY213" s="30"/>
      <c r="HZ213" s="30"/>
      <c r="IA213" s="30"/>
      <c r="IB213" s="30"/>
      <c r="IC213" s="30"/>
      <c r="ID213" s="30"/>
      <c r="IE213" s="30"/>
      <c r="IF213" s="30"/>
      <c r="IG213" s="30"/>
      <c r="IH213" s="30"/>
      <c r="II213" s="30"/>
      <c r="IJ213" s="30"/>
      <c r="IK213" s="30"/>
      <c r="IL213" s="30"/>
      <c r="IM213" s="30"/>
      <c r="IN213" s="30"/>
      <c r="IO213" s="30"/>
      <c r="IP213" s="30"/>
      <c r="IQ213" s="30"/>
      <c r="IR213" s="30"/>
      <c r="IS213" s="30"/>
      <c r="IT213" s="30"/>
      <c r="IU213" s="30"/>
      <c r="IV213" s="30"/>
      <c r="IW213" s="30"/>
      <c r="IX213" s="30"/>
      <c r="IY213" s="30"/>
      <c r="IZ213" s="30"/>
      <c r="JA213" s="30"/>
      <c r="JB213" s="30"/>
      <c r="JC213" s="30"/>
      <c r="JD213" s="30"/>
      <c r="JE213" s="30"/>
      <c r="JF213" s="30"/>
      <c r="JG213" s="30"/>
      <c r="JH213" s="30"/>
      <c r="JI213" s="30"/>
      <c r="JJ213" s="30"/>
      <c r="JK213" s="30"/>
      <c r="JL213" s="30"/>
      <c r="JM213" s="30"/>
      <c r="JN213" s="30"/>
      <c r="JO213" s="30"/>
      <c r="JP213" s="30"/>
      <c r="JQ213" s="30"/>
      <c r="JR213" s="30"/>
      <c r="JS213" s="30"/>
      <c r="JT213" s="30"/>
      <c r="JU213" s="30"/>
      <c r="JV213" s="30"/>
      <c r="JW213" s="30"/>
      <c r="JX213" s="30"/>
      <c r="JY213" s="30"/>
      <c r="JZ213" s="30"/>
      <c r="KA213" s="30"/>
      <c r="KB213" s="30"/>
      <c r="KC213" s="30"/>
      <c r="KD213" s="30"/>
      <c r="KE213" s="30"/>
      <c r="KF213" s="30"/>
      <c r="KG213" s="30"/>
      <c r="KH213" s="30"/>
      <c r="KI213" s="30"/>
      <c r="KJ213" s="30"/>
      <c r="KK213" s="30"/>
      <c r="KL213" s="30"/>
      <c r="KM213" s="30"/>
      <c r="KN213" s="30"/>
      <c r="KO213" s="30"/>
      <c r="KP213" s="30"/>
      <c r="KQ213" s="30"/>
      <c r="KR213" s="30"/>
      <c r="KS213" s="30"/>
      <c r="KT213" s="30"/>
      <c r="KU213" s="30"/>
      <c r="KV213" s="30"/>
      <c r="KW213" s="30"/>
      <c r="KX213" s="30"/>
      <c r="KY213" s="30"/>
      <c r="KZ213" s="30"/>
      <c r="LA213" s="30"/>
      <c r="LB213" s="30"/>
      <c r="LC213" s="30"/>
      <c r="LD213" s="30"/>
      <c r="LE213" s="30"/>
      <c r="LF213" s="30"/>
      <c r="LG213" s="30"/>
      <c r="LH213" s="30"/>
      <c r="LI213" s="30"/>
      <c r="LJ213" s="30"/>
      <c r="LK213" s="30"/>
      <c r="LL213" s="30"/>
      <c r="LM213" s="30"/>
      <c r="LN213" s="30"/>
      <c r="LO213" s="30"/>
      <c r="LP213" s="30"/>
      <c r="LQ213" s="30"/>
      <c r="LR213" s="30"/>
      <c r="LS213" s="30"/>
      <c r="LT213" s="30"/>
      <c r="LU213" s="30"/>
      <c r="LV213" s="30"/>
      <c r="LW213" s="30"/>
      <c r="LX213" s="30"/>
      <c r="LY213" s="30"/>
      <c r="LZ213" s="30"/>
      <c r="MA213" s="30"/>
      <c r="MB213" s="30"/>
      <c r="MC213" s="30"/>
      <c r="MD213" s="30"/>
      <c r="ME213" s="30"/>
      <c r="MF213" s="30"/>
      <c r="MG213" s="30"/>
      <c r="MH213" s="30"/>
      <c r="MI213" s="30"/>
      <c r="MJ213" s="30"/>
      <c r="MK213" s="30"/>
      <c r="ML213" s="30"/>
      <c r="MM213" s="30"/>
      <c r="MN213" s="30"/>
      <c r="MO213" s="30"/>
      <c r="MP213" s="30"/>
      <c r="MQ213" s="30"/>
      <c r="MR213" s="30"/>
      <c r="MS213" s="30"/>
      <c r="MT213" s="30"/>
      <c r="MU213" s="30"/>
      <c r="MV213" s="30"/>
      <c r="MW213" s="30"/>
      <c r="MX213" s="30"/>
      <c r="MY213" s="30"/>
      <c r="MZ213" s="30"/>
      <c r="NA213" s="30"/>
      <c r="NB213" s="30"/>
      <c r="NC213" s="30"/>
      <c r="ND213" s="30"/>
      <c r="NE213" s="30"/>
      <c r="NF213" s="30"/>
      <c r="NG213" s="30"/>
      <c r="NH213" s="30"/>
      <c r="NI213" s="30"/>
      <c r="NJ213" s="30"/>
      <c r="NK213" s="30"/>
      <c r="NL213" s="30"/>
      <c r="NM213" s="30"/>
      <c r="NN213" s="30"/>
      <c r="NO213" s="30"/>
      <c r="NP213" s="30"/>
      <c r="NQ213" s="30"/>
      <c r="NR213" s="30"/>
    </row>
    <row r="214" spans="1:382" s="3" customFormat="1" ht="20.100000000000001" customHeight="1" x14ac:dyDescent="0.4">
      <c r="A214" s="29">
        <v>2</v>
      </c>
      <c r="B214" s="5">
        <v>1822</v>
      </c>
      <c r="C214" s="5" t="s">
        <v>310</v>
      </c>
      <c r="D214" s="5" t="s">
        <v>48</v>
      </c>
      <c r="E214" s="5" t="s">
        <v>12</v>
      </c>
      <c r="F214" s="5" t="s">
        <v>32</v>
      </c>
      <c r="G214" s="5" t="s">
        <v>32</v>
      </c>
      <c r="H214" s="5" t="s">
        <v>32</v>
      </c>
      <c r="I214" s="8">
        <v>46078.625</v>
      </c>
      <c r="J214" s="8"/>
      <c r="K214" s="8" t="str">
        <f>IF(OR(J214="",E214=""),"",J214+IFERROR(VLOOKUP(E214,リードタイム!$A$2:$C$9,3,FALSE),0))</f>
        <v/>
      </c>
      <c r="L214" s="5" t="s">
        <v>531</v>
      </c>
      <c r="M214" s="8"/>
      <c r="N214" s="8" t="str">
        <f>IF(OR(M214="",E214=""),"",M214+IFERROR(VLOOKUP(E214,リードタイム!$A$2:$D$9,4,FALSE),0))</f>
        <v/>
      </c>
      <c r="O214" s="5" t="s">
        <v>531</v>
      </c>
      <c r="P214" s="5" t="s">
        <v>532</v>
      </c>
      <c r="Q214" s="5" t="s">
        <v>32</v>
      </c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0"/>
      <c r="GT214" s="30"/>
      <c r="GU214" s="30"/>
      <c r="GV214" s="30"/>
      <c r="GW214" s="30"/>
      <c r="GX214" s="30"/>
      <c r="GY214" s="30"/>
      <c r="GZ214" s="30"/>
      <c r="HA214" s="30"/>
      <c r="HB214" s="30"/>
      <c r="HC214" s="30"/>
      <c r="HD214" s="30"/>
      <c r="HE214" s="30"/>
      <c r="HF214" s="30"/>
      <c r="HG214" s="30"/>
      <c r="HH214" s="30"/>
      <c r="HI214" s="30"/>
      <c r="HJ214" s="30"/>
      <c r="HK214" s="30"/>
      <c r="HL214" s="30"/>
      <c r="HM214" s="30"/>
      <c r="HN214" s="30"/>
      <c r="HO214" s="30"/>
      <c r="HP214" s="30"/>
      <c r="HQ214" s="30"/>
      <c r="HR214" s="30"/>
      <c r="HS214" s="30"/>
      <c r="HT214" s="30"/>
      <c r="HU214" s="30"/>
      <c r="HV214" s="30"/>
      <c r="HW214" s="30"/>
      <c r="HX214" s="30"/>
      <c r="HY214" s="30"/>
      <c r="HZ214" s="30"/>
      <c r="IA214" s="30"/>
      <c r="IB214" s="30"/>
      <c r="IC214" s="30"/>
      <c r="ID214" s="30"/>
      <c r="IE214" s="30"/>
      <c r="IF214" s="30"/>
      <c r="IG214" s="30"/>
      <c r="IH214" s="30"/>
      <c r="II214" s="30"/>
      <c r="IJ214" s="30"/>
      <c r="IK214" s="30"/>
      <c r="IL214" s="30"/>
      <c r="IM214" s="30"/>
      <c r="IN214" s="30"/>
      <c r="IO214" s="30"/>
      <c r="IP214" s="30"/>
      <c r="IQ214" s="30"/>
      <c r="IR214" s="30"/>
      <c r="IS214" s="30"/>
      <c r="IT214" s="30"/>
      <c r="IU214" s="30"/>
      <c r="IV214" s="30"/>
      <c r="IW214" s="30"/>
      <c r="IX214" s="30"/>
      <c r="IY214" s="30"/>
      <c r="IZ214" s="30"/>
      <c r="JA214" s="30"/>
      <c r="JB214" s="30"/>
      <c r="JC214" s="30"/>
      <c r="JD214" s="30"/>
      <c r="JE214" s="30"/>
      <c r="JF214" s="30"/>
      <c r="JG214" s="30"/>
      <c r="JH214" s="30"/>
      <c r="JI214" s="30"/>
      <c r="JJ214" s="30"/>
      <c r="JK214" s="30"/>
      <c r="JL214" s="30"/>
      <c r="JM214" s="30"/>
      <c r="JN214" s="30"/>
      <c r="JO214" s="30"/>
      <c r="JP214" s="30"/>
      <c r="JQ214" s="30"/>
      <c r="JR214" s="30"/>
      <c r="JS214" s="30"/>
      <c r="JT214" s="30"/>
      <c r="JU214" s="30"/>
      <c r="JV214" s="30"/>
      <c r="JW214" s="30"/>
      <c r="JX214" s="30"/>
      <c r="JY214" s="30"/>
      <c r="JZ214" s="30"/>
      <c r="KA214" s="30"/>
      <c r="KB214" s="30"/>
      <c r="KC214" s="30"/>
      <c r="KD214" s="30"/>
      <c r="KE214" s="30"/>
      <c r="KF214" s="30"/>
      <c r="KG214" s="30"/>
      <c r="KH214" s="30"/>
      <c r="KI214" s="30"/>
      <c r="KJ214" s="30"/>
      <c r="KK214" s="30"/>
      <c r="KL214" s="30"/>
      <c r="KM214" s="30"/>
      <c r="KN214" s="30"/>
      <c r="KO214" s="30"/>
      <c r="KP214" s="30"/>
      <c r="KQ214" s="30"/>
      <c r="KR214" s="30"/>
      <c r="KS214" s="30"/>
      <c r="KT214" s="30"/>
      <c r="KU214" s="30"/>
      <c r="KV214" s="30"/>
      <c r="KW214" s="30"/>
      <c r="KX214" s="30"/>
      <c r="KY214" s="30"/>
      <c r="KZ214" s="30"/>
      <c r="LA214" s="30"/>
      <c r="LB214" s="30"/>
      <c r="LC214" s="30"/>
      <c r="LD214" s="30"/>
      <c r="LE214" s="30"/>
      <c r="LF214" s="30"/>
      <c r="LG214" s="30"/>
      <c r="LH214" s="30"/>
      <c r="LI214" s="30"/>
      <c r="LJ214" s="30"/>
      <c r="LK214" s="30"/>
      <c r="LL214" s="30"/>
      <c r="LM214" s="30"/>
      <c r="LN214" s="30"/>
      <c r="LO214" s="30"/>
      <c r="LP214" s="30"/>
      <c r="LQ214" s="30"/>
      <c r="LR214" s="30"/>
      <c r="LS214" s="30"/>
      <c r="LT214" s="30"/>
      <c r="LU214" s="30"/>
      <c r="LV214" s="30"/>
      <c r="LW214" s="30"/>
      <c r="LX214" s="30"/>
      <c r="LY214" s="30"/>
      <c r="LZ214" s="30"/>
      <c r="MA214" s="30"/>
      <c r="MB214" s="30"/>
      <c r="MC214" s="30"/>
      <c r="MD214" s="30"/>
      <c r="ME214" s="30"/>
      <c r="MF214" s="30"/>
      <c r="MG214" s="30"/>
      <c r="MH214" s="30"/>
      <c r="MI214" s="30"/>
      <c r="MJ214" s="30"/>
      <c r="MK214" s="30"/>
      <c r="ML214" s="30"/>
      <c r="MM214" s="30"/>
      <c r="MN214" s="30"/>
      <c r="MO214" s="30"/>
      <c r="MP214" s="30"/>
      <c r="MQ214" s="30"/>
      <c r="MR214" s="30"/>
      <c r="MS214" s="30"/>
      <c r="MT214" s="30"/>
      <c r="MU214" s="30"/>
      <c r="MV214" s="30"/>
      <c r="MW214" s="30"/>
      <c r="MX214" s="30"/>
      <c r="MY214" s="30"/>
      <c r="MZ214" s="30"/>
      <c r="NA214" s="30"/>
      <c r="NB214" s="30"/>
      <c r="NC214" s="30"/>
      <c r="ND214" s="30"/>
      <c r="NE214" s="30"/>
      <c r="NF214" s="30"/>
      <c r="NG214" s="30"/>
      <c r="NH214" s="30"/>
      <c r="NI214" s="30"/>
      <c r="NJ214" s="30"/>
      <c r="NK214" s="30"/>
      <c r="NL214" s="30"/>
      <c r="NM214" s="30"/>
      <c r="NN214" s="30"/>
      <c r="NO214" s="30"/>
      <c r="NP214" s="30"/>
      <c r="NQ214" s="30"/>
      <c r="NR214" s="30"/>
    </row>
    <row r="215" spans="1:382" s="3" customFormat="1" ht="20.100000000000001" customHeight="1" x14ac:dyDescent="0.4">
      <c r="A215" s="29">
        <v>1</v>
      </c>
      <c r="B215" s="5">
        <v>1952</v>
      </c>
      <c r="C215" s="5" t="s">
        <v>311</v>
      </c>
      <c r="D215" s="5" t="s">
        <v>312</v>
      </c>
      <c r="E215" s="5" t="s">
        <v>16</v>
      </c>
      <c r="F215" s="5" t="s">
        <v>32</v>
      </c>
      <c r="G215" s="5" t="s">
        <v>32</v>
      </c>
      <c r="H215" s="5" t="s">
        <v>32</v>
      </c>
      <c r="I215" s="8">
        <v>46052.625</v>
      </c>
      <c r="J215" s="8"/>
      <c r="K215" s="8" t="str">
        <f>IF(OR(J215="",E215=""),"",J215+IFERROR(VLOOKUP(E215,リードタイム!$A$2:$C$9,3,FALSE),0))</f>
        <v/>
      </c>
      <c r="L215" s="5" t="s">
        <v>531</v>
      </c>
      <c r="M215" s="8"/>
      <c r="N215" s="8" t="str">
        <f>IF(OR(M215="",E215=""),"",M215+IFERROR(VLOOKUP(E215,リードタイム!$A$2:$D$9,4,FALSE),0))</f>
        <v/>
      </c>
      <c r="O215" s="5" t="s">
        <v>531</v>
      </c>
      <c r="P215" s="5" t="s">
        <v>533</v>
      </c>
      <c r="Q215" s="5" t="s">
        <v>313</v>
      </c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  <c r="FS215" s="30"/>
      <c r="FT215" s="30"/>
      <c r="FU215" s="30"/>
      <c r="FV215" s="30"/>
      <c r="FW215" s="30"/>
      <c r="FX215" s="30"/>
      <c r="FY215" s="30"/>
      <c r="FZ215" s="30"/>
      <c r="GA215" s="30"/>
      <c r="GB215" s="30"/>
      <c r="GC215" s="30"/>
      <c r="GD215" s="30"/>
      <c r="GE215" s="30"/>
      <c r="GF215" s="30"/>
      <c r="GG215" s="30"/>
      <c r="GH215" s="30"/>
      <c r="GI215" s="30"/>
      <c r="GJ215" s="30"/>
      <c r="GK215" s="30"/>
      <c r="GL215" s="30"/>
      <c r="GM215" s="30"/>
      <c r="GN215" s="30"/>
      <c r="GO215" s="30"/>
      <c r="GP215" s="30"/>
      <c r="GQ215" s="30"/>
      <c r="GR215" s="30"/>
      <c r="GS215" s="30"/>
      <c r="GT215" s="30"/>
      <c r="GU215" s="30"/>
      <c r="GV215" s="30"/>
      <c r="GW215" s="30"/>
      <c r="GX215" s="30"/>
      <c r="GY215" s="30"/>
      <c r="GZ215" s="30"/>
      <c r="HA215" s="30"/>
      <c r="HB215" s="30"/>
      <c r="HC215" s="30"/>
      <c r="HD215" s="30"/>
      <c r="HE215" s="30"/>
      <c r="HF215" s="30"/>
      <c r="HG215" s="30"/>
      <c r="HH215" s="30"/>
      <c r="HI215" s="30"/>
      <c r="HJ215" s="30"/>
      <c r="HK215" s="30"/>
      <c r="HL215" s="30"/>
      <c r="HM215" s="30"/>
      <c r="HN215" s="30"/>
      <c r="HO215" s="30"/>
      <c r="HP215" s="30"/>
      <c r="HQ215" s="30"/>
      <c r="HR215" s="30"/>
      <c r="HS215" s="30"/>
      <c r="HT215" s="30"/>
      <c r="HU215" s="30"/>
      <c r="HV215" s="30"/>
      <c r="HW215" s="30"/>
      <c r="HX215" s="30"/>
      <c r="HY215" s="30"/>
      <c r="HZ215" s="30"/>
      <c r="IA215" s="30"/>
      <c r="IB215" s="30"/>
      <c r="IC215" s="30"/>
      <c r="ID215" s="30"/>
      <c r="IE215" s="30"/>
      <c r="IF215" s="30"/>
      <c r="IG215" s="30"/>
      <c r="IH215" s="30"/>
      <c r="II215" s="30"/>
      <c r="IJ215" s="30"/>
      <c r="IK215" s="30"/>
      <c r="IL215" s="30"/>
      <c r="IM215" s="30"/>
      <c r="IN215" s="30"/>
      <c r="IO215" s="30"/>
      <c r="IP215" s="30"/>
      <c r="IQ215" s="30"/>
      <c r="IR215" s="30"/>
      <c r="IS215" s="30"/>
      <c r="IT215" s="30"/>
      <c r="IU215" s="30"/>
      <c r="IV215" s="30"/>
      <c r="IW215" s="30"/>
      <c r="IX215" s="30"/>
      <c r="IY215" s="30"/>
      <c r="IZ215" s="30"/>
      <c r="JA215" s="30"/>
      <c r="JB215" s="30"/>
      <c r="JC215" s="30"/>
      <c r="JD215" s="30"/>
      <c r="JE215" s="30"/>
      <c r="JF215" s="30"/>
      <c r="JG215" s="30"/>
      <c r="JH215" s="30"/>
      <c r="JI215" s="30"/>
      <c r="JJ215" s="30"/>
      <c r="JK215" s="30"/>
      <c r="JL215" s="30"/>
      <c r="JM215" s="30"/>
      <c r="JN215" s="30"/>
      <c r="JO215" s="30"/>
      <c r="JP215" s="30"/>
      <c r="JQ215" s="30"/>
      <c r="JR215" s="30"/>
      <c r="JS215" s="30"/>
      <c r="JT215" s="30"/>
      <c r="JU215" s="30"/>
      <c r="JV215" s="30"/>
      <c r="JW215" s="30"/>
      <c r="JX215" s="30"/>
      <c r="JY215" s="30"/>
      <c r="JZ215" s="30"/>
      <c r="KA215" s="30"/>
      <c r="KB215" s="30"/>
      <c r="KC215" s="30"/>
      <c r="KD215" s="30"/>
      <c r="KE215" s="30"/>
      <c r="KF215" s="30"/>
      <c r="KG215" s="30"/>
      <c r="KH215" s="30"/>
      <c r="KI215" s="30"/>
      <c r="KJ215" s="30"/>
      <c r="KK215" s="30"/>
      <c r="KL215" s="30"/>
      <c r="KM215" s="30"/>
      <c r="KN215" s="30"/>
      <c r="KO215" s="30"/>
      <c r="KP215" s="30"/>
      <c r="KQ215" s="30"/>
      <c r="KR215" s="30"/>
      <c r="KS215" s="30"/>
      <c r="KT215" s="30"/>
      <c r="KU215" s="30"/>
      <c r="KV215" s="30"/>
      <c r="KW215" s="30"/>
      <c r="KX215" s="30"/>
      <c r="KY215" s="30"/>
      <c r="KZ215" s="30"/>
      <c r="LA215" s="30"/>
      <c r="LB215" s="30"/>
      <c r="LC215" s="30"/>
      <c r="LD215" s="30"/>
      <c r="LE215" s="30"/>
      <c r="LF215" s="30"/>
      <c r="LG215" s="30"/>
      <c r="LH215" s="30"/>
      <c r="LI215" s="30"/>
      <c r="LJ215" s="30"/>
      <c r="LK215" s="30"/>
      <c r="LL215" s="30"/>
      <c r="LM215" s="30"/>
      <c r="LN215" s="30"/>
      <c r="LO215" s="30"/>
      <c r="LP215" s="30"/>
      <c r="LQ215" s="30"/>
      <c r="LR215" s="30"/>
      <c r="LS215" s="30"/>
      <c r="LT215" s="30"/>
      <c r="LU215" s="30"/>
      <c r="LV215" s="30"/>
      <c r="LW215" s="30"/>
      <c r="LX215" s="30"/>
      <c r="LY215" s="30"/>
      <c r="LZ215" s="30"/>
      <c r="MA215" s="30"/>
      <c r="MB215" s="30"/>
      <c r="MC215" s="30"/>
      <c r="MD215" s="30"/>
      <c r="ME215" s="30"/>
      <c r="MF215" s="30"/>
      <c r="MG215" s="30"/>
      <c r="MH215" s="30"/>
      <c r="MI215" s="30"/>
      <c r="MJ215" s="30"/>
      <c r="MK215" s="30"/>
      <c r="ML215" s="30"/>
      <c r="MM215" s="30"/>
      <c r="MN215" s="30"/>
      <c r="MO215" s="30"/>
      <c r="MP215" s="30"/>
      <c r="MQ215" s="30"/>
      <c r="MR215" s="30"/>
      <c r="MS215" s="30"/>
      <c r="MT215" s="30"/>
      <c r="MU215" s="30"/>
      <c r="MV215" s="30"/>
      <c r="MW215" s="30"/>
      <c r="MX215" s="30"/>
      <c r="MY215" s="30"/>
      <c r="MZ215" s="30"/>
      <c r="NA215" s="30"/>
      <c r="NB215" s="30"/>
      <c r="NC215" s="30"/>
      <c r="ND215" s="30"/>
      <c r="NE215" s="30"/>
      <c r="NF215" s="30"/>
      <c r="NG215" s="30"/>
      <c r="NH215" s="30"/>
      <c r="NI215" s="30"/>
      <c r="NJ215" s="30"/>
      <c r="NK215" s="30"/>
      <c r="NL215" s="30"/>
      <c r="NM215" s="30"/>
      <c r="NN215" s="30"/>
      <c r="NO215" s="30"/>
      <c r="NP215" s="30"/>
      <c r="NQ215" s="30"/>
      <c r="NR215" s="30"/>
    </row>
    <row r="216" spans="1:382" s="3" customFormat="1" ht="20.100000000000001" customHeight="1" x14ac:dyDescent="0.4">
      <c r="A216" s="29">
        <v>1</v>
      </c>
      <c r="B216" s="5">
        <v>1921</v>
      </c>
      <c r="C216" s="5" t="s">
        <v>314</v>
      </c>
      <c r="D216" s="5" t="s">
        <v>315</v>
      </c>
      <c r="E216" s="5" t="s">
        <v>18</v>
      </c>
      <c r="F216" s="5" t="s">
        <v>32</v>
      </c>
      <c r="G216" s="5" t="s">
        <v>32</v>
      </c>
      <c r="H216" s="5" t="s">
        <v>32</v>
      </c>
      <c r="I216" s="8">
        <v>45939.625</v>
      </c>
      <c r="J216" s="8"/>
      <c r="K216" s="8" t="str">
        <f>IF(OR(J216="",E216=""),"",J216+IFERROR(VLOOKUP(E216,リードタイム!$A$2:$C$9,3,FALSE),0))</f>
        <v/>
      </c>
      <c r="L216" s="5" t="s">
        <v>531</v>
      </c>
      <c r="M216" s="8"/>
      <c r="N216" s="8" t="str">
        <f>IF(OR(M216="",E216=""),"",M216+IFERROR(VLOOKUP(E216,リードタイム!$A$2:$D$9,4,FALSE),0))</f>
        <v/>
      </c>
      <c r="O216" s="5" t="s">
        <v>531</v>
      </c>
      <c r="P216" s="5" t="s">
        <v>533</v>
      </c>
      <c r="Q216" s="5" t="s">
        <v>316</v>
      </c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  <c r="FS216" s="30"/>
      <c r="FT216" s="30"/>
      <c r="FU216" s="30"/>
      <c r="FV216" s="30"/>
      <c r="FW216" s="30"/>
      <c r="FX216" s="30"/>
      <c r="FY216" s="30"/>
      <c r="FZ216" s="30"/>
      <c r="GA216" s="30"/>
      <c r="GB216" s="30"/>
      <c r="GC216" s="30"/>
      <c r="GD216" s="30"/>
      <c r="GE216" s="30"/>
      <c r="GF216" s="30"/>
      <c r="GG216" s="30"/>
      <c r="GH216" s="30"/>
      <c r="GI216" s="30"/>
      <c r="GJ216" s="30"/>
      <c r="GK216" s="30"/>
      <c r="GL216" s="30"/>
      <c r="GM216" s="30"/>
      <c r="GN216" s="30"/>
      <c r="GO216" s="30"/>
      <c r="GP216" s="30"/>
      <c r="GQ216" s="30"/>
      <c r="GR216" s="30"/>
      <c r="GS216" s="30"/>
      <c r="GT216" s="30"/>
      <c r="GU216" s="30"/>
      <c r="GV216" s="30"/>
      <c r="GW216" s="30"/>
      <c r="GX216" s="30"/>
      <c r="GY216" s="30"/>
      <c r="GZ216" s="30"/>
      <c r="HA216" s="30"/>
      <c r="HB216" s="30"/>
      <c r="HC216" s="30"/>
      <c r="HD216" s="30"/>
      <c r="HE216" s="30"/>
      <c r="HF216" s="30"/>
      <c r="HG216" s="30"/>
      <c r="HH216" s="30"/>
      <c r="HI216" s="30"/>
      <c r="HJ216" s="30"/>
      <c r="HK216" s="30"/>
      <c r="HL216" s="30"/>
      <c r="HM216" s="30"/>
      <c r="HN216" s="30"/>
      <c r="HO216" s="30"/>
      <c r="HP216" s="30"/>
      <c r="HQ216" s="30"/>
      <c r="HR216" s="30"/>
      <c r="HS216" s="30"/>
      <c r="HT216" s="30"/>
      <c r="HU216" s="30"/>
      <c r="HV216" s="30"/>
      <c r="HW216" s="30"/>
      <c r="HX216" s="30"/>
      <c r="HY216" s="30"/>
      <c r="HZ216" s="30"/>
      <c r="IA216" s="30"/>
      <c r="IB216" s="30"/>
      <c r="IC216" s="30"/>
      <c r="ID216" s="30"/>
      <c r="IE216" s="30"/>
      <c r="IF216" s="30"/>
      <c r="IG216" s="30"/>
      <c r="IH216" s="30"/>
      <c r="II216" s="30"/>
      <c r="IJ216" s="30"/>
      <c r="IK216" s="30"/>
      <c r="IL216" s="30"/>
      <c r="IM216" s="30"/>
      <c r="IN216" s="30"/>
      <c r="IO216" s="30"/>
      <c r="IP216" s="30"/>
      <c r="IQ216" s="30"/>
      <c r="IR216" s="30"/>
      <c r="IS216" s="30"/>
      <c r="IT216" s="30"/>
      <c r="IU216" s="30"/>
      <c r="IV216" s="30"/>
      <c r="IW216" s="30"/>
      <c r="IX216" s="30"/>
      <c r="IY216" s="30"/>
      <c r="IZ216" s="30"/>
      <c r="JA216" s="30"/>
      <c r="JB216" s="30"/>
      <c r="JC216" s="30"/>
      <c r="JD216" s="30"/>
      <c r="JE216" s="30"/>
      <c r="JF216" s="30"/>
      <c r="JG216" s="30"/>
      <c r="JH216" s="30"/>
      <c r="JI216" s="30"/>
      <c r="JJ216" s="30"/>
      <c r="JK216" s="30"/>
      <c r="JL216" s="30"/>
      <c r="JM216" s="30"/>
      <c r="JN216" s="30"/>
      <c r="JO216" s="30"/>
      <c r="JP216" s="30"/>
      <c r="JQ216" s="30"/>
      <c r="JR216" s="30"/>
      <c r="JS216" s="30"/>
      <c r="JT216" s="30"/>
      <c r="JU216" s="30"/>
      <c r="JV216" s="30"/>
      <c r="JW216" s="30"/>
      <c r="JX216" s="30"/>
      <c r="JY216" s="30"/>
      <c r="JZ216" s="30"/>
      <c r="KA216" s="30"/>
      <c r="KB216" s="30"/>
      <c r="KC216" s="30"/>
      <c r="KD216" s="30"/>
      <c r="KE216" s="30"/>
      <c r="KF216" s="30"/>
      <c r="KG216" s="30"/>
      <c r="KH216" s="30"/>
      <c r="KI216" s="30"/>
      <c r="KJ216" s="30"/>
      <c r="KK216" s="30"/>
      <c r="KL216" s="30"/>
      <c r="KM216" s="30"/>
      <c r="KN216" s="30"/>
      <c r="KO216" s="30"/>
      <c r="KP216" s="30"/>
      <c r="KQ216" s="30"/>
      <c r="KR216" s="30"/>
      <c r="KS216" s="30"/>
      <c r="KT216" s="30"/>
      <c r="KU216" s="30"/>
      <c r="KV216" s="30"/>
      <c r="KW216" s="30"/>
      <c r="KX216" s="30"/>
      <c r="KY216" s="30"/>
      <c r="KZ216" s="30"/>
      <c r="LA216" s="30"/>
      <c r="LB216" s="30"/>
      <c r="LC216" s="30"/>
      <c r="LD216" s="30"/>
      <c r="LE216" s="30"/>
      <c r="LF216" s="30"/>
      <c r="LG216" s="30"/>
      <c r="LH216" s="30"/>
      <c r="LI216" s="30"/>
      <c r="LJ216" s="30"/>
      <c r="LK216" s="30"/>
      <c r="LL216" s="30"/>
      <c r="LM216" s="30"/>
      <c r="LN216" s="30"/>
      <c r="LO216" s="30"/>
      <c r="LP216" s="30"/>
      <c r="LQ216" s="30"/>
      <c r="LR216" s="30"/>
      <c r="LS216" s="30"/>
      <c r="LT216" s="30"/>
      <c r="LU216" s="30"/>
      <c r="LV216" s="30"/>
      <c r="LW216" s="30"/>
      <c r="LX216" s="30"/>
      <c r="LY216" s="30"/>
      <c r="LZ216" s="30"/>
      <c r="MA216" s="30"/>
      <c r="MB216" s="30"/>
      <c r="MC216" s="30"/>
      <c r="MD216" s="30"/>
      <c r="ME216" s="30"/>
      <c r="MF216" s="30"/>
      <c r="MG216" s="30"/>
      <c r="MH216" s="30"/>
      <c r="MI216" s="30"/>
      <c r="MJ216" s="30"/>
      <c r="MK216" s="30"/>
      <c r="ML216" s="30"/>
      <c r="MM216" s="30"/>
      <c r="MN216" s="30"/>
      <c r="MO216" s="30"/>
      <c r="MP216" s="30"/>
      <c r="MQ216" s="30"/>
      <c r="MR216" s="30"/>
      <c r="MS216" s="30"/>
      <c r="MT216" s="30"/>
      <c r="MU216" s="30"/>
      <c r="MV216" s="30"/>
      <c r="MW216" s="30"/>
      <c r="MX216" s="30"/>
      <c r="MY216" s="30"/>
      <c r="MZ216" s="30"/>
      <c r="NA216" s="30"/>
      <c r="NB216" s="30"/>
      <c r="NC216" s="30"/>
      <c r="ND216" s="30"/>
      <c r="NE216" s="30"/>
      <c r="NF216" s="30"/>
      <c r="NG216" s="30"/>
      <c r="NH216" s="30"/>
      <c r="NI216" s="30"/>
      <c r="NJ216" s="30"/>
      <c r="NK216" s="30"/>
      <c r="NL216" s="30"/>
      <c r="NM216" s="30"/>
      <c r="NN216" s="30"/>
      <c r="NO216" s="30"/>
      <c r="NP216" s="30"/>
      <c r="NQ216" s="30"/>
      <c r="NR216" s="30"/>
    </row>
    <row r="217" spans="1:382" s="3" customFormat="1" ht="20.100000000000001" customHeight="1" x14ac:dyDescent="0.4">
      <c r="A217" s="29">
        <v>1</v>
      </c>
      <c r="B217" s="5">
        <v>2004</v>
      </c>
      <c r="C217" s="5" t="s">
        <v>317</v>
      </c>
      <c r="D217" s="5" t="s">
        <v>318</v>
      </c>
      <c r="E217" s="5" t="s">
        <v>18</v>
      </c>
      <c r="F217" s="5" t="s">
        <v>32</v>
      </c>
      <c r="G217" s="5" t="s">
        <v>32</v>
      </c>
      <c r="H217" s="5" t="s">
        <v>32</v>
      </c>
      <c r="I217" s="8"/>
      <c r="J217" s="8"/>
      <c r="K217" s="8" t="str">
        <f>IF(OR(J217="",E217=""),"",J217+IFERROR(VLOOKUP(E217,リードタイム!$A$2:$C$9,3,FALSE),0))</f>
        <v/>
      </c>
      <c r="L217" s="5" t="s">
        <v>530</v>
      </c>
      <c r="M217" s="8"/>
      <c r="N217" s="8" t="str">
        <f>IF(OR(M217="",E217=""),"",M217+IFERROR(VLOOKUP(E217,リードタイム!$A$2:$D$9,4,FALSE),0))</f>
        <v/>
      </c>
      <c r="O217" s="5" t="s">
        <v>530</v>
      </c>
      <c r="P217" s="5" t="s">
        <v>530</v>
      </c>
      <c r="Q217" s="5" t="s">
        <v>32</v>
      </c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  <c r="FS217" s="30"/>
      <c r="FT217" s="30"/>
      <c r="FU217" s="30"/>
      <c r="FV217" s="30"/>
      <c r="FW217" s="30"/>
      <c r="FX217" s="30"/>
      <c r="FY217" s="30"/>
      <c r="FZ217" s="30"/>
      <c r="GA217" s="30"/>
      <c r="GB217" s="30"/>
      <c r="GC217" s="30"/>
      <c r="GD217" s="30"/>
      <c r="GE217" s="30"/>
      <c r="GF217" s="30"/>
      <c r="GG217" s="30"/>
      <c r="GH217" s="30"/>
      <c r="GI217" s="30"/>
      <c r="GJ217" s="30"/>
      <c r="GK217" s="30"/>
      <c r="GL217" s="30"/>
      <c r="GM217" s="30"/>
      <c r="GN217" s="30"/>
      <c r="GO217" s="30"/>
      <c r="GP217" s="30"/>
      <c r="GQ217" s="30"/>
      <c r="GR217" s="30"/>
      <c r="GS217" s="30"/>
      <c r="GT217" s="30"/>
      <c r="GU217" s="30"/>
      <c r="GV217" s="30"/>
      <c r="GW217" s="30"/>
      <c r="GX217" s="30"/>
      <c r="GY217" s="30"/>
      <c r="GZ217" s="30"/>
      <c r="HA217" s="30"/>
      <c r="HB217" s="30"/>
      <c r="HC217" s="30"/>
      <c r="HD217" s="30"/>
      <c r="HE217" s="30"/>
      <c r="HF217" s="30"/>
      <c r="HG217" s="30"/>
      <c r="HH217" s="30"/>
      <c r="HI217" s="30"/>
      <c r="HJ217" s="30"/>
      <c r="HK217" s="30"/>
      <c r="HL217" s="30"/>
      <c r="HM217" s="30"/>
      <c r="HN217" s="30"/>
      <c r="HO217" s="30"/>
      <c r="HP217" s="30"/>
      <c r="HQ217" s="30"/>
      <c r="HR217" s="30"/>
      <c r="HS217" s="30"/>
      <c r="HT217" s="30"/>
      <c r="HU217" s="30"/>
      <c r="HV217" s="30"/>
      <c r="HW217" s="30"/>
      <c r="HX217" s="30"/>
      <c r="HY217" s="30"/>
      <c r="HZ217" s="30"/>
      <c r="IA217" s="30"/>
      <c r="IB217" s="30"/>
      <c r="IC217" s="30"/>
      <c r="ID217" s="30"/>
      <c r="IE217" s="30"/>
      <c r="IF217" s="30"/>
      <c r="IG217" s="30"/>
      <c r="IH217" s="30"/>
      <c r="II217" s="30"/>
      <c r="IJ217" s="30"/>
      <c r="IK217" s="30"/>
      <c r="IL217" s="30"/>
      <c r="IM217" s="30"/>
      <c r="IN217" s="30"/>
      <c r="IO217" s="30"/>
      <c r="IP217" s="30"/>
      <c r="IQ217" s="30"/>
      <c r="IR217" s="30"/>
      <c r="IS217" s="30"/>
      <c r="IT217" s="30"/>
      <c r="IU217" s="30"/>
      <c r="IV217" s="30"/>
      <c r="IW217" s="30"/>
      <c r="IX217" s="30"/>
      <c r="IY217" s="30"/>
      <c r="IZ217" s="30"/>
      <c r="JA217" s="30"/>
      <c r="JB217" s="30"/>
      <c r="JC217" s="30"/>
      <c r="JD217" s="30"/>
      <c r="JE217" s="30"/>
      <c r="JF217" s="30"/>
      <c r="JG217" s="30"/>
      <c r="JH217" s="30"/>
      <c r="JI217" s="30"/>
      <c r="JJ217" s="30"/>
      <c r="JK217" s="30"/>
      <c r="JL217" s="30"/>
      <c r="JM217" s="30"/>
      <c r="JN217" s="30"/>
      <c r="JO217" s="30"/>
      <c r="JP217" s="30"/>
      <c r="JQ217" s="30"/>
      <c r="JR217" s="30"/>
      <c r="JS217" s="30"/>
      <c r="JT217" s="30"/>
      <c r="JU217" s="30"/>
      <c r="JV217" s="30"/>
      <c r="JW217" s="30"/>
      <c r="JX217" s="30"/>
      <c r="JY217" s="30"/>
      <c r="JZ217" s="30"/>
      <c r="KA217" s="30"/>
      <c r="KB217" s="30"/>
      <c r="KC217" s="30"/>
      <c r="KD217" s="30"/>
      <c r="KE217" s="30"/>
      <c r="KF217" s="30"/>
      <c r="KG217" s="30"/>
      <c r="KH217" s="30"/>
      <c r="KI217" s="30"/>
      <c r="KJ217" s="30"/>
      <c r="KK217" s="30"/>
      <c r="KL217" s="30"/>
      <c r="KM217" s="30"/>
      <c r="KN217" s="30"/>
      <c r="KO217" s="30"/>
      <c r="KP217" s="30"/>
      <c r="KQ217" s="30"/>
      <c r="KR217" s="30"/>
      <c r="KS217" s="30"/>
      <c r="KT217" s="30"/>
      <c r="KU217" s="30"/>
      <c r="KV217" s="30"/>
      <c r="KW217" s="30"/>
      <c r="KX217" s="30"/>
      <c r="KY217" s="30"/>
      <c r="KZ217" s="30"/>
      <c r="LA217" s="30"/>
      <c r="LB217" s="30"/>
      <c r="LC217" s="30"/>
      <c r="LD217" s="30"/>
      <c r="LE217" s="30"/>
      <c r="LF217" s="30"/>
      <c r="LG217" s="30"/>
      <c r="LH217" s="30"/>
      <c r="LI217" s="30"/>
      <c r="LJ217" s="30"/>
      <c r="LK217" s="30"/>
      <c r="LL217" s="30"/>
      <c r="LM217" s="30"/>
      <c r="LN217" s="30"/>
      <c r="LO217" s="30"/>
      <c r="LP217" s="30"/>
      <c r="LQ217" s="30"/>
      <c r="LR217" s="30"/>
      <c r="LS217" s="30"/>
      <c r="LT217" s="30"/>
      <c r="LU217" s="30"/>
      <c r="LV217" s="30"/>
      <c r="LW217" s="30"/>
      <c r="LX217" s="30"/>
      <c r="LY217" s="30"/>
      <c r="LZ217" s="30"/>
      <c r="MA217" s="30"/>
      <c r="MB217" s="30"/>
      <c r="MC217" s="30"/>
      <c r="MD217" s="30"/>
      <c r="ME217" s="30"/>
      <c r="MF217" s="30"/>
      <c r="MG217" s="30"/>
      <c r="MH217" s="30"/>
      <c r="MI217" s="30"/>
      <c r="MJ217" s="30"/>
      <c r="MK217" s="30"/>
      <c r="ML217" s="30"/>
      <c r="MM217" s="30"/>
      <c r="MN217" s="30"/>
      <c r="MO217" s="30"/>
      <c r="MP217" s="30"/>
      <c r="MQ217" s="30"/>
      <c r="MR217" s="30"/>
      <c r="MS217" s="30"/>
      <c r="MT217" s="30"/>
      <c r="MU217" s="30"/>
      <c r="MV217" s="30"/>
      <c r="MW217" s="30"/>
      <c r="MX217" s="30"/>
      <c r="MY217" s="30"/>
      <c r="MZ217" s="30"/>
      <c r="NA217" s="30"/>
      <c r="NB217" s="30"/>
      <c r="NC217" s="30"/>
      <c r="ND217" s="30"/>
      <c r="NE217" s="30"/>
      <c r="NF217" s="30"/>
      <c r="NG217" s="30"/>
      <c r="NH217" s="30"/>
      <c r="NI217" s="30"/>
      <c r="NJ217" s="30"/>
      <c r="NK217" s="30"/>
      <c r="NL217" s="30"/>
      <c r="NM217" s="30"/>
      <c r="NN217" s="30"/>
      <c r="NO217" s="30"/>
      <c r="NP217" s="30"/>
      <c r="NQ217" s="30"/>
      <c r="NR217" s="30"/>
    </row>
    <row r="218" spans="1:382" s="3" customFormat="1" ht="20.100000000000001" customHeight="1" x14ac:dyDescent="0.4">
      <c r="A218" s="29">
        <v>1</v>
      </c>
      <c r="B218" s="5">
        <v>1951</v>
      </c>
      <c r="C218" s="5" t="s">
        <v>319</v>
      </c>
      <c r="D218" s="5" t="s">
        <v>62</v>
      </c>
      <c r="E218" s="5" t="s">
        <v>8</v>
      </c>
      <c r="F218" s="5" t="s">
        <v>32</v>
      </c>
      <c r="G218" s="5" t="s">
        <v>32</v>
      </c>
      <c r="H218" s="5" t="s">
        <v>32</v>
      </c>
      <c r="I218" s="8">
        <v>46098.625</v>
      </c>
      <c r="J218" s="8"/>
      <c r="K218" s="8" t="str">
        <f>IF(OR(J218="",E218=""),"",J218+IFERROR(VLOOKUP(E218,リードタイム!$A$2:$C$9,3,FALSE),0))</f>
        <v/>
      </c>
      <c r="L218" s="5" t="s">
        <v>531</v>
      </c>
      <c r="M218" s="8"/>
      <c r="N218" s="8" t="str">
        <f>IF(OR(M218="",E218=""),"",M218+IFERROR(VLOOKUP(E218,リードタイム!$A$2:$D$9,4,FALSE),0))</f>
        <v/>
      </c>
      <c r="O218" s="5" t="s">
        <v>531</v>
      </c>
      <c r="P218" s="5" t="s">
        <v>532</v>
      </c>
      <c r="Q218" s="5" t="s">
        <v>32</v>
      </c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  <c r="FS218" s="30"/>
      <c r="FT218" s="30"/>
      <c r="FU218" s="30"/>
      <c r="FV218" s="30"/>
      <c r="FW218" s="30"/>
      <c r="FX218" s="30"/>
      <c r="FY218" s="30"/>
      <c r="FZ218" s="30"/>
      <c r="GA218" s="30"/>
      <c r="GB218" s="30"/>
      <c r="GC218" s="30"/>
      <c r="GD218" s="30"/>
      <c r="GE218" s="30"/>
      <c r="GF218" s="30"/>
      <c r="GG218" s="30"/>
      <c r="GH218" s="30"/>
      <c r="GI218" s="30"/>
      <c r="GJ218" s="30"/>
      <c r="GK218" s="30"/>
      <c r="GL218" s="30"/>
      <c r="GM218" s="30"/>
      <c r="GN218" s="30"/>
      <c r="GO218" s="30"/>
      <c r="GP218" s="30"/>
      <c r="GQ218" s="30"/>
      <c r="GR218" s="30"/>
      <c r="GS218" s="30"/>
      <c r="GT218" s="30"/>
      <c r="GU218" s="30"/>
      <c r="GV218" s="30"/>
      <c r="GW218" s="30"/>
      <c r="GX218" s="30"/>
      <c r="GY218" s="30"/>
      <c r="GZ218" s="30"/>
      <c r="HA218" s="30"/>
      <c r="HB218" s="30"/>
      <c r="HC218" s="30"/>
      <c r="HD218" s="30"/>
      <c r="HE218" s="30"/>
      <c r="HF218" s="30"/>
      <c r="HG218" s="30"/>
      <c r="HH218" s="30"/>
      <c r="HI218" s="30"/>
      <c r="HJ218" s="30"/>
      <c r="HK218" s="30"/>
      <c r="HL218" s="30"/>
      <c r="HM218" s="30"/>
      <c r="HN218" s="30"/>
      <c r="HO218" s="30"/>
      <c r="HP218" s="30"/>
      <c r="HQ218" s="30"/>
      <c r="HR218" s="30"/>
      <c r="HS218" s="30"/>
      <c r="HT218" s="30"/>
      <c r="HU218" s="30"/>
      <c r="HV218" s="30"/>
      <c r="HW218" s="30"/>
      <c r="HX218" s="30"/>
      <c r="HY218" s="30"/>
      <c r="HZ218" s="30"/>
      <c r="IA218" s="30"/>
      <c r="IB218" s="30"/>
      <c r="IC218" s="30"/>
      <c r="ID218" s="30"/>
      <c r="IE218" s="30"/>
      <c r="IF218" s="30"/>
      <c r="IG218" s="30"/>
      <c r="IH218" s="30"/>
      <c r="II218" s="30"/>
      <c r="IJ218" s="30"/>
      <c r="IK218" s="30"/>
      <c r="IL218" s="30"/>
      <c r="IM218" s="30"/>
      <c r="IN218" s="30"/>
      <c r="IO218" s="30"/>
      <c r="IP218" s="30"/>
      <c r="IQ218" s="30"/>
      <c r="IR218" s="30"/>
      <c r="IS218" s="30"/>
      <c r="IT218" s="30"/>
      <c r="IU218" s="30"/>
      <c r="IV218" s="30"/>
      <c r="IW218" s="30"/>
      <c r="IX218" s="30"/>
      <c r="IY218" s="30"/>
      <c r="IZ218" s="30"/>
      <c r="JA218" s="30"/>
      <c r="JB218" s="30"/>
      <c r="JC218" s="30"/>
      <c r="JD218" s="30"/>
      <c r="JE218" s="30"/>
      <c r="JF218" s="30"/>
      <c r="JG218" s="30"/>
      <c r="JH218" s="30"/>
      <c r="JI218" s="30"/>
      <c r="JJ218" s="30"/>
      <c r="JK218" s="30"/>
      <c r="JL218" s="30"/>
      <c r="JM218" s="30"/>
      <c r="JN218" s="30"/>
      <c r="JO218" s="30"/>
      <c r="JP218" s="30"/>
      <c r="JQ218" s="30"/>
      <c r="JR218" s="30"/>
      <c r="JS218" s="30"/>
      <c r="JT218" s="30"/>
      <c r="JU218" s="30"/>
      <c r="JV218" s="30"/>
      <c r="JW218" s="30"/>
      <c r="JX218" s="30"/>
      <c r="JY218" s="30"/>
      <c r="JZ218" s="30"/>
      <c r="KA218" s="30"/>
      <c r="KB218" s="30"/>
      <c r="KC218" s="30"/>
      <c r="KD218" s="30"/>
      <c r="KE218" s="30"/>
      <c r="KF218" s="30"/>
      <c r="KG218" s="30"/>
      <c r="KH218" s="30"/>
      <c r="KI218" s="30"/>
      <c r="KJ218" s="30"/>
      <c r="KK218" s="30"/>
      <c r="KL218" s="30"/>
      <c r="KM218" s="30"/>
      <c r="KN218" s="30"/>
      <c r="KO218" s="30"/>
      <c r="KP218" s="30"/>
      <c r="KQ218" s="30"/>
      <c r="KR218" s="30"/>
      <c r="KS218" s="30"/>
      <c r="KT218" s="30"/>
      <c r="KU218" s="30"/>
      <c r="KV218" s="30"/>
      <c r="KW218" s="30"/>
      <c r="KX218" s="30"/>
      <c r="KY218" s="30"/>
      <c r="KZ218" s="30"/>
      <c r="LA218" s="30"/>
      <c r="LB218" s="30"/>
      <c r="LC218" s="30"/>
      <c r="LD218" s="30"/>
      <c r="LE218" s="30"/>
      <c r="LF218" s="30"/>
      <c r="LG218" s="30"/>
      <c r="LH218" s="30"/>
      <c r="LI218" s="30"/>
      <c r="LJ218" s="30"/>
      <c r="LK218" s="30"/>
      <c r="LL218" s="30"/>
      <c r="LM218" s="30"/>
      <c r="LN218" s="30"/>
      <c r="LO218" s="30"/>
      <c r="LP218" s="30"/>
      <c r="LQ218" s="30"/>
      <c r="LR218" s="30"/>
      <c r="LS218" s="30"/>
      <c r="LT218" s="30"/>
      <c r="LU218" s="30"/>
      <c r="LV218" s="30"/>
      <c r="LW218" s="30"/>
      <c r="LX218" s="30"/>
      <c r="LY218" s="30"/>
      <c r="LZ218" s="30"/>
      <c r="MA218" s="30"/>
      <c r="MB218" s="30"/>
      <c r="MC218" s="30"/>
      <c r="MD218" s="30"/>
      <c r="ME218" s="30"/>
      <c r="MF218" s="30"/>
      <c r="MG218" s="30"/>
      <c r="MH218" s="30"/>
      <c r="MI218" s="30"/>
      <c r="MJ218" s="30"/>
      <c r="MK218" s="30"/>
      <c r="ML218" s="30"/>
      <c r="MM218" s="30"/>
      <c r="MN218" s="30"/>
      <c r="MO218" s="30"/>
      <c r="MP218" s="30"/>
      <c r="MQ218" s="30"/>
      <c r="MR218" s="30"/>
      <c r="MS218" s="30"/>
      <c r="MT218" s="30"/>
      <c r="MU218" s="30"/>
      <c r="MV218" s="30"/>
      <c r="MW218" s="30"/>
      <c r="MX218" s="30"/>
      <c r="MY218" s="30"/>
      <c r="MZ218" s="30"/>
      <c r="NA218" s="30"/>
      <c r="NB218" s="30"/>
      <c r="NC218" s="30"/>
      <c r="ND218" s="30"/>
      <c r="NE218" s="30"/>
      <c r="NF218" s="30"/>
      <c r="NG218" s="30"/>
      <c r="NH218" s="30"/>
      <c r="NI218" s="30"/>
      <c r="NJ218" s="30"/>
      <c r="NK218" s="30"/>
      <c r="NL218" s="30"/>
      <c r="NM218" s="30"/>
      <c r="NN218" s="30"/>
      <c r="NO218" s="30"/>
      <c r="NP218" s="30"/>
      <c r="NQ218" s="30"/>
      <c r="NR218" s="30"/>
    </row>
    <row r="219" spans="1:382" s="3" customFormat="1" ht="20.100000000000001" customHeight="1" x14ac:dyDescent="0.4">
      <c r="A219" s="29">
        <v>2</v>
      </c>
      <c r="B219" s="5">
        <v>1995</v>
      </c>
      <c r="C219" s="5" t="s">
        <v>319</v>
      </c>
      <c r="D219" s="5" t="s">
        <v>320</v>
      </c>
      <c r="E219" s="5" t="s">
        <v>14</v>
      </c>
      <c r="F219" s="5" t="s">
        <v>32</v>
      </c>
      <c r="G219" s="5" t="s">
        <v>32</v>
      </c>
      <c r="H219" s="5" t="s">
        <v>32</v>
      </c>
      <c r="I219" s="8"/>
      <c r="J219" s="8"/>
      <c r="K219" s="8" t="str">
        <f>IF(OR(J219="",E219=""),"",J219+IFERROR(VLOOKUP(E219,リードタイム!$A$2:$C$9,3,FALSE),0))</f>
        <v/>
      </c>
      <c r="L219" s="5" t="s">
        <v>530</v>
      </c>
      <c r="M219" s="8"/>
      <c r="N219" s="8" t="str">
        <f>IF(OR(M219="",E219=""),"",M219+IFERROR(VLOOKUP(E219,リードタイム!$A$2:$D$9,4,FALSE),0))</f>
        <v/>
      </c>
      <c r="O219" s="5" t="s">
        <v>530</v>
      </c>
      <c r="P219" s="5" t="s">
        <v>530</v>
      </c>
      <c r="Q219" s="5" t="s">
        <v>32</v>
      </c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  <c r="FS219" s="30"/>
      <c r="FT219" s="30"/>
      <c r="FU219" s="30"/>
      <c r="FV219" s="30"/>
      <c r="FW219" s="30"/>
      <c r="FX219" s="30"/>
      <c r="FY219" s="30"/>
      <c r="FZ219" s="30"/>
      <c r="GA219" s="30"/>
      <c r="GB219" s="30"/>
      <c r="GC219" s="30"/>
      <c r="GD219" s="30"/>
      <c r="GE219" s="30"/>
      <c r="GF219" s="30"/>
      <c r="GG219" s="30"/>
      <c r="GH219" s="30"/>
      <c r="GI219" s="30"/>
      <c r="GJ219" s="30"/>
      <c r="GK219" s="30"/>
      <c r="GL219" s="30"/>
      <c r="GM219" s="30"/>
      <c r="GN219" s="30"/>
      <c r="GO219" s="30"/>
      <c r="GP219" s="30"/>
      <c r="GQ219" s="30"/>
      <c r="GR219" s="30"/>
      <c r="GS219" s="30"/>
      <c r="GT219" s="30"/>
      <c r="GU219" s="30"/>
      <c r="GV219" s="30"/>
      <c r="GW219" s="30"/>
      <c r="GX219" s="30"/>
      <c r="GY219" s="30"/>
      <c r="GZ219" s="30"/>
      <c r="HA219" s="30"/>
      <c r="HB219" s="30"/>
      <c r="HC219" s="30"/>
      <c r="HD219" s="30"/>
      <c r="HE219" s="30"/>
      <c r="HF219" s="30"/>
      <c r="HG219" s="30"/>
      <c r="HH219" s="30"/>
      <c r="HI219" s="30"/>
      <c r="HJ219" s="30"/>
      <c r="HK219" s="30"/>
      <c r="HL219" s="30"/>
      <c r="HM219" s="30"/>
      <c r="HN219" s="30"/>
      <c r="HO219" s="30"/>
      <c r="HP219" s="30"/>
      <c r="HQ219" s="30"/>
      <c r="HR219" s="30"/>
      <c r="HS219" s="30"/>
      <c r="HT219" s="30"/>
      <c r="HU219" s="30"/>
      <c r="HV219" s="30"/>
      <c r="HW219" s="30"/>
      <c r="HX219" s="30"/>
      <c r="HY219" s="30"/>
      <c r="HZ219" s="30"/>
      <c r="IA219" s="30"/>
      <c r="IB219" s="30"/>
      <c r="IC219" s="30"/>
      <c r="ID219" s="30"/>
      <c r="IE219" s="30"/>
      <c r="IF219" s="30"/>
      <c r="IG219" s="30"/>
      <c r="IH219" s="30"/>
      <c r="II219" s="30"/>
      <c r="IJ219" s="30"/>
      <c r="IK219" s="30"/>
      <c r="IL219" s="30"/>
      <c r="IM219" s="30"/>
      <c r="IN219" s="30"/>
      <c r="IO219" s="30"/>
      <c r="IP219" s="30"/>
      <c r="IQ219" s="30"/>
      <c r="IR219" s="30"/>
      <c r="IS219" s="30"/>
      <c r="IT219" s="30"/>
      <c r="IU219" s="30"/>
      <c r="IV219" s="30"/>
      <c r="IW219" s="30"/>
      <c r="IX219" s="30"/>
      <c r="IY219" s="30"/>
      <c r="IZ219" s="30"/>
      <c r="JA219" s="30"/>
      <c r="JB219" s="30"/>
      <c r="JC219" s="30"/>
      <c r="JD219" s="30"/>
      <c r="JE219" s="30"/>
      <c r="JF219" s="30"/>
      <c r="JG219" s="30"/>
      <c r="JH219" s="30"/>
      <c r="JI219" s="30"/>
      <c r="JJ219" s="30"/>
      <c r="JK219" s="30"/>
      <c r="JL219" s="30"/>
      <c r="JM219" s="30"/>
      <c r="JN219" s="30"/>
      <c r="JO219" s="30"/>
      <c r="JP219" s="30"/>
      <c r="JQ219" s="30"/>
      <c r="JR219" s="30"/>
      <c r="JS219" s="30"/>
      <c r="JT219" s="30"/>
      <c r="JU219" s="30"/>
      <c r="JV219" s="30"/>
      <c r="JW219" s="30"/>
      <c r="JX219" s="30"/>
      <c r="JY219" s="30"/>
      <c r="JZ219" s="30"/>
      <c r="KA219" s="30"/>
      <c r="KB219" s="30"/>
      <c r="KC219" s="30"/>
      <c r="KD219" s="30"/>
      <c r="KE219" s="30"/>
      <c r="KF219" s="30"/>
      <c r="KG219" s="30"/>
      <c r="KH219" s="30"/>
      <c r="KI219" s="30"/>
      <c r="KJ219" s="30"/>
      <c r="KK219" s="30"/>
      <c r="KL219" s="30"/>
      <c r="KM219" s="30"/>
      <c r="KN219" s="30"/>
      <c r="KO219" s="30"/>
      <c r="KP219" s="30"/>
      <c r="KQ219" s="30"/>
      <c r="KR219" s="30"/>
      <c r="KS219" s="30"/>
      <c r="KT219" s="30"/>
      <c r="KU219" s="30"/>
      <c r="KV219" s="30"/>
      <c r="KW219" s="30"/>
      <c r="KX219" s="30"/>
      <c r="KY219" s="30"/>
      <c r="KZ219" s="30"/>
      <c r="LA219" s="30"/>
      <c r="LB219" s="30"/>
      <c r="LC219" s="30"/>
      <c r="LD219" s="30"/>
      <c r="LE219" s="30"/>
      <c r="LF219" s="30"/>
      <c r="LG219" s="30"/>
      <c r="LH219" s="30"/>
      <c r="LI219" s="30"/>
      <c r="LJ219" s="30"/>
      <c r="LK219" s="30"/>
      <c r="LL219" s="30"/>
      <c r="LM219" s="30"/>
      <c r="LN219" s="30"/>
      <c r="LO219" s="30"/>
      <c r="LP219" s="30"/>
      <c r="LQ219" s="30"/>
      <c r="LR219" s="30"/>
      <c r="LS219" s="30"/>
      <c r="LT219" s="30"/>
      <c r="LU219" s="30"/>
      <c r="LV219" s="30"/>
      <c r="LW219" s="30"/>
      <c r="LX219" s="30"/>
      <c r="LY219" s="30"/>
      <c r="LZ219" s="30"/>
      <c r="MA219" s="30"/>
      <c r="MB219" s="30"/>
      <c r="MC219" s="30"/>
      <c r="MD219" s="30"/>
      <c r="ME219" s="30"/>
      <c r="MF219" s="30"/>
      <c r="MG219" s="30"/>
      <c r="MH219" s="30"/>
      <c r="MI219" s="30"/>
      <c r="MJ219" s="30"/>
      <c r="MK219" s="30"/>
      <c r="ML219" s="30"/>
      <c r="MM219" s="30"/>
      <c r="MN219" s="30"/>
      <c r="MO219" s="30"/>
      <c r="MP219" s="30"/>
      <c r="MQ219" s="30"/>
      <c r="MR219" s="30"/>
      <c r="MS219" s="30"/>
      <c r="MT219" s="30"/>
      <c r="MU219" s="30"/>
      <c r="MV219" s="30"/>
      <c r="MW219" s="30"/>
      <c r="MX219" s="30"/>
      <c r="MY219" s="30"/>
      <c r="MZ219" s="30"/>
      <c r="NA219" s="30"/>
      <c r="NB219" s="30"/>
      <c r="NC219" s="30"/>
      <c r="ND219" s="30"/>
      <c r="NE219" s="30"/>
      <c r="NF219" s="30"/>
      <c r="NG219" s="30"/>
      <c r="NH219" s="30"/>
      <c r="NI219" s="30"/>
      <c r="NJ219" s="30"/>
      <c r="NK219" s="30"/>
      <c r="NL219" s="30"/>
      <c r="NM219" s="30"/>
      <c r="NN219" s="30"/>
      <c r="NO219" s="30"/>
      <c r="NP219" s="30"/>
      <c r="NQ219" s="30"/>
      <c r="NR219" s="30"/>
    </row>
    <row r="220" spans="1:382" s="3" customFormat="1" ht="20.100000000000001" customHeight="1" x14ac:dyDescent="0.4">
      <c r="A220" s="29">
        <v>3</v>
      </c>
      <c r="B220" s="5">
        <v>1950</v>
      </c>
      <c r="C220" s="5" t="s">
        <v>319</v>
      </c>
      <c r="D220" s="5" t="s">
        <v>41</v>
      </c>
      <c r="E220" s="5" t="s">
        <v>6</v>
      </c>
      <c r="F220" s="5" t="s">
        <v>32</v>
      </c>
      <c r="G220" s="5" t="s">
        <v>32</v>
      </c>
      <c r="H220" s="5" t="s">
        <v>32</v>
      </c>
      <c r="I220" s="8"/>
      <c r="J220" s="8"/>
      <c r="K220" s="8" t="str">
        <f>IF(OR(J220="",E220=""),"",J220+IFERROR(VLOOKUP(E220,リードタイム!$A$2:$C$9,3,FALSE),0))</f>
        <v/>
      </c>
      <c r="L220" s="5" t="s">
        <v>530</v>
      </c>
      <c r="M220" s="8"/>
      <c r="N220" s="8" t="str">
        <f>IF(OR(M220="",E220=""),"",M220+IFERROR(VLOOKUP(E220,リードタイム!$A$2:$D$9,4,FALSE),0))</f>
        <v/>
      </c>
      <c r="O220" s="5" t="s">
        <v>530</v>
      </c>
      <c r="P220" s="5" t="s">
        <v>530</v>
      </c>
      <c r="Q220" s="5" t="s">
        <v>321</v>
      </c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  <c r="FS220" s="30"/>
      <c r="FT220" s="30"/>
      <c r="FU220" s="30"/>
      <c r="FV220" s="30"/>
      <c r="FW220" s="30"/>
      <c r="FX220" s="30"/>
      <c r="FY220" s="30"/>
      <c r="FZ220" s="30"/>
      <c r="GA220" s="30"/>
      <c r="GB220" s="30"/>
      <c r="GC220" s="30"/>
      <c r="GD220" s="30"/>
      <c r="GE220" s="30"/>
      <c r="GF220" s="30"/>
      <c r="GG220" s="30"/>
      <c r="GH220" s="30"/>
      <c r="GI220" s="30"/>
      <c r="GJ220" s="30"/>
      <c r="GK220" s="30"/>
      <c r="GL220" s="30"/>
      <c r="GM220" s="30"/>
      <c r="GN220" s="30"/>
      <c r="GO220" s="30"/>
      <c r="GP220" s="30"/>
      <c r="GQ220" s="30"/>
      <c r="GR220" s="30"/>
      <c r="GS220" s="30"/>
      <c r="GT220" s="30"/>
      <c r="GU220" s="30"/>
      <c r="GV220" s="30"/>
      <c r="GW220" s="30"/>
      <c r="GX220" s="30"/>
      <c r="GY220" s="30"/>
      <c r="GZ220" s="30"/>
      <c r="HA220" s="30"/>
      <c r="HB220" s="30"/>
      <c r="HC220" s="30"/>
      <c r="HD220" s="30"/>
      <c r="HE220" s="30"/>
      <c r="HF220" s="30"/>
      <c r="HG220" s="30"/>
      <c r="HH220" s="30"/>
      <c r="HI220" s="30"/>
      <c r="HJ220" s="30"/>
      <c r="HK220" s="30"/>
      <c r="HL220" s="30"/>
      <c r="HM220" s="30"/>
      <c r="HN220" s="30"/>
      <c r="HO220" s="30"/>
      <c r="HP220" s="30"/>
      <c r="HQ220" s="30"/>
      <c r="HR220" s="30"/>
      <c r="HS220" s="30"/>
      <c r="HT220" s="30"/>
      <c r="HU220" s="30"/>
      <c r="HV220" s="30"/>
      <c r="HW220" s="30"/>
      <c r="HX220" s="30"/>
      <c r="HY220" s="30"/>
      <c r="HZ220" s="30"/>
      <c r="IA220" s="30"/>
      <c r="IB220" s="30"/>
      <c r="IC220" s="30"/>
      <c r="ID220" s="30"/>
      <c r="IE220" s="30"/>
      <c r="IF220" s="30"/>
      <c r="IG220" s="30"/>
      <c r="IH220" s="30"/>
      <c r="II220" s="30"/>
      <c r="IJ220" s="30"/>
      <c r="IK220" s="30"/>
      <c r="IL220" s="30"/>
      <c r="IM220" s="30"/>
      <c r="IN220" s="30"/>
      <c r="IO220" s="30"/>
      <c r="IP220" s="30"/>
      <c r="IQ220" s="30"/>
      <c r="IR220" s="30"/>
      <c r="IS220" s="30"/>
      <c r="IT220" s="30"/>
      <c r="IU220" s="30"/>
      <c r="IV220" s="30"/>
      <c r="IW220" s="30"/>
      <c r="IX220" s="30"/>
      <c r="IY220" s="30"/>
      <c r="IZ220" s="30"/>
      <c r="JA220" s="30"/>
      <c r="JB220" s="30"/>
      <c r="JC220" s="30"/>
      <c r="JD220" s="30"/>
      <c r="JE220" s="30"/>
      <c r="JF220" s="30"/>
      <c r="JG220" s="30"/>
      <c r="JH220" s="30"/>
      <c r="JI220" s="30"/>
      <c r="JJ220" s="30"/>
      <c r="JK220" s="30"/>
      <c r="JL220" s="30"/>
      <c r="JM220" s="30"/>
      <c r="JN220" s="30"/>
      <c r="JO220" s="30"/>
      <c r="JP220" s="30"/>
      <c r="JQ220" s="30"/>
      <c r="JR220" s="30"/>
      <c r="JS220" s="30"/>
      <c r="JT220" s="30"/>
      <c r="JU220" s="30"/>
      <c r="JV220" s="30"/>
      <c r="JW220" s="30"/>
      <c r="JX220" s="30"/>
      <c r="JY220" s="30"/>
      <c r="JZ220" s="30"/>
      <c r="KA220" s="30"/>
      <c r="KB220" s="30"/>
      <c r="KC220" s="30"/>
      <c r="KD220" s="30"/>
      <c r="KE220" s="30"/>
      <c r="KF220" s="30"/>
      <c r="KG220" s="30"/>
      <c r="KH220" s="30"/>
      <c r="KI220" s="30"/>
      <c r="KJ220" s="30"/>
      <c r="KK220" s="30"/>
      <c r="KL220" s="30"/>
      <c r="KM220" s="30"/>
      <c r="KN220" s="30"/>
      <c r="KO220" s="30"/>
      <c r="KP220" s="30"/>
      <c r="KQ220" s="30"/>
      <c r="KR220" s="30"/>
      <c r="KS220" s="30"/>
      <c r="KT220" s="30"/>
      <c r="KU220" s="30"/>
      <c r="KV220" s="30"/>
      <c r="KW220" s="30"/>
      <c r="KX220" s="30"/>
      <c r="KY220" s="30"/>
      <c r="KZ220" s="30"/>
      <c r="LA220" s="30"/>
      <c r="LB220" s="30"/>
      <c r="LC220" s="30"/>
      <c r="LD220" s="30"/>
      <c r="LE220" s="30"/>
      <c r="LF220" s="30"/>
      <c r="LG220" s="30"/>
      <c r="LH220" s="30"/>
      <c r="LI220" s="30"/>
      <c r="LJ220" s="30"/>
      <c r="LK220" s="30"/>
      <c r="LL220" s="30"/>
      <c r="LM220" s="30"/>
      <c r="LN220" s="30"/>
      <c r="LO220" s="30"/>
      <c r="LP220" s="30"/>
      <c r="LQ220" s="30"/>
      <c r="LR220" s="30"/>
      <c r="LS220" s="30"/>
      <c r="LT220" s="30"/>
      <c r="LU220" s="30"/>
      <c r="LV220" s="30"/>
      <c r="LW220" s="30"/>
      <c r="LX220" s="30"/>
      <c r="LY220" s="30"/>
      <c r="LZ220" s="30"/>
      <c r="MA220" s="30"/>
      <c r="MB220" s="30"/>
      <c r="MC220" s="30"/>
      <c r="MD220" s="30"/>
      <c r="ME220" s="30"/>
      <c r="MF220" s="30"/>
      <c r="MG220" s="30"/>
      <c r="MH220" s="30"/>
      <c r="MI220" s="30"/>
      <c r="MJ220" s="30"/>
      <c r="MK220" s="30"/>
      <c r="ML220" s="30"/>
      <c r="MM220" s="30"/>
      <c r="MN220" s="30"/>
      <c r="MO220" s="30"/>
      <c r="MP220" s="30"/>
      <c r="MQ220" s="30"/>
      <c r="MR220" s="30"/>
      <c r="MS220" s="30"/>
      <c r="MT220" s="30"/>
      <c r="MU220" s="30"/>
      <c r="MV220" s="30"/>
      <c r="MW220" s="30"/>
      <c r="MX220" s="30"/>
      <c r="MY220" s="30"/>
      <c r="MZ220" s="30"/>
      <c r="NA220" s="30"/>
      <c r="NB220" s="30"/>
      <c r="NC220" s="30"/>
      <c r="ND220" s="30"/>
      <c r="NE220" s="30"/>
      <c r="NF220" s="30"/>
      <c r="NG220" s="30"/>
      <c r="NH220" s="30"/>
      <c r="NI220" s="30"/>
      <c r="NJ220" s="30"/>
      <c r="NK220" s="30"/>
      <c r="NL220" s="30"/>
      <c r="NM220" s="30"/>
      <c r="NN220" s="30"/>
      <c r="NO220" s="30"/>
      <c r="NP220" s="30"/>
      <c r="NQ220" s="30"/>
      <c r="NR220" s="30"/>
    </row>
    <row r="221" spans="1:382" s="3" customFormat="1" ht="20.100000000000001" customHeight="1" x14ac:dyDescent="0.4">
      <c r="A221" s="29">
        <v>1</v>
      </c>
      <c r="B221" s="5">
        <v>1927</v>
      </c>
      <c r="C221" s="5" t="s">
        <v>322</v>
      </c>
      <c r="D221" s="5" t="s">
        <v>323</v>
      </c>
      <c r="E221" s="5" t="s">
        <v>4</v>
      </c>
      <c r="F221" s="5" t="s">
        <v>32</v>
      </c>
      <c r="G221" s="5" t="s">
        <v>32</v>
      </c>
      <c r="H221" s="5" t="s">
        <v>32</v>
      </c>
      <c r="I221" s="8"/>
      <c r="J221" s="8"/>
      <c r="K221" s="8" t="str">
        <f>IF(OR(J221="",E221=""),"",J221+IFERROR(VLOOKUP(E221,リードタイム!$A$2:$C$9,3,FALSE),0))</f>
        <v/>
      </c>
      <c r="L221" s="5" t="s">
        <v>531</v>
      </c>
      <c r="M221" s="8"/>
      <c r="N221" s="8" t="str">
        <f>IF(OR(M221="",E221=""),"",M221+IFERROR(VLOOKUP(E221,リードタイム!$A$2:$D$9,4,FALSE),0))</f>
        <v/>
      </c>
      <c r="O221" s="5" t="s">
        <v>531</v>
      </c>
      <c r="P221" s="5" t="s">
        <v>533</v>
      </c>
      <c r="Q221" s="5" t="s">
        <v>70</v>
      </c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  <c r="FS221" s="30"/>
      <c r="FT221" s="30"/>
      <c r="FU221" s="30"/>
      <c r="FV221" s="30"/>
      <c r="FW221" s="30"/>
      <c r="FX221" s="30"/>
      <c r="FY221" s="30"/>
      <c r="FZ221" s="30"/>
      <c r="GA221" s="30"/>
      <c r="GB221" s="30"/>
      <c r="GC221" s="30"/>
      <c r="GD221" s="30"/>
      <c r="GE221" s="30"/>
      <c r="GF221" s="30"/>
      <c r="GG221" s="30"/>
      <c r="GH221" s="30"/>
      <c r="GI221" s="30"/>
      <c r="GJ221" s="30"/>
      <c r="GK221" s="30"/>
      <c r="GL221" s="30"/>
      <c r="GM221" s="30"/>
      <c r="GN221" s="30"/>
      <c r="GO221" s="30"/>
      <c r="GP221" s="30"/>
      <c r="GQ221" s="30"/>
      <c r="GR221" s="30"/>
      <c r="GS221" s="30"/>
      <c r="GT221" s="30"/>
      <c r="GU221" s="30"/>
      <c r="GV221" s="30"/>
      <c r="GW221" s="30"/>
      <c r="GX221" s="30"/>
      <c r="GY221" s="30"/>
      <c r="GZ221" s="30"/>
      <c r="HA221" s="30"/>
      <c r="HB221" s="30"/>
      <c r="HC221" s="30"/>
      <c r="HD221" s="30"/>
      <c r="HE221" s="30"/>
      <c r="HF221" s="30"/>
      <c r="HG221" s="30"/>
      <c r="HH221" s="30"/>
      <c r="HI221" s="30"/>
      <c r="HJ221" s="30"/>
      <c r="HK221" s="30"/>
      <c r="HL221" s="30"/>
      <c r="HM221" s="30"/>
      <c r="HN221" s="30"/>
      <c r="HO221" s="30"/>
      <c r="HP221" s="30"/>
      <c r="HQ221" s="30"/>
      <c r="HR221" s="30"/>
      <c r="HS221" s="30"/>
      <c r="HT221" s="30"/>
      <c r="HU221" s="30"/>
      <c r="HV221" s="30"/>
      <c r="HW221" s="30"/>
      <c r="HX221" s="30"/>
      <c r="HY221" s="30"/>
      <c r="HZ221" s="30"/>
      <c r="IA221" s="30"/>
      <c r="IB221" s="30"/>
      <c r="IC221" s="30"/>
      <c r="ID221" s="30"/>
      <c r="IE221" s="30"/>
      <c r="IF221" s="30"/>
      <c r="IG221" s="30"/>
      <c r="IH221" s="30"/>
      <c r="II221" s="30"/>
      <c r="IJ221" s="30"/>
      <c r="IK221" s="30"/>
      <c r="IL221" s="30"/>
      <c r="IM221" s="30"/>
      <c r="IN221" s="30"/>
      <c r="IO221" s="30"/>
      <c r="IP221" s="30"/>
      <c r="IQ221" s="30"/>
      <c r="IR221" s="30"/>
      <c r="IS221" s="30"/>
      <c r="IT221" s="30"/>
      <c r="IU221" s="30"/>
      <c r="IV221" s="30"/>
      <c r="IW221" s="30"/>
      <c r="IX221" s="30"/>
      <c r="IY221" s="30"/>
      <c r="IZ221" s="30"/>
      <c r="JA221" s="30"/>
      <c r="JB221" s="30"/>
      <c r="JC221" s="30"/>
      <c r="JD221" s="30"/>
      <c r="JE221" s="30"/>
      <c r="JF221" s="30"/>
      <c r="JG221" s="30"/>
      <c r="JH221" s="30"/>
      <c r="JI221" s="30"/>
      <c r="JJ221" s="30"/>
      <c r="JK221" s="30"/>
      <c r="JL221" s="30"/>
      <c r="JM221" s="30"/>
      <c r="JN221" s="30"/>
      <c r="JO221" s="30"/>
      <c r="JP221" s="30"/>
      <c r="JQ221" s="30"/>
      <c r="JR221" s="30"/>
      <c r="JS221" s="30"/>
      <c r="JT221" s="30"/>
      <c r="JU221" s="30"/>
      <c r="JV221" s="30"/>
      <c r="JW221" s="30"/>
      <c r="JX221" s="30"/>
      <c r="JY221" s="30"/>
      <c r="JZ221" s="30"/>
      <c r="KA221" s="30"/>
      <c r="KB221" s="30"/>
      <c r="KC221" s="30"/>
      <c r="KD221" s="30"/>
      <c r="KE221" s="30"/>
      <c r="KF221" s="30"/>
      <c r="KG221" s="30"/>
      <c r="KH221" s="30"/>
      <c r="KI221" s="30"/>
      <c r="KJ221" s="30"/>
      <c r="KK221" s="30"/>
      <c r="KL221" s="30"/>
      <c r="KM221" s="30"/>
      <c r="KN221" s="30"/>
      <c r="KO221" s="30"/>
      <c r="KP221" s="30"/>
      <c r="KQ221" s="30"/>
      <c r="KR221" s="30"/>
      <c r="KS221" s="30"/>
      <c r="KT221" s="30"/>
      <c r="KU221" s="30"/>
      <c r="KV221" s="30"/>
      <c r="KW221" s="30"/>
      <c r="KX221" s="30"/>
      <c r="KY221" s="30"/>
      <c r="KZ221" s="30"/>
      <c r="LA221" s="30"/>
      <c r="LB221" s="30"/>
      <c r="LC221" s="30"/>
      <c r="LD221" s="30"/>
      <c r="LE221" s="30"/>
      <c r="LF221" s="30"/>
      <c r="LG221" s="30"/>
      <c r="LH221" s="30"/>
      <c r="LI221" s="30"/>
      <c r="LJ221" s="30"/>
      <c r="LK221" s="30"/>
      <c r="LL221" s="30"/>
      <c r="LM221" s="30"/>
      <c r="LN221" s="30"/>
      <c r="LO221" s="30"/>
      <c r="LP221" s="30"/>
      <c r="LQ221" s="30"/>
      <c r="LR221" s="30"/>
      <c r="LS221" s="30"/>
      <c r="LT221" s="30"/>
      <c r="LU221" s="30"/>
      <c r="LV221" s="30"/>
      <c r="LW221" s="30"/>
      <c r="LX221" s="30"/>
      <c r="LY221" s="30"/>
      <c r="LZ221" s="30"/>
      <c r="MA221" s="30"/>
      <c r="MB221" s="30"/>
      <c r="MC221" s="30"/>
      <c r="MD221" s="30"/>
      <c r="ME221" s="30"/>
      <c r="MF221" s="30"/>
      <c r="MG221" s="30"/>
      <c r="MH221" s="30"/>
      <c r="MI221" s="30"/>
      <c r="MJ221" s="30"/>
      <c r="MK221" s="30"/>
      <c r="ML221" s="30"/>
      <c r="MM221" s="30"/>
      <c r="MN221" s="30"/>
      <c r="MO221" s="30"/>
      <c r="MP221" s="30"/>
      <c r="MQ221" s="30"/>
      <c r="MR221" s="30"/>
      <c r="MS221" s="30"/>
      <c r="MT221" s="30"/>
      <c r="MU221" s="30"/>
      <c r="MV221" s="30"/>
      <c r="MW221" s="30"/>
      <c r="MX221" s="30"/>
      <c r="MY221" s="30"/>
      <c r="MZ221" s="30"/>
      <c r="NA221" s="30"/>
      <c r="NB221" s="30"/>
      <c r="NC221" s="30"/>
      <c r="ND221" s="30"/>
      <c r="NE221" s="30"/>
      <c r="NF221" s="30"/>
      <c r="NG221" s="30"/>
      <c r="NH221" s="30"/>
      <c r="NI221" s="30"/>
      <c r="NJ221" s="30"/>
      <c r="NK221" s="30"/>
      <c r="NL221" s="30"/>
      <c r="NM221" s="30"/>
      <c r="NN221" s="30"/>
      <c r="NO221" s="30"/>
      <c r="NP221" s="30"/>
      <c r="NQ221" s="30"/>
      <c r="NR221" s="30"/>
    </row>
    <row r="222" spans="1:382" s="3" customFormat="1" ht="20.100000000000001" customHeight="1" x14ac:dyDescent="0.4">
      <c r="A222" s="29">
        <v>1</v>
      </c>
      <c r="B222" s="5">
        <v>1927</v>
      </c>
      <c r="C222" s="5" t="s">
        <v>324</v>
      </c>
      <c r="D222" s="5" t="s">
        <v>236</v>
      </c>
      <c r="E222" s="5" t="s">
        <v>4</v>
      </c>
      <c r="F222" s="5" t="s">
        <v>32</v>
      </c>
      <c r="G222" s="5" t="s">
        <v>32</v>
      </c>
      <c r="H222" s="5" t="s">
        <v>32</v>
      </c>
      <c r="I222" s="8">
        <v>46084.625</v>
      </c>
      <c r="J222" s="8"/>
      <c r="K222" s="8" t="str">
        <f>IF(OR(J222="",E222=""),"",J222+IFERROR(VLOOKUP(E222,リードタイム!$A$2:$C$9,3,FALSE),0))</f>
        <v/>
      </c>
      <c r="L222" s="5" t="s">
        <v>531</v>
      </c>
      <c r="M222" s="8"/>
      <c r="N222" s="8" t="str">
        <f>IF(OR(M222="",E222=""),"",M222+IFERROR(VLOOKUP(E222,リードタイム!$A$2:$D$9,4,FALSE),0))</f>
        <v/>
      </c>
      <c r="O222" s="5" t="s">
        <v>531</v>
      </c>
      <c r="P222" s="5" t="s">
        <v>532</v>
      </c>
      <c r="Q222" s="5" t="s">
        <v>32</v>
      </c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  <c r="FS222" s="30"/>
      <c r="FT222" s="30"/>
      <c r="FU222" s="30"/>
      <c r="FV222" s="30"/>
      <c r="FW222" s="30"/>
      <c r="FX222" s="30"/>
      <c r="FY222" s="30"/>
      <c r="FZ222" s="30"/>
      <c r="GA222" s="30"/>
      <c r="GB222" s="30"/>
      <c r="GC222" s="30"/>
      <c r="GD222" s="30"/>
      <c r="GE222" s="30"/>
      <c r="GF222" s="30"/>
      <c r="GG222" s="30"/>
      <c r="GH222" s="30"/>
      <c r="GI222" s="30"/>
      <c r="GJ222" s="30"/>
      <c r="GK222" s="30"/>
      <c r="GL222" s="30"/>
      <c r="GM222" s="30"/>
      <c r="GN222" s="30"/>
      <c r="GO222" s="30"/>
      <c r="GP222" s="30"/>
      <c r="GQ222" s="30"/>
      <c r="GR222" s="30"/>
      <c r="GS222" s="30"/>
      <c r="GT222" s="30"/>
      <c r="GU222" s="30"/>
      <c r="GV222" s="30"/>
      <c r="GW222" s="30"/>
      <c r="GX222" s="30"/>
      <c r="GY222" s="30"/>
      <c r="GZ222" s="30"/>
      <c r="HA222" s="30"/>
      <c r="HB222" s="30"/>
      <c r="HC222" s="30"/>
      <c r="HD222" s="30"/>
      <c r="HE222" s="30"/>
      <c r="HF222" s="30"/>
      <c r="HG222" s="30"/>
      <c r="HH222" s="30"/>
      <c r="HI222" s="30"/>
      <c r="HJ222" s="30"/>
      <c r="HK222" s="30"/>
      <c r="HL222" s="30"/>
      <c r="HM222" s="30"/>
      <c r="HN222" s="30"/>
      <c r="HO222" s="30"/>
      <c r="HP222" s="30"/>
      <c r="HQ222" s="30"/>
      <c r="HR222" s="30"/>
      <c r="HS222" s="30"/>
      <c r="HT222" s="30"/>
      <c r="HU222" s="30"/>
      <c r="HV222" s="30"/>
      <c r="HW222" s="30"/>
      <c r="HX222" s="30"/>
      <c r="HY222" s="30"/>
      <c r="HZ222" s="30"/>
      <c r="IA222" s="30"/>
      <c r="IB222" s="30"/>
      <c r="IC222" s="30"/>
      <c r="ID222" s="30"/>
      <c r="IE222" s="30"/>
      <c r="IF222" s="30"/>
      <c r="IG222" s="30"/>
      <c r="IH222" s="30"/>
      <c r="II222" s="30"/>
      <c r="IJ222" s="30"/>
      <c r="IK222" s="30"/>
      <c r="IL222" s="30"/>
      <c r="IM222" s="30"/>
      <c r="IN222" s="30"/>
      <c r="IO222" s="30"/>
      <c r="IP222" s="30"/>
      <c r="IQ222" s="30"/>
      <c r="IR222" s="30"/>
      <c r="IS222" s="30"/>
      <c r="IT222" s="30"/>
      <c r="IU222" s="30"/>
      <c r="IV222" s="30"/>
      <c r="IW222" s="30"/>
      <c r="IX222" s="30"/>
      <c r="IY222" s="30"/>
      <c r="IZ222" s="30"/>
      <c r="JA222" s="30"/>
      <c r="JB222" s="30"/>
      <c r="JC222" s="30"/>
      <c r="JD222" s="30"/>
      <c r="JE222" s="30"/>
      <c r="JF222" s="30"/>
      <c r="JG222" s="30"/>
      <c r="JH222" s="30"/>
      <c r="JI222" s="30"/>
      <c r="JJ222" s="30"/>
      <c r="JK222" s="30"/>
      <c r="JL222" s="30"/>
      <c r="JM222" s="30"/>
      <c r="JN222" s="30"/>
      <c r="JO222" s="30"/>
      <c r="JP222" s="30"/>
      <c r="JQ222" s="30"/>
      <c r="JR222" s="30"/>
      <c r="JS222" s="30"/>
      <c r="JT222" s="30"/>
      <c r="JU222" s="30"/>
      <c r="JV222" s="30"/>
      <c r="JW222" s="30"/>
      <c r="JX222" s="30"/>
      <c r="JY222" s="30"/>
      <c r="JZ222" s="30"/>
      <c r="KA222" s="30"/>
      <c r="KB222" s="30"/>
      <c r="KC222" s="30"/>
      <c r="KD222" s="30"/>
      <c r="KE222" s="30"/>
      <c r="KF222" s="30"/>
      <c r="KG222" s="30"/>
      <c r="KH222" s="30"/>
      <c r="KI222" s="30"/>
      <c r="KJ222" s="30"/>
      <c r="KK222" s="30"/>
      <c r="KL222" s="30"/>
      <c r="KM222" s="30"/>
      <c r="KN222" s="30"/>
      <c r="KO222" s="30"/>
      <c r="KP222" s="30"/>
      <c r="KQ222" s="30"/>
      <c r="KR222" s="30"/>
      <c r="KS222" s="30"/>
      <c r="KT222" s="30"/>
      <c r="KU222" s="30"/>
      <c r="KV222" s="30"/>
      <c r="KW222" s="30"/>
      <c r="KX222" s="30"/>
      <c r="KY222" s="30"/>
      <c r="KZ222" s="30"/>
      <c r="LA222" s="30"/>
      <c r="LB222" s="30"/>
      <c r="LC222" s="30"/>
      <c r="LD222" s="30"/>
      <c r="LE222" s="30"/>
      <c r="LF222" s="30"/>
      <c r="LG222" s="30"/>
      <c r="LH222" s="30"/>
      <c r="LI222" s="30"/>
      <c r="LJ222" s="30"/>
      <c r="LK222" s="30"/>
      <c r="LL222" s="30"/>
      <c r="LM222" s="30"/>
      <c r="LN222" s="30"/>
      <c r="LO222" s="30"/>
      <c r="LP222" s="30"/>
      <c r="LQ222" s="30"/>
      <c r="LR222" s="30"/>
      <c r="LS222" s="30"/>
      <c r="LT222" s="30"/>
      <c r="LU222" s="30"/>
      <c r="LV222" s="30"/>
      <c r="LW222" s="30"/>
      <c r="LX222" s="30"/>
      <c r="LY222" s="30"/>
      <c r="LZ222" s="30"/>
      <c r="MA222" s="30"/>
      <c r="MB222" s="30"/>
      <c r="MC222" s="30"/>
      <c r="MD222" s="30"/>
      <c r="ME222" s="30"/>
      <c r="MF222" s="30"/>
      <c r="MG222" s="30"/>
      <c r="MH222" s="30"/>
      <c r="MI222" s="30"/>
      <c r="MJ222" s="30"/>
      <c r="MK222" s="30"/>
      <c r="ML222" s="30"/>
      <c r="MM222" s="30"/>
      <c r="MN222" s="30"/>
      <c r="MO222" s="30"/>
      <c r="MP222" s="30"/>
      <c r="MQ222" s="30"/>
      <c r="MR222" s="30"/>
      <c r="MS222" s="30"/>
      <c r="MT222" s="30"/>
      <c r="MU222" s="30"/>
      <c r="MV222" s="30"/>
      <c r="MW222" s="30"/>
      <c r="MX222" s="30"/>
      <c r="MY222" s="30"/>
      <c r="MZ222" s="30"/>
      <c r="NA222" s="30"/>
      <c r="NB222" s="30"/>
      <c r="NC222" s="30"/>
      <c r="ND222" s="30"/>
      <c r="NE222" s="30"/>
      <c r="NF222" s="30"/>
      <c r="NG222" s="30"/>
      <c r="NH222" s="30"/>
      <c r="NI222" s="30"/>
      <c r="NJ222" s="30"/>
      <c r="NK222" s="30"/>
      <c r="NL222" s="30"/>
      <c r="NM222" s="30"/>
      <c r="NN222" s="30"/>
      <c r="NO222" s="30"/>
      <c r="NP222" s="30"/>
      <c r="NQ222" s="30"/>
      <c r="NR222" s="30"/>
    </row>
    <row r="223" spans="1:382" s="3" customFormat="1" ht="20.100000000000001" customHeight="1" x14ac:dyDescent="0.4">
      <c r="A223" s="29">
        <v>1</v>
      </c>
      <c r="B223" s="5">
        <v>1927</v>
      </c>
      <c r="C223" s="5" t="s">
        <v>325</v>
      </c>
      <c r="D223" s="5" t="s">
        <v>323</v>
      </c>
      <c r="E223" s="5" t="s">
        <v>4</v>
      </c>
      <c r="F223" s="5" t="s">
        <v>32</v>
      </c>
      <c r="G223" s="5" t="s">
        <v>32</v>
      </c>
      <c r="H223" s="5" t="s">
        <v>32</v>
      </c>
      <c r="I223" s="8"/>
      <c r="J223" s="8"/>
      <c r="K223" s="8" t="str">
        <f>IF(OR(J223="",E223=""),"",J223+IFERROR(VLOOKUP(E223,リードタイム!$A$2:$C$9,3,FALSE),0))</f>
        <v/>
      </c>
      <c r="L223" s="5" t="s">
        <v>531</v>
      </c>
      <c r="M223" s="8"/>
      <c r="N223" s="8" t="str">
        <f>IF(OR(M223="",E223=""),"",M223+IFERROR(VLOOKUP(E223,リードタイム!$A$2:$D$9,4,FALSE),0))</f>
        <v/>
      </c>
      <c r="O223" s="5" t="s">
        <v>531</v>
      </c>
      <c r="P223" s="5" t="s">
        <v>533</v>
      </c>
      <c r="Q223" s="5" t="s">
        <v>70</v>
      </c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  <c r="FS223" s="30"/>
      <c r="FT223" s="30"/>
      <c r="FU223" s="30"/>
      <c r="FV223" s="30"/>
      <c r="FW223" s="30"/>
      <c r="FX223" s="30"/>
      <c r="FY223" s="30"/>
      <c r="FZ223" s="30"/>
      <c r="GA223" s="30"/>
      <c r="GB223" s="30"/>
      <c r="GC223" s="30"/>
      <c r="GD223" s="30"/>
      <c r="GE223" s="30"/>
      <c r="GF223" s="30"/>
      <c r="GG223" s="30"/>
      <c r="GH223" s="30"/>
      <c r="GI223" s="30"/>
      <c r="GJ223" s="30"/>
      <c r="GK223" s="30"/>
      <c r="GL223" s="30"/>
      <c r="GM223" s="30"/>
      <c r="GN223" s="30"/>
      <c r="GO223" s="30"/>
      <c r="GP223" s="30"/>
      <c r="GQ223" s="30"/>
      <c r="GR223" s="30"/>
      <c r="GS223" s="30"/>
      <c r="GT223" s="30"/>
      <c r="GU223" s="30"/>
      <c r="GV223" s="30"/>
      <c r="GW223" s="30"/>
      <c r="GX223" s="30"/>
      <c r="GY223" s="30"/>
      <c r="GZ223" s="30"/>
      <c r="HA223" s="30"/>
      <c r="HB223" s="30"/>
      <c r="HC223" s="30"/>
      <c r="HD223" s="30"/>
      <c r="HE223" s="30"/>
      <c r="HF223" s="30"/>
      <c r="HG223" s="30"/>
      <c r="HH223" s="30"/>
      <c r="HI223" s="30"/>
      <c r="HJ223" s="30"/>
      <c r="HK223" s="30"/>
      <c r="HL223" s="30"/>
      <c r="HM223" s="30"/>
      <c r="HN223" s="30"/>
      <c r="HO223" s="30"/>
      <c r="HP223" s="30"/>
      <c r="HQ223" s="30"/>
      <c r="HR223" s="30"/>
      <c r="HS223" s="30"/>
      <c r="HT223" s="30"/>
      <c r="HU223" s="30"/>
      <c r="HV223" s="30"/>
      <c r="HW223" s="30"/>
      <c r="HX223" s="30"/>
      <c r="HY223" s="30"/>
      <c r="HZ223" s="30"/>
      <c r="IA223" s="30"/>
      <c r="IB223" s="30"/>
      <c r="IC223" s="30"/>
      <c r="ID223" s="30"/>
      <c r="IE223" s="30"/>
      <c r="IF223" s="30"/>
      <c r="IG223" s="30"/>
      <c r="IH223" s="30"/>
      <c r="II223" s="30"/>
      <c r="IJ223" s="30"/>
      <c r="IK223" s="30"/>
      <c r="IL223" s="30"/>
      <c r="IM223" s="30"/>
      <c r="IN223" s="30"/>
      <c r="IO223" s="30"/>
      <c r="IP223" s="30"/>
      <c r="IQ223" s="30"/>
      <c r="IR223" s="30"/>
      <c r="IS223" s="30"/>
      <c r="IT223" s="30"/>
      <c r="IU223" s="30"/>
      <c r="IV223" s="30"/>
      <c r="IW223" s="30"/>
      <c r="IX223" s="30"/>
      <c r="IY223" s="30"/>
      <c r="IZ223" s="30"/>
      <c r="JA223" s="30"/>
      <c r="JB223" s="30"/>
      <c r="JC223" s="30"/>
      <c r="JD223" s="30"/>
      <c r="JE223" s="30"/>
      <c r="JF223" s="30"/>
      <c r="JG223" s="30"/>
      <c r="JH223" s="30"/>
      <c r="JI223" s="30"/>
      <c r="JJ223" s="30"/>
      <c r="JK223" s="30"/>
      <c r="JL223" s="30"/>
      <c r="JM223" s="30"/>
      <c r="JN223" s="30"/>
      <c r="JO223" s="30"/>
      <c r="JP223" s="30"/>
      <c r="JQ223" s="30"/>
      <c r="JR223" s="30"/>
      <c r="JS223" s="30"/>
      <c r="JT223" s="30"/>
      <c r="JU223" s="30"/>
      <c r="JV223" s="30"/>
      <c r="JW223" s="30"/>
      <c r="JX223" s="30"/>
      <c r="JY223" s="30"/>
      <c r="JZ223" s="30"/>
      <c r="KA223" s="30"/>
      <c r="KB223" s="30"/>
      <c r="KC223" s="30"/>
      <c r="KD223" s="30"/>
      <c r="KE223" s="30"/>
      <c r="KF223" s="30"/>
      <c r="KG223" s="30"/>
      <c r="KH223" s="30"/>
      <c r="KI223" s="30"/>
      <c r="KJ223" s="30"/>
      <c r="KK223" s="30"/>
      <c r="KL223" s="30"/>
      <c r="KM223" s="30"/>
      <c r="KN223" s="30"/>
      <c r="KO223" s="30"/>
      <c r="KP223" s="30"/>
      <c r="KQ223" s="30"/>
      <c r="KR223" s="30"/>
      <c r="KS223" s="30"/>
      <c r="KT223" s="30"/>
      <c r="KU223" s="30"/>
      <c r="KV223" s="30"/>
      <c r="KW223" s="30"/>
      <c r="KX223" s="30"/>
      <c r="KY223" s="30"/>
      <c r="KZ223" s="30"/>
      <c r="LA223" s="30"/>
      <c r="LB223" s="30"/>
      <c r="LC223" s="30"/>
      <c r="LD223" s="30"/>
      <c r="LE223" s="30"/>
      <c r="LF223" s="30"/>
      <c r="LG223" s="30"/>
      <c r="LH223" s="30"/>
      <c r="LI223" s="30"/>
      <c r="LJ223" s="30"/>
      <c r="LK223" s="30"/>
      <c r="LL223" s="30"/>
      <c r="LM223" s="30"/>
      <c r="LN223" s="30"/>
      <c r="LO223" s="30"/>
      <c r="LP223" s="30"/>
      <c r="LQ223" s="30"/>
      <c r="LR223" s="30"/>
      <c r="LS223" s="30"/>
      <c r="LT223" s="30"/>
      <c r="LU223" s="30"/>
      <c r="LV223" s="30"/>
      <c r="LW223" s="30"/>
      <c r="LX223" s="30"/>
      <c r="LY223" s="30"/>
      <c r="LZ223" s="30"/>
      <c r="MA223" s="30"/>
      <c r="MB223" s="30"/>
      <c r="MC223" s="30"/>
      <c r="MD223" s="30"/>
      <c r="ME223" s="30"/>
      <c r="MF223" s="30"/>
      <c r="MG223" s="30"/>
      <c r="MH223" s="30"/>
      <c r="MI223" s="30"/>
      <c r="MJ223" s="30"/>
      <c r="MK223" s="30"/>
      <c r="ML223" s="30"/>
      <c r="MM223" s="30"/>
      <c r="MN223" s="30"/>
      <c r="MO223" s="30"/>
      <c r="MP223" s="30"/>
      <c r="MQ223" s="30"/>
      <c r="MR223" s="30"/>
      <c r="MS223" s="30"/>
      <c r="MT223" s="30"/>
      <c r="MU223" s="30"/>
      <c r="MV223" s="30"/>
      <c r="MW223" s="30"/>
      <c r="MX223" s="30"/>
      <c r="MY223" s="30"/>
      <c r="MZ223" s="30"/>
      <c r="NA223" s="30"/>
      <c r="NB223" s="30"/>
      <c r="NC223" s="30"/>
      <c r="ND223" s="30"/>
      <c r="NE223" s="30"/>
      <c r="NF223" s="30"/>
      <c r="NG223" s="30"/>
      <c r="NH223" s="30"/>
      <c r="NI223" s="30"/>
      <c r="NJ223" s="30"/>
      <c r="NK223" s="30"/>
      <c r="NL223" s="30"/>
      <c r="NM223" s="30"/>
      <c r="NN223" s="30"/>
      <c r="NO223" s="30"/>
      <c r="NP223" s="30"/>
      <c r="NQ223" s="30"/>
      <c r="NR223" s="30"/>
    </row>
    <row r="224" spans="1:382" s="3" customFormat="1" ht="20.100000000000001" customHeight="1" x14ac:dyDescent="0.4">
      <c r="A224" s="29">
        <v>1</v>
      </c>
      <c r="B224" s="5">
        <v>394</v>
      </c>
      <c r="C224" s="5" t="s">
        <v>326</v>
      </c>
      <c r="D224" s="5" t="s">
        <v>193</v>
      </c>
      <c r="E224" s="5" t="s">
        <v>6</v>
      </c>
      <c r="F224" s="5" t="s">
        <v>32</v>
      </c>
      <c r="G224" s="5" t="s">
        <v>32</v>
      </c>
      <c r="H224" s="5" t="s">
        <v>32</v>
      </c>
      <c r="I224" s="8">
        <v>46111.625</v>
      </c>
      <c r="J224" s="8"/>
      <c r="K224" s="8" t="str">
        <f>IF(OR(J224="",E224=""),"",J224+IFERROR(VLOOKUP(E224,リードタイム!$A$2:$C$9,3,FALSE),0))</f>
        <v/>
      </c>
      <c r="L224" s="5" t="s">
        <v>531</v>
      </c>
      <c r="M224" s="8"/>
      <c r="N224" s="8" t="str">
        <f>IF(OR(M224="",E224=""),"",M224+IFERROR(VLOOKUP(E224,リードタイム!$A$2:$D$9,4,FALSE),0))</f>
        <v/>
      </c>
      <c r="O224" s="5" t="s">
        <v>531</v>
      </c>
      <c r="P224" s="5" t="s">
        <v>532</v>
      </c>
      <c r="Q224" s="5" t="s">
        <v>327</v>
      </c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  <c r="FS224" s="30"/>
      <c r="FT224" s="30"/>
      <c r="FU224" s="30"/>
      <c r="FV224" s="30"/>
      <c r="FW224" s="30"/>
      <c r="FX224" s="30"/>
      <c r="FY224" s="30"/>
      <c r="FZ224" s="30"/>
      <c r="GA224" s="30"/>
      <c r="GB224" s="30"/>
      <c r="GC224" s="30"/>
      <c r="GD224" s="30"/>
      <c r="GE224" s="30"/>
      <c r="GF224" s="30"/>
      <c r="GG224" s="30"/>
      <c r="GH224" s="30"/>
      <c r="GI224" s="30"/>
      <c r="GJ224" s="30"/>
      <c r="GK224" s="30"/>
      <c r="GL224" s="30"/>
      <c r="GM224" s="30"/>
      <c r="GN224" s="30"/>
      <c r="GO224" s="30"/>
      <c r="GP224" s="30"/>
      <c r="GQ224" s="30"/>
      <c r="GR224" s="30"/>
      <c r="GS224" s="30"/>
      <c r="GT224" s="30"/>
      <c r="GU224" s="30"/>
      <c r="GV224" s="30"/>
      <c r="GW224" s="30"/>
      <c r="GX224" s="30"/>
      <c r="GY224" s="30"/>
      <c r="GZ224" s="30"/>
      <c r="HA224" s="30"/>
      <c r="HB224" s="30"/>
      <c r="HC224" s="30"/>
      <c r="HD224" s="30"/>
      <c r="HE224" s="30"/>
      <c r="HF224" s="30"/>
      <c r="HG224" s="30"/>
      <c r="HH224" s="30"/>
      <c r="HI224" s="30"/>
      <c r="HJ224" s="30"/>
      <c r="HK224" s="30"/>
      <c r="HL224" s="30"/>
      <c r="HM224" s="30"/>
      <c r="HN224" s="30"/>
      <c r="HO224" s="30"/>
      <c r="HP224" s="30"/>
      <c r="HQ224" s="30"/>
      <c r="HR224" s="30"/>
      <c r="HS224" s="30"/>
      <c r="HT224" s="30"/>
      <c r="HU224" s="30"/>
      <c r="HV224" s="30"/>
      <c r="HW224" s="30"/>
      <c r="HX224" s="30"/>
      <c r="HY224" s="30"/>
      <c r="HZ224" s="30"/>
      <c r="IA224" s="30"/>
      <c r="IB224" s="30"/>
      <c r="IC224" s="30"/>
      <c r="ID224" s="30"/>
      <c r="IE224" s="30"/>
      <c r="IF224" s="30"/>
      <c r="IG224" s="30"/>
      <c r="IH224" s="30"/>
      <c r="II224" s="30"/>
      <c r="IJ224" s="30"/>
      <c r="IK224" s="30"/>
      <c r="IL224" s="30"/>
      <c r="IM224" s="30"/>
      <c r="IN224" s="30"/>
      <c r="IO224" s="30"/>
      <c r="IP224" s="30"/>
      <c r="IQ224" s="30"/>
      <c r="IR224" s="30"/>
      <c r="IS224" s="30"/>
      <c r="IT224" s="30"/>
      <c r="IU224" s="30"/>
      <c r="IV224" s="30"/>
      <c r="IW224" s="30"/>
      <c r="IX224" s="30"/>
      <c r="IY224" s="30"/>
      <c r="IZ224" s="30"/>
      <c r="JA224" s="30"/>
      <c r="JB224" s="30"/>
      <c r="JC224" s="30"/>
      <c r="JD224" s="30"/>
      <c r="JE224" s="30"/>
      <c r="JF224" s="30"/>
      <c r="JG224" s="30"/>
      <c r="JH224" s="30"/>
      <c r="JI224" s="30"/>
      <c r="JJ224" s="30"/>
      <c r="JK224" s="30"/>
      <c r="JL224" s="30"/>
      <c r="JM224" s="30"/>
      <c r="JN224" s="30"/>
      <c r="JO224" s="30"/>
      <c r="JP224" s="30"/>
      <c r="JQ224" s="30"/>
      <c r="JR224" s="30"/>
      <c r="JS224" s="30"/>
      <c r="JT224" s="30"/>
      <c r="JU224" s="30"/>
      <c r="JV224" s="30"/>
      <c r="JW224" s="30"/>
      <c r="JX224" s="30"/>
      <c r="JY224" s="30"/>
      <c r="JZ224" s="30"/>
      <c r="KA224" s="30"/>
      <c r="KB224" s="30"/>
      <c r="KC224" s="30"/>
      <c r="KD224" s="30"/>
      <c r="KE224" s="30"/>
      <c r="KF224" s="30"/>
      <c r="KG224" s="30"/>
      <c r="KH224" s="30"/>
      <c r="KI224" s="30"/>
      <c r="KJ224" s="30"/>
      <c r="KK224" s="30"/>
      <c r="KL224" s="30"/>
      <c r="KM224" s="30"/>
      <c r="KN224" s="30"/>
      <c r="KO224" s="30"/>
      <c r="KP224" s="30"/>
      <c r="KQ224" s="30"/>
      <c r="KR224" s="30"/>
      <c r="KS224" s="30"/>
      <c r="KT224" s="30"/>
      <c r="KU224" s="30"/>
      <c r="KV224" s="30"/>
      <c r="KW224" s="30"/>
      <c r="KX224" s="30"/>
      <c r="KY224" s="30"/>
      <c r="KZ224" s="30"/>
      <c r="LA224" s="30"/>
      <c r="LB224" s="30"/>
      <c r="LC224" s="30"/>
      <c r="LD224" s="30"/>
      <c r="LE224" s="30"/>
      <c r="LF224" s="30"/>
      <c r="LG224" s="30"/>
      <c r="LH224" s="30"/>
      <c r="LI224" s="30"/>
      <c r="LJ224" s="30"/>
      <c r="LK224" s="30"/>
      <c r="LL224" s="30"/>
      <c r="LM224" s="30"/>
      <c r="LN224" s="30"/>
      <c r="LO224" s="30"/>
      <c r="LP224" s="30"/>
      <c r="LQ224" s="30"/>
      <c r="LR224" s="30"/>
      <c r="LS224" s="30"/>
      <c r="LT224" s="30"/>
      <c r="LU224" s="30"/>
      <c r="LV224" s="30"/>
      <c r="LW224" s="30"/>
      <c r="LX224" s="30"/>
      <c r="LY224" s="30"/>
      <c r="LZ224" s="30"/>
      <c r="MA224" s="30"/>
      <c r="MB224" s="30"/>
      <c r="MC224" s="30"/>
      <c r="MD224" s="30"/>
      <c r="ME224" s="30"/>
      <c r="MF224" s="30"/>
      <c r="MG224" s="30"/>
      <c r="MH224" s="30"/>
      <c r="MI224" s="30"/>
      <c r="MJ224" s="30"/>
      <c r="MK224" s="30"/>
      <c r="ML224" s="30"/>
      <c r="MM224" s="30"/>
      <c r="MN224" s="30"/>
      <c r="MO224" s="30"/>
      <c r="MP224" s="30"/>
      <c r="MQ224" s="30"/>
      <c r="MR224" s="30"/>
      <c r="MS224" s="30"/>
      <c r="MT224" s="30"/>
      <c r="MU224" s="30"/>
      <c r="MV224" s="30"/>
      <c r="MW224" s="30"/>
      <c r="MX224" s="30"/>
      <c r="MY224" s="30"/>
      <c r="MZ224" s="30"/>
      <c r="NA224" s="30"/>
      <c r="NB224" s="30"/>
      <c r="NC224" s="30"/>
      <c r="ND224" s="30"/>
      <c r="NE224" s="30"/>
      <c r="NF224" s="30"/>
      <c r="NG224" s="30"/>
      <c r="NH224" s="30"/>
      <c r="NI224" s="30"/>
      <c r="NJ224" s="30"/>
      <c r="NK224" s="30"/>
      <c r="NL224" s="30"/>
      <c r="NM224" s="30"/>
      <c r="NN224" s="30"/>
      <c r="NO224" s="30"/>
      <c r="NP224" s="30"/>
      <c r="NQ224" s="30"/>
      <c r="NR224" s="30"/>
    </row>
    <row r="225" spans="1:382" s="3" customFormat="1" ht="20.100000000000001" customHeight="1" x14ac:dyDescent="0.4">
      <c r="A225" s="29">
        <v>1</v>
      </c>
      <c r="B225" s="5">
        <v>794</v>
      </c>
      <c r="C225" s="5" t="s">
        <v>328</v>
      </c>
      <c r="D225" s="5" t="s">
        <v>220</v>
      </c>
      <c r="E225" s="5" t="s">
        <v>8</v>
      </c>
      <c r="F225" s="5" t="s">
        <v>32</v>
      </c>
      <c r="G225" s="5" t="s">
        <v>32</v>
      </c>
      <c r="H225" s="5" t="s">
        <v>32</v>
      </c>
      <c r="I225" s="8">
        <v>45909.625</v>
      </c>
      <c r="J225" s="8"/>
      <c r="K225" s="8" t="str">
        <f>IF(OR(J225="",E225=""),"",J225+IFERROR(VLOOKUP(E225,リードタイム!$A$2:$C$9,3,FALSE),0))</f>
        <v/>
      </c>
      <c r="L225" s="5" t="s">
        <v>531</v>
      </c>
      <c r="M225" s="8"/>
      <c r="N225" s="8" t="str">
        <f>IF(OR(M225="",E225=""),"",M225+IFERROR(VLOOKUP(E225,リードタイム!$A$2:$D$9,4,FALSE),0))</f>
        <v/>
      </c>
      <c r="O225" s="5" t="s">
        <v>531</v>
      </c>
      <c r="P225" s="5" t="s">
        <v>533</v>
      </c>
      <c r="Q225" s="5" t="s">
        <v>32</v>
      </c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  <c r="FS225" s="30"/>
      <c r="FT225" s="30"/>
      <c r="FU225" s="30"/>
      <c r="FV225" s="30"/>
      <c r="FW225" s="30"/>
      <c r="FX225" s="30"/>
      <c r="FY225" s="30"/>
      <c r="FZ225" s="30"/>
      <c r="GA225" s="30"/>
      <c r="GB225" s="30"/>
      <c r="GC225" s="30"/>
      <c r="GD225" s="30"/>
      <c r="GE225" s="30"/>
      <c r="GF225" s="30"/>
      <c r="GG225" s="30"/>
      <c r="GH225" s="30"/>
      <c r="GI225" s="30"/>
      <c r="GJ225" s="30"/>
      <c r="GK225" s="30"/>
      <c r="GL225" s="30"/>
      <c r="GM225" s="30"/>
      <c r="GN225" s="30"/>
      <c r="GO225" s="30"/>
      <c r="GP225" s="30"/>
      <c r="GQ225" s="30"/>
      <c r="GR225" s="30"/>
      <c r="GS225" s="30"/>
      <c r="GT225" s="30"/>
      <c r="GU225" s="30"/>
      <c r="GV225" s="30"/>
      <c r="GW225" s="30"/>
      <c r="GX225" s="30"/>
      <c r="GY225" s="30"/>
      <c r="GZ225" s="30"/>
      <c r="HA225" s="30"/>
      <c r="HB225" s="30"/>
      <c r="HC225" s="30"/>
      <c r="HD225" s="30"/>
      <c r="HE225" s="30"/>
      <c r="HF225" s="30"/>
      <c r="HG225" s="30"/>
      <c r="HH225" s="30"/>
      <c r="HI225" s="30"/>
      <c r="HJ225" s="30"/>
      <c r="HK225" s="30"/>
      <c r="HL225" s="30"/>
      <c r="HM225" s="30"/>
      <c r="HN225" s="30"/>
      <c r="HO225" s="30"/>
      <c r="HP225" s="30"/>
      <c r="HQ225" s="30"/>
      <c r="HR225" s="30"/>
      <c r="HS225" s="30"/>
      <c r="HT225" s="30"/>
      <c r="HU225" s="30"/>
      <c r="HV225" s="30"/>
      <c r="HW225" s="30"/>
      <c r="HX225" s="30"/>
      <c r="HY225" s="30"/>
      <c r="HZ225" s="30"/>
      <c r="IA225" s="30"/>
      <c r="IB225" s="30"/>
      <c r="IC225" s="30"/>
      <c r="ID225" s="30"/>
      <c r="IE225" s="30"/>
      <c r="IF225" s="30"/>
      <c r="IG225" s="30"/>
      <c r="IH225" s="30"/>
      <c r="II225" s="30"/>
      <c r="IJ225" s="30"/>
      <c r="IK225" s="30"/>
      <c r="IL225" s="30"/>
      <c r="IM225" s="30"/>
      <c r="IN225" s="30"/>
      <c r="IO225" s="30"/>
      <c r="IP225" s="30"/>
      <c r="IQ225" s="30"/>
      <c r="IR225" s="30"/>
      <c r="IS225" s="30"/>
      <c r="IT225" s="30"/>
      <c r="IU225" s="30"/>
      <c r="IV225" s="30"/>
      <c r="IW225" s="30"/>
      <c r="IX225" s="30"/>
      <c r="IY225" s="30"/>
      <c r="IZ225" s="30"/>
      <c r="JA225" s="30"/>
      <c r="JB225" s="30"/>
      <c r="JC225" s="30"/>
      <c r="JD225" s="30"/>
      <c r="JE225" s="30"/>
      <c r="JF225" s="30"/>
      <c r="JG225" s="30"/>
      <c r="JH225" s="30"/>
      <c r="JI225" s="30"/>
      <c r="JJ225" s="30"/>
      <c r="JK225" s="30"/>
      <c r="JL225" s="30"/>
      <c r="JM225" s="30"/>
      <c r="JN225" s="30"/>
      <c r="JO225" s="30"/>
      <c r="JP225" s="30"/>
      <c r="JQ225" s="30"/>
      <c r="JR225" s="30"/>
      <c r="JS225" s="30"/>
      <c r="JT225" s="30"/>
      <c r="JU225" s="30"/>
      <c r="JV225" s="30"/>
      <c r="JW225" s="30"/>
      <c r="JX225" s="30"/>
      <c r="JY225" s="30"/>
      <c r="JZ225" s="30"/>
      <c r="KA225" s="30"/>
      <c r="KB225" s="30"/>
      <c r="KC225" s="30"/>
      <c r="KD225" s="30"/>
      <c r="KE225" s="30"/>
      <c r="KF225" s="30"/>
      <c r="KG225" s="30"/>
      <c r="KH225" s="30"/>
      <c r="KI225" s="30"/>
      <c r="KJ225" s="30"/>
      <c r="KK225" s="30"/>
      <c r="KL225" s="30"/>
      <c r="KM225" s="30"/>
      <c r="KN225" s="30"/>
      <c r="KO225" s="30"/>
      <c r="KP225" s="30"/>
      <c r="KQ225" s="30"/>
      <c r="KR225" s="30"/>
      <c r="KS225" s="30"/>
      <c r="KT225" s="30"/>
      <c r="KU225" s="30"/>
      <c r="KV225" s="30"/>
      <c r="KW225" s="30"/>
      <c r="KX225" s="30"/>
      <c r="KY225" s="30"/>
      <c r="KZ225" s="30"/>
      <c r="LA225" s="30"/>
      <c r="LB225" s="30"/>
      <c r="LC225" s="30"/>
      <c r="LD225" s="30"/>
      <c r="LE225" s="30"/>
      <c r="LF225" s="30"/>
      <c r="LG225" s="30"/>
      <c r="LH225" s="30"/>
      <c r="LI225" s="30"/>
      <c r="LJ225" s="30"/>
      <c r="LK225" s="30"/>
      <c r="LL225" s="30"/>
      <c r="LM225" s="30"/>
      <c r="LN225" s="30"/>
      <c r="LO225" s="30"/>
      <c r="LP225" s="30"/>
      <c r="LQ225" s="30"/>
      <c r="LR225" s="30"/>
      <c r="LS225" s="30"/>
      <c r="LT225" s="30"/>
      <c r="LU225" s="30"/>
      <c r="LV225" s="30"/>
      <c r="LW225" s="30"/>
      <c r="LX225" s="30"/>
      <c r="LY225" s="30"/>
      <c r="LZ225" s="30"/>
      <c r="MA225" s="30"/>
      <c r="MB225" s="30"/>
      <c r="MC225" s="30"/>
      <c r="MD225" s="30"/>
      <c r="ME225" s="30"/>
      <c r="MF225" s="30"/>
      <c r="MG225" s="30"/>
      <c r="MH225" s="30"/>
      <c r="MI225" s="30"/>
      <c r="MJ225" s="30"/>
      <c r="MK225" s="30"/>
      <c r="ML225" s="30"/>
      <c r="MM225" s="30"/>
      <c r="MN225" s="30"/>
      <c r="MO225" s="30"/>
      <c r="MP225" s="30"/>
      <c r="MQ225" s="30"/>
      <c r="MR225" s="30"/>
      <c r="MS225" s="30"/>
      <c r="MT225" s="30"/>
      <c r="MU225" s="30"/>
      <c r="MV225" s="30"/>
      <c r="MW225" s="30"/>
      <c r="MX225" s="30"/>
      <c r="MY225" s="30"/>
      <c r="MZ225" s="30"/>
      <c r="NA225" s="30"/>
      <c r="NB225" s="30"/>
      <c r="NC225" s="30"/>
      <c r="ND225" s="30"/>
      <c r="NE225" s="30"/>
      <c r="NF225" s="30"/>
      <c r="NG225" s="30"/>
      <c r="NH225" s="30"/>
      <c r="NI225" s="30"/>
      <c r="NJ225" s="30"/>
      <c r="NK225" s="30"/>
      <c r="NL225" s="30"/>
      <c r="NM225" s="30"/>
      <c r="NN225" s="30"/>
      <c r="NO225" s="30"/>
      <c r="NP225" s="30"/>
      <c r="NQ225" s="30"/>
      <c r="NR225" s="30"/>
    </row>
    <row r="226" spans="1:382" s="3" customFormat="1" ht="20.100000000000001" customHeight="1" x14ac:dyDescent="0.4">
      <c r="A226" s="29">
        <v>2</v>
      </c>
      <c r="B226" s="5">
        <v>1927</v>
      </c>
      <c r="C226" s="5" t="s">
        <v>328</v>
      </c>
      <c r="D226" s="5" t="s">
        <v>329</v>
      </c>
      <c r="E226" s="5" t="s">
        <v>4</v>
      </c>
      <c r="F226" s="5" t="s">
        <v>32</v>
      </c>
      <c r="G226" s="5" t="s">
        <v>32</v>
      </c>
      <c r="H226" s="5" t="s">
        <v>32</v>
      </c>
      <c r="I226" s="8"/>
      <c r="J226" s="8"/>
      <c r="K226" s="8" t="str">
        <f>IF(OR(J226="",E226=""),"",J226+IFERROR(VLOOKUP(E226,リードタイム!$A$2:$C$9,3,FALSE),0))</f>
        <v/>
      </c>
      <c r="L226" s="5" t="s">
        <v>531</v>
      </c>
      <c r="M226" s="8"/>
      <c r="N226" s="8" t="str">
        <f>IF(OR(M226="",E226=""),"",M226+IFERROR(VLOOKUP(E226,リードタイム!$A$2:$D$9,4,FALSE),0))</f>
        <v/>
      </c>
      <c r="O226" s="5" t="s">
        <v>531</v>
      </c>
      <c r="P226" s="5" t="s">
        <v>533</v>
      </c>
      <c r="Q226" s="5" t="s">
        <v>70</v>
      </c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  <c r="FS226" s="30"/>
      <c r="FT226" s="30"/>
      <c r="FU226" s="30"/>
      <c r="FV226" s="30"/>
      <c r="FW226" s="30"/>
      <c r="FX226" s="30"/>
      <c r="FY226" s="30"/>
      <c r="FZ226" s="30"/>
      <c r="GA226" s="30"/>
      <c r="GB226" s="30"/>
      <c r="GC226" s="30"/>
      <c r="GD226" s="30"/>
      <c r="GE226" s="30"/>
      <c r="GF226" s="30"/>
      <c r="GG226" s="30"/>
      <c r="GH226" s="30"/>
      <c r="GI226" s="30"/>
      <c r="GJ226" s="30"/>
      <c r="GK226" s="30"/>
      <c r="GL226" s="30"/>
      <c r="GM226" s="30"/>
      <c r="GN226" s="30"/>
      <c r="GO226" s="30"/>
      <c r="GP226" s="30"/>
      <c r="GQ226" s="30"/>
      <c r="GR226" s="30"/>
      <c r="GS226" s="30"/>
      <c r="GT226" s="30"/>
      <c r="GU226" s="30"/>
      <c r="GV226" s="30"/>
      <c r="GW226" s="30"/>
      <c r="GX226" s="30"/>
      <c r="GY226" s="30"/>
      <c r="GZ226" s="30"/>
      <c r="HA226" s="30"/>
      <c r="HB226" s="30"/>
      <c r="HC226" s="30"/>
      <c r="HD226" s="30"/>
      <c r="HE226" s="30"/>
      <c r="HF226" s="30"/>
      <c r="HG226" s="30"/>
      <c r="HH226" s="30"/>
      <c r="HI226" s="30"/>
      <c r="HJ226" s="30"/>
      <c r="HK226" s="30"/>
      <c r="HL226" s="30"/>
      <c r="HM226" s="30"/>
      <c r="HN226" s="30"/>
      <c r="HO226" s="30"/>
      <c r="HP226" s="30"/>
      <c r="HQ226" s="30"/>
      <c r="HR226" s="30"/>
      <c r="HS226" s="30"/>
      <c r="HT226" s="30"/>
      <c r="HU226" s="30"/>
      <c r="HV226" s="30"/>
      <c r="HW226" s="30"/>
      <c r="HX226" s="30"/>
      <c r="HY226" s="30"/>
      <c r="HZ226" s="30"/>
      <c r="IA226" s="30"/>
      <c r="IB226" s="30"/>
      <c r="IC226" s="30"/>
      <c r="ID226" s="30"/>
      <c r="IE226" s="30"/>
      <c r="IF226" s="30"/>
      <c r="IG226" s="30"/>
      <c r="IH226" s="30"/>
      <c r="II226" s="30"/>
      <c r="IJ226" s="30"/>
      <c r="IK226" s="30"/>
      <c r="IL226" s="30"/>
      <c r="IM226" s="30"/>
      <c r="IN226" s="30"/>
      <c r="IO226" s="30"/>
      <c r="IP226" s="30"/>
      <c r="IQ226" s="30"/>
      <c r="IR226" s="30"/>
      <c r="IS226" s="30"/>
      <c r="IT226" s="30"/>
      <c r="IU226" s="30"/>
      <c r="IV226" s="30"/>
      <c r="IW226" s="30"/>
      <c r="IX226" s="30"/>
      <c r="IY226" s="30"/>
      <c r="IZ226" s="30"/>
      <c r="JA226" s="30"/>
      <c r="JB226" s="30"/>
      <c r="JC226" s="30"/>
      <c r="JD226" s="30"/>
      <c r="JE226" s="30"/>
      <c r="JF226" s="30"/>
      <c r="JG226" s="30"/>
      <c r="JH226" s="30"/>
      <c r="JI226" s="30"/>
      <c r="JJ226" s="30"/>
      <c r="JK226" s="30"/>
      <c r="JL226" s="30"/>
      <c r="JM226" s="30"/>
      <c r="JN226" s="30"/>
      <c r="JO226" s="30"/>
      <c r="JP226" s="30"/>
      <c r="JQ226" s="30"/>
      <c r="JR226" s="30"/>
      <c r="JS226" s="30"/>
      <c r="JT226" s="30"/>
      <c r="JU226" s="30"/>
      <c r="JV226" s="30"/>
      <c r="JW226" s="30"/>
      <c r="JX226" s="30"/>
      <c r="JY226" s="30"/>
      <c r="JZ226" s="30"/>
      <c r="KA226" s="30"/>
      <c r="KB226" s="30"/>
      <c r="KC226" s="30"/>
      <c r="KD226" s="30"/>
      <c r="KE226" s="30"/>
      <c r="KF226" s="30"/>
      <c r="KG226" s="30"/>
      <c r="KH226" s="30"/>
      <c r="KI226" s="30"/>
      <c r="KJ226" s="30"/>
      <c r="KK226" s="30"/>
      <c r="KL226" s="30"/>
      <c r="KM226" s="30"/>
      <c r="KN226" s="30"/>
      <c r="KO226" s="30"/>
      <c r="KP226" s="30"/>
      <c r="KQ226" s="30"/>
      <c r="KR226" s="30"/>
      <c r="KS226" s="30"/>
      <c r="KT226" s="30"/>
      <c r="KU226" s="30"/>
      <c r="KV226" s="30"/>
      <c r="KW226" s="30"/>
      <c r="KX226" s="30"/>
      <c r="KY226" s="30"/>
      <c r="KZ226" s="30"/>
      <c r="LA226" s="30"/>
      <c r="LB226" s="30"/>
      <c r="LC226" s="30"/>
      <c r="LD226" s="30"/>
      <c r="LE226" s="30"/>
      <c r="LF226" s="30"/>
      <c r="LG226" s="30"/>
      <c r="LH226" s="30"/>
      <c r="LI226" s="30"/>
      <c r="LJ226" s="30"/>
      <c r="LK226" s="30"/>
      <c r="LL226" s="30"/>
      <c r="LM226" s="30"/>
      <c r="LN226" s="30"/>
      <c r="LO226" s="30"/>
      <c r="LP226" s="30"/>
      <c r="LQ226" s="30"/>
      <c r="LR226" s="30"/>
      <c r="LS226" s="30"/>
      <c r="LT226" s="30"/>
      <c r="LU226" s="30"/>
      <c r="LV226" s="30"/>
      <c r="LW226" s="30"/>
      <c r="LX226" s="30"/>
      <c r="LY226" s="30"/>
      <c r="LZ226" s="30"/>
      <c r="MA226" s="30"/>
      <c r="MB226" s="30"/>
      <c r="MC226" s="30"/>
      <c r="MD226" s="30"/>
      <c r="ME226" s="30"/>
      <c r="MF226" s="30"/>
      <c r="MG226" s="30"/>
      <c r="MH226" s="30"/>
      <c r="MI226" s="30"/>
      <c r="MJ226" s="30"/>
      <c r="MK226" s="30"/>
      <c r="ML226" s="30"/>
      <c r="MM226" s="30"/>
      <c r="MN226" s="30"/>
      <c r="MO226" s="30"/>
      <c r="MP226" s="30"/>
      <c r="MQ226" s="30"/>
      <c r="MR226" s="30"/>
      <c r="MS226" s="30"/>
      <c r="MT226" s="30"/>
      <c r="MU226" s="30"/>
      <c r="MV226" s="30"/>
      <c r="MW226" s="30"/>
      <c r="MX226" s="30"/>
      <c r="MY226" s="30"/>
      <c r="MZ226" s="30"/>
      <c r="NA226" s="30"/>
      <c r="NB226" s="30"/>
      <c r="NC226" s="30"/>
      <c r="ND226" s="30"/>
      <c r="NE226" s="30"/>
      <c r="NF226" s="30"/>
      <c r="NG226" s="30"/>
      <c r="NH226" s="30"/>
      <c r="NI226" s="30"/>
      <c r="NJ226" s="30"/>
      <c r="NK226" s="30"/>
      <c r="NL226" s="30"/>
      <c r="NM226" s="30"/>
      <c r="NN226" s="30"/>
      <c r="NO226" s="30"/>
      <c r="NP226" s="30"/>
      <c r="NQ226" s="30"/>
      <c r="NR226" s="30"/>
    </row>
    <row r="227" spans="1:382" s="3" customFormat="1" ht="20.100000000000001" customHeight="1" x14ac:dyDescent="0.4">
      <c r="A227" s="29">
        <v>1</v>
      </c>
      <c r="B227" s="5">
        <v>1922</v>
      </c>
      <c r="C227" s="5" t="s">
        <v>330</v>
      </c>
      <c r="D227" s="5" t="s">
        <v>331</v>
      </c>
      <c r="E227" s="5" t="s">
        <v>14</v>
      </c>
      <c r="F227" s="5" t="s">
        <v>32</v>
      </c>
      <c r="G227" s="5" t="s">
        <v>32</v>
      </c>
      <c r="H227" s="5" t="s">
        <v>32</v>
      </c>
      <c r="I227" s="8">
        <v>45950.625</v>
      </c>
      <c r="J227" s="8"/>
      <c r="K227" s="8" t="str">
        <f>IF(OR(J227="",E227=""),"",J227+IFERROR(VLOOKUP(E227,リードタイム!$A$2:$C$9,3,FALSE),0))</f>
        <v/>
      </c>
      <c r="L227" s="5" t="s">
        <v>531</v>
      </c>
      <c r="M227" s="8"/>
      <c r="N227" s="8" t="str">
        <f>IF(OR(M227="",E227=""),"",M227+IFERROR(VLOOKUP(E227,リードタイム!$A$2:$D$9,4,FALSE),0))</f>
        <v/>
      </c>
      <c r="O227" s="5" t="s">
        <v>531</v>
      </c>
      <c r="P227" s="5" t="s">
        <v>533</v>
      </c>
      <c r="Q227" s="5" t="s">
        <v>32</v>
      </c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  <c r="FS227" s="30"/>
      <c r="FT227" s="30"/>
      <c r="FU227" s="30"/>
      <c r="FV227" s="30"/>
      <c r="FW227" s="30"/>
      <c r="FX227" s="30"/>
      <c r="FY227" s="30"/>
      <c r="FZ227" s="30"/>
      <c r="GA227" s="30"/>
      <c r="GB227" s="30"/>
      <c r="GC227" s="30"/>
      <c r="GD227" s="30"/>
      <c r="GE227" s="30"/>
      <c r="GF227" s="30"/>
      <c r="GG227" s="30"/>
      <c r="GH227" s="30"/>
      <c r="GI227" s="30"/>
      <c r="GJ227" s="30"/>
      <c r="GK227" s="30"/>
      <c r="GL227" s="30"/>
      <c r="GM227" s="30"/>
      <c r="GN227" s="30"/>
      <c r="GO227" s="30"/>
      <c r="GP227" s="30"/>
      <c r="GQ227" s="30"/>
      <c r="GR227" s="30"/>
      <c r="GS227" s="30"/>
      <c r="GT227" s="30"/>
      <c r="GU227" s="30"/>
      <c r="GV227" s="30"/>
      <c r="GW227" s="30"/>
      <c r="GX227" s="30"/>
      <c r="GY227" s="30"/>
      <c r="GZ227" s="30"/>
      <c r="HA227" s="30"/>
      <c r="HB227" s="30"/>
      <c r="HC227" s="30"/>
      <c r="HD227" s="30"/>
      <c r="HE227" s="30"/>
      <c r="HF227" s="30"/>
      <c r="HG227" s="30"/>
      <c r="HH227" s="30"/>
      <c r="HI227" s="30"/>
      <c r="HJ227" s="30"/>
      <c r="HK227" s="30"/>
      <c r="HL227" s="30"/>
      <c r="HM227" s="30"/>
      <c r="HN227" s="30"/>
      <c r="HO227" s="30"/>
      <c r="HP227" s="30"/>
      <c r="HQ227" s="30"/>
      <c r="HR227" s="30"/>
      <c r="HS227" s="30"/>
      <c r="HT227" s="30"/>
      <c r="HU227" s="30"/>
      <c r="HV227" s="30"/>
      <c r="HW227" s="30"/>
      <c r="HX227" s="30"/>
      <c r="HY227" s="30"/>
      <c r="HZ227" s="30"/>
      <c r="IA227" s="30"/>
      <c r="IB227" s="30"/>
      <c r="IC227" s="30"/>
      <c r="ID227" s="30"/>
      <c r="IE227" s="30"/>
      <c r="IF227" s="30"/>
      <c r="IG227" s="30"/>
      <c r="IH227" s="30"/>
      <c r="II227" s="30"/>
      <c r="IJ227" s="30"/>
      <c r="IK227" s="30"/>
      <c r="IL227" s="30"/>
      <c r="IM227" s="30"/>
      <c r="IN227" s="30"/>
      <c r="IO227" s="30"/>
      <c r="IP227" s="30"/>
      <c r="IQ227" s="30"/>
      <c r="IR227" s="30"/>
      <c r="IS227" s="30"/>
      <c r="IT227" s="30"/>
      <c r="IU227" s="30"/>
      <c r="IV227" s="30"/>
      <c r="IW227" s="30"/>
      <c r="IX227" s="30"/>
      <c r="IY227" s="30"/>
      <c r="IZ227" s="30"/>
      <c r="JA227" s="30"/>
      <c r="JB227" s="30"/>
      <c r="JC227" s="30"/>
      <c r="JD227" s="30"/>
      <c r="JE227" s="30"/>
      <c r="JF227" s="30"/>
      <c r="JG227" s="30"/>
      <c r="JH227" s="30"/>
      <c r="JI227" s="30"/>
      <c r="JJ227" s="30"/>
      <c r="JK227" s="30"/>
      <c r="JL227" s="30"/>
      <c r="JM227" s="30"/>
      <c r="JN227" s="30"/>
      <c r="JO227" s="30"/>
      <c r="JP227" s="30"/>
      <c r="JQ227" s="30"/>
      <c r="JR227" s="30"/>
      <c r="JS227" s="30"/>
      <c r="JT227" s="30"/>
      <c r="JU227" s="30"/>
      <c r="JV227" s="30"/>
      <c r="JW227" s="30"/>
      <c r="JX227" s="30"/>
      <c r="JY227" s="30"/>
      <c r="JZ227" s="30"/>
      <c r="KA227" s="30"/>
      <c r="KB227" s="30"/>
      <c r="KC227" s="30"/>
      <c r="KD227" s="30"/>
      <c r="KE227" s="30"/>
      <c r="KF227" s="30"/>
      <c r="KG227" s="30"/>
      <c r="KH227" s="30"/>
      <c r="KI227" s="30"/>
      <c r="KJ227" s="30"/>
      <c r="KK227" s="30"/>
      <c r="KL227" s="30"/>
      <c r="KM227" s="30"/>
      <c r="KN227" s="30"/>
      <c r="KO227" s="30"/>
      <c r="KP227" s="30"/>
      <c r="KQ227" s="30"/>
      <c r="KR227" s="30"/>
      <c r="KS227" s="30"/>
      <c r="KT227" s="30"/>
      <c r="KU227" s="30"/>
      <c r="KV227" s="30"/>
      <c r="KW227" s="30"/>
      <c r="KX227" s="30"/>
      <c r="KY227" s="30"/>
      <c r="KZ227" s="30"/>
      <c r="LA227" s="30"/>
      <c r="LB227" s="30"/>
      <c r="LC227" s="30"/>
      <c r="LD227" s="30"/>
      <c r="LE227" s="30"/>
      <c r="LF227" s="30"/>
      <c r="LG227" s="30"/>
      <c r="LH227" s="30"/>
      <c r="LI227" s="30"/>
      <c r="LJ227" s="30"/>
      <c r="LK227" s="30"/>
      <c r="LL227" s="30"/>
      <c r="LM227" s="30"/>
      <c r="LN227" s="30"/>
      <c r="LO227" s="30"/>
      <c r="LP227" s="30"/>
      <c r="LQ227" s="30"/>
      <c r="LR227" s="30"/>
      <c r="LS227" s="30"/>
      <c r="LT227" s="30"/>
      <c r="LU227" s="30"/>
      <c r="LV227" s="30"/>
      <c r="LW227" s="30"/>
      <c r="LX227" s="30"/>
      <c r="LY227" s="30"/>
      <c r="LZ227" s="30"/>
      <c r="MA227" s="30"/>
      <c r="MB227" s="30"/>
      <c r="MC227" s="30"/>
      <c r="MD227" s="30"/>
      <c r="ME227" s="30"/>
      <c r="MF227" s="30"/>
      <c r="MG227" s="30"/>
      <c r="MH227" s="30"/>
      <c r="MI227" s="30"/>
      <c r="MJ227" s="30"/>
      <c r="MK227" s="30"/>
      <c r="ML227" s="30"/>
      <c r="MM227" s="30"/>
      <c r="MN227" s="30"/>
      <c r="MO227" s="30"/>
      <c r="MP227" s="30"/>
      <c r="MQ227" s="30"/>
      <c r="MR227" s="30"/>
      <c r="MS227" s="30"/>
      <c r="MT227" s="30"/>
      <c r="MU227" s="30"/>
      <c r="MV227" s="30"/>
      <c r="MW227" s="30"/>
      <c r="MX227" s="30"/>
      <c r="MY227" s="30"/>
      <c r="MZ227" s="30"/>
      <c r="NA227" s="30"/>
      <c r="NB227" s="30"/>
      <c r="NC227" s="30"/>
      <c r="ND227" s="30"/>
      <c r="NE227" s="30"/>
      <c r="NF227" s="30"/>
      <c r="NG227" s="30"/>
      <c r="NH227" s="30"/>
      <c r="NI227" s="30"/>
      <c r="NJ227" s="30"/>
      <c r="NK227" s="30"/>
      <c r="NL227" s="30"/>
      <c r="NM227" s="30"/>
      <c r="NN227" s="30"/>
      <c r="NO227" s="30"/>
      <c r="NP227" s="30"/>
      <c r="NQ227" s="30"/>
      <c r="NR227" s="30"/>
    </row>
    <row r="228" spans="1:382" s="3" customFormat="1" ht="20.100000000000001" customHeight="1" x14ac:dyDescent="0.4">
      <c r="A228" s="29">
        <v>2</v>
      </c>
      <c r="B228" s="5">
        <v>1958</v>
      </c>
      <c r="C228" s="5" t="s">
        <v>330</v>
      </c>
      <c r="D228" s="5" t="s">
        <v>332</v>
      </c>
      <c r="E228" s="5" t="s">
        <v>18</v>
      </c>
      <c r="F228" s="5" t="s">
        <v>32</v>
      </c>
      <c r="G228" s="5" t="s">
        <v>32</v>
      </c>
      <c r="H228" s="5" t="s">
        <v>32</v>
      </c>
      <c r="I228" s="8">
        <v>46057.625</v>
      </c>
      <c r="J228" s="8"/>
      <c r="K228" s="8" t="str">
        <f>IF(OR(J228="",E228=""),"",J228+IFERROR(VLOOKUP(E228,リードタイム!$A$2:$C$9,3,FALSE),0))</f>
        <v/>
      </c>
      <c r="L228" s="5" t="s">
        <v>531</v>
      </c>
      <c r="M228" s="8"/>
      <c r="N228" s="8" t="str">
        <f>IF(OR(M228="",E228=""),"",M228+IFERROR(VLOOKUP(E228,リードタイム!$A$2:$D$9,4,FALSE),0))</f>
        <v/>
      </c>
      <c r="O228" s="5" t="s">
        <v>531</v>
      </c>
      <c r="P228" s="5" t="s">
        <v>533</v>
      </c>
      <c r="Q228" s="5" t="s">
        <v>333</v>
      </c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  <c r="FS228" s="30"/>
      <c r="FT228" s="30"/>
      <c r="FU228" s="30"/>
      <c r="FV228" s="30"/>
      <c r="FW228" s="30"/>
      <c r="FX228" s="30"/>
      <c r="FY228" s="30"/>
      <c r="FZ228" s="30"/>
      <c r="GA228" s="30"/>
      <c r="GB228" s="30"/>
      <c r="GC228" s="30"/>
      <c r="GD228" s="30"/>
      <c r="GE228" s="30"/>
      <c r="GF228" s="30"/>
      <c r="GG228" s="30"/>
      <c r="GH228" s="30"/>
      <c r="GI228" s="30"/>
      <c r="GJ228" s="30"/>
      <c r="GK228" s="30"/>
      <c r="GL228" s="30"/>
      <c r="GM228" s="30"/>
      <c r="GN228" s="30"/>
      <c r="GO228" s="30"/>
      <c r="GP228" s="30"/>
      <c r="GQ228" s="30"/>
      <c r="GR228" s="30"/>
      <c r="GS228" s="30"/>
      <c r="GT228" s="30"/>
      <c r="GU228" s="30"/>
      <c r="GV228" s="30"/>
      <c r="GW228" s="30"/>
      <c r="GX228" s="30"/>
      <c r="GY228" s="30"/>
      <c r="GZ228" s="30"/>
      <c r="HA228" s="30"/>
      <c r="HB228" s="30"/>
      <c r="HC228" s="30"/>
      <c r="HD228" s="30"/>
      <c r="HE228" s="30"/>
      <c r="HF228" s="30"/>
      <c r="HG228" s="30"/>
      <c r="HH228" s="30"/>
      <c r="HI228" s="30"/>
      <c r="HJ228" s="30"/>
      <c r="HK228" s="30"/>
      <c r="HL228" s="30"/>
      <c r="HM228" s="30"/>
      <c r="HN228" s="30"/>
      <c r="HO228" s="30"/>
      <c r="HP228" s="30"/>
      <c r="HQ228" s="30"/>
      <c r="HR228" s="30"/>
      <c r="HS228" s="30"/>
      <c r="HT228" s="30"/>
      <c r="HU228" s="30"/>
      <c r="HV228" s="30"/>
      <c r="HW228" s="30"/>
      <c r="HX228" s="30"/>
      <c r="HY228" s="30"/>
      <c r="HZ228" s="30"/>
      <c r="IA228" s="30"/>
      <c r="IB228" s="30"/>
      <c r="IC228" s="30"/>
      <c r="ID228" s="30"/>
      <c r="IE228" s="30"/>
      <c r="IF228" s="30"/>
      <c r="IG228" s="30"/>
      <c r="IH228" s="30"/>
      <c r="II228" s="30"/>
      <c r="IJ228" s="30"/>
      <c r="IK228" s="30"/>
      <c r="IL228" s="30"/>
      <c r="IM228" s="30"/>
      <c r="IN228" s="30"/>
      <c r="IO228" s="30"/>
      <c r="IP228" s="30"/>
      <c r="IQ228" s="30"/>
      <c r="IR228" s="30"/>
      <c r="IS228" s="30"/>
      <c r="IT228" s="30"/>
      <c r="IU228" s="30"/>
      <c r="IV228" s="30"/>
      <c r="IW228" s="30"/>
      <c r="IX228" s="30"/>
      <c r="IY228" s="30"/>
      <c r="IZ228" s="30"/>
      <c r="JA228" s="30"/>
      <c r="JB228" s="30"/>
      <c r="JC228" s="30"/>
      <c r="JD228" s="30"/>
      <c r="JE228" s="30"/>
      <c r="JF228" s="30"/>
      <c r="JG228" s="30"/>
      <c r="JH228" s="30"/>
      <c r="JI228" s="30"/>
      <c r="JJ228" s="30"/>
      <c r="JK228" s="30"/>
      <c r="JL228" s="30"/>
      <c r="JM228" s="30"/>
      <c r="JN228" s="30"/>
      <c r="JO228" s="30"/>
      <c r="JP228" s="30"/>
      <c r="JQ228" s="30"/>
      <c r="JR228" s="30"/>
      <c r="JS228" s="30"/>
      <c r="JT228" s="30"/>
      <c r="JU228" s="30"/>
      <c r="JV228" s="30"/>
      <c r="JW228" s="30"/>
      <c r="JX228" s="30"/>
      <c r="JY228" s="30"/>
      <c r="JZ228" s="30"/>
      <c r="KA228" s="30"/>
      <c r="KB228" s="30"/>
      <c r="KC228" s="30"/>
      <c r="KD228" s="30"/>
      <c r="KE228" s="30"/>
      <c r="KF228" s="30"/>
      <c r="KG228" s="30"/>
      <c r="KH228" s="30"/>
      <c r="KI228" s="30"/>
      <c r="KJ228" s="30"/>
      <c r="KK228" s="30"/>
      <c r="KL228" s="30"/>
      <c r="KM228" s="30"/>
      <c r="KN228" s="30"/>
      <c r="KO228" s="30"/>
      <c r="KP228" s="30"/>
      <c r="KQ228" s="30"/>
      <c r="KR228" s="30"/>
      <c r="KS228" s="30"/>
      <c r="KT228" s="30"/>
      <c r="KU228" s="30"/>
      <c r="KV228" s="30"/>
      <c r="KW228" s="30"/>
      <c r="KX228" s="30"/>
      <c r="KY228" s="30"/>
      <c r="KZ228" s="30"/>
      <c r="LA228" s="30"/>
      <c r="LB228" s="30"/>
      <c r="LC228" s="30"/>
      <c r="LD228" s="30"/>
      <c r="LE228" s="30"/>
      <c r="LF228" s="30"/>
      <c r="LG228" s="30"/>
      <c r="LH228" s="30"/>
      <c r="LI228" s="30"/>
      <c r="LJ228" s="30"/>
      <c r="LK228" s="30"/>
      <c r="LL228" s="30"/>
      <c r="LM228" s="30"/>
      <c r="LN228" s="30"/>
      <c r="LO228" s="30"/>
      <c r="LP228" s="30"/>
      <c r="LQ228" s="30"/>
      <c r="LR228" s="30"/>
      <c r="LS228" s="30"/>
      <c r="LT228" s="30"/>
      <c r="LU228" s="30"/>
      <c r="LV228" s="30"/>
      <c r="LW228" s="30"/>
      <c r="LX228" s="30"/>
      <c r="LY228" s="30"/>
      <c r="LZ228" s="30"/>
      <c r="MA228" s="30"/>
      <c r="MB228" s="30"/>
      <c r="MC228" s="30"/>
      <c r="MD228" s="30"/>
      <c r="ME228" s="30"/>
      <c r="MF228" s="30"/>
      <c r="MG228" s="30"/>
      <c r="MH228" s="30"/>
      <c r="MI228" s="30"/>
      <c r="MJ228" s="30"/>
      <c r="MK228" s="30"/>
      <c r="ML228" s="30"/>
      <c r="MM228" s="30"/>
      <c r="MN228" s="30"/>
      <c r="MO228" s="30"/>
      <c r="MP228" s="30"/>
      <c r="MQ228" s="30"/>
      <c r="MR228" s="30"/>
      <c r="MS228" s="30"/>
      <c r="MT228" s="30"/>
      <c r="MU228" s="30"/>
      <c r="MV228" s="30"/>
      <c r="MW228" s="30"/>
      <c r="MX228" s="30"/>
      <c r="MY228" s="30"/>
      <c r="MZ228" s="30"/>
      <c r="NA228" s="30"/>
      <c r="NB228" s="30"/>
      <c r="NC228" s="30"/>
      <c r="ND228" s="30"/>
      <c r="NE228" s="30"/>
      <c r="NF228" s="30"/>
      <c r="NG228" s="30"/>
      <c r="NH228" s="30"/>
      <c r="NI228" s="30"/>
      <c r="NJ228" s="30"/>
      <c r="NK228" s="30"/>
      <c r="NL228" s="30"/>
      <c r="NM228" s="30"/>
      <c r="NN228" s="30"/>
      <c r="NO228" s="30"/>
      <c r="NP228" s="30"/>
      <c r="NQ228" s="30"/>
      <c r="NR228" s="30"/>
    </row>
    <row r="229" spans="1:382" s="3" customFormat="1" ht="20.100000000000001" customHeight="1" x14ac:dyDescent="0.4">
      <c r="A229" s="29">
        <v>1</v>
      </c>
      <c r="B229" s="5">
        <v>282</v>
      </c>
      <c r="C229" s="5" t="s">
        <v>334</v>
      </c>
      <c r="D229" s="5" t="s">
        <v>76</v>
      </c>
      <c r="E229" s="5" t="s">
        <v>6</v>
      </c>
      <c r="F229" s="5" t="s">
        <v>32</v>
      </c>
      <c r="G229" s="5" t="s">
        <v>32</v>
      </c>
      <c r="H229" s="5" t="s">
        <v>32</v>
      </c>
      <c r="I229" s="8"/>
      <c r="J229" s="8"/>
      <c r="K229" s="8" t="str">
        <f>IF(OR(J229="",E229=""),"",J229+IFERROR(VLOOKUP(E229,リードタイム!$A$2:$C$9,3,FALSE),0))</f>
        <v/>
      </c>
      <c r="L229" s="5" t="s">
        <v>531</v>
      </c>
      <c r="M229" s="8"/>
      <c r="N229" s="8" t="str">
        <f>IF(OR(M229="",E229=""),"",M229+IFERROR(VLOOKUP(E229,リードタイム!$A$2:$D$9,4,FALSE),0))</f>
        <v/>
      </c>
      <c r="O229" s="5" t="s">
        <v>531</v>
      </c>
      <c r="P229" s="5" t="s">
        <v>533</v>
      </c>
      <c r="Q229" s="5" t="s">
        <v>32</v>
      </c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  <c r="FS229" s="30"/>
      <c r="FT229" s="30"/>
      <c r="FU229" s="30"/>
      <c r="FV229" s="30"/>
      <c r="FW229" s="30"/>
      <c r="FX229" s="30"/>
      <c r="FY229" s="30"/>
      <c r="FZ229" s="30"/>
      <c r="GA229" s="30"/>
      <c r="GB229" s="30"/>
      <c r="GC229" s="30"/>
      <c r="GD229" s="30"/>
      <c r="GE229" s="30"/>
      <c r="GF229" s="30"/>
      <c r="GG229" s="30"/>
      <c r="GH229" s="30"/>
      <c r="GI229" s="30"/>
      <c r="GJ229" s="30"/>
      <c r="GK229" s="30"/>
      <c r="GL229" s="30"/>
      <c r="GM229" s="30"/>
      <c r="GN229" s="30"/>
      <c r="GO229" s="30"/>
      <c r="GP229" s="30"/>
      <c r="GQ229" s="30"/>
      <c r="GR229" s="30"/>
      <c r="GS229" s="30"/>
      <c r="GT229" s="30"/>
      <c r="GU229" s="30"/>
      <c r="GV229" s="30"/>
      <c r="GW229" s="30"/>
      <c r="GX229" s="30"/>
      <c r="GY229" s="30"/>
      <c r="GZ229" s="30"/>
      <c r="HA229" s="30"/>
      <c r="HB229" s="30"/>
      <c r="HC229" s="30"/>
      <c r="HD229" s="30"/>
      <c r="HE229" s="30"/>
      <c r="HF229" s="30"/>
      <c r="HG229" s="30"/>
      <c r="HH229" s="30"/>
      <c r="HI229" s="30"/>
      <c r="HJ229" s="30"/>
      <c r="HK229" s="30"/>
      <c r="HL229" s="30"/>
      <c r="HM229" s="30"/>
      <c r="HN229" s="30"/>
      <c r="HO229" s="30"/>
      <c r="HP229" s="30"/>
      <c r="HQ229" s="30"/>
      <c r="HR229" s="30"/>
      <c r="HS229" s="30"/>
      <c r="HT229" s="30"/>
      <c r="HU229" s="30"/>
      <c r="HV229" s="30"/>
      <c r="HW229" s="30"/>
      <c r="HX229" s="30"/>
      <c r="HY229" s="30"/>
      <c r="HZ229" s="30"/>
      <c r="IA229" s="30"/>
      <c r="IB229" s="30"/>
      <c r="IC229" s="30"/>
      <c r="ID229" s="30"/>
      <c r="IE229" s="30"/>
      <c r="IF229" s="30"/>
      <c r="IG229" s="30"/>
      <c r="IH229" s="30"/>
      <c r="II229" s="30"/>
      <c r="IJ229" s="30"/>
      <c r="IK229" s="30"/>
      <c r="IL229" s="30"/>
      <c r="IM229" s="30"/>
      <c r="IN229" s="30"/>
      <c r="IO229" s="30"/>
      <c r="IP229" s="30"/>
      <c r="IQ229" s="30"/>
      <c r="IR229" s="30"/>
      <c r="IS229" s="30"/>
      <c r="IT229" s="30"/>
      <c r="IU229" s="30"/>
      <c r="IV229" s="30"/>
      <c r="IW229" s="30"/>
      <c r="IX229" s="30"/>
      <c r="IY229" s="30"/>
      <c r="IZ229" s="30"/>
      <c r="JA229" s="30"/>
      <c r="JB229" s="30"/>
      <c r="JC229" s="30"/>
      <c r="JD229" s="30"/>
      <c r="JE229" s="30"/>
      <c r="JF229" s="30"/>
      <c r="JG229" s="30"/>
      <c r="JH229" s="30"/>
      <c r="JI229" s="30"/>
      <c r="JJ229" s="30"/>
      <c r="JK229" s="30"/>
      <c r="JL229" s="30"/>
      <c r="JM229" s="30"/>
      <c r="JN229" s="30"/>
      <c r="JO229" s="30"/>
      <c r="JP229" s="30"/>
      <c r="JQ229" s="30"/>
      <c r="JR229" s="30"/>
      <c r="JS229" s="30"/>
      <c r="JT229" s="30"/>
      <c r="JU229" s="30"/>
      <c r="JV229" s="30"/>
      <c r="JW229" s="30"/>
      <c r="JX229" s="30"/>
      <c r="JY229" s="30"/>
      <c r="JZ229" s="30"/>
      <c r="KA229" s="30"/>
      <c r="KB229" s="30"/>
      <c r="KC229" s="30"/>
      <c r="KD229" s="30"/>
      <c r="KE229" s="30"/>
      <c r="KF229" s="30"/>
      <c r="KG229" s="30"/>
      <c r="KH229" s="30"/>
      <c r="KI229" s="30"/>
      <c r="KJ229" s="30"/>
      <c r="KK229" s="30"/>
      <c r="KL229" s="30"/>
      <c r="KM229" s="30"/>
      <c r="KN229" s="30"/>
      <c r="KO229" s="30"/>
      <c r="KP229" s="30"/>
      <c r="KQ229" s="30"/>
      <c r="KR229" s="30"/>
      <c r="KS229" s="30"/>
      <c r="KT229" s="30"/>
      <c r="KU229" s="30"/>
      <c r="KV229" s="30"/>
      <c r="KW229" s="30"/>
      <c r="KX229" s="30"/>
      <c r="KY229" s="30"/>
      <c r="KZ229" s="30"/>
      <c r="LA229" s="30"/>
      <c r="LB229" s="30"/>
      <c r="LC229" s="30"/>
      <c r="LD229" s="30"/>
      <c r="LE229" s="30"/>
      <c r="LF229" s="30"/>
      <c r="LG229" s="30"/>
      <c r="LH229" s="30"/>
      <c r="LI229" s="30"/>
      <c r="LJ229" s="30"/>
      <c r="LK229" s="30"/>
      <c r="LL229" s="30"/>
      <c r="LM229" s="30"/>
      <c r="LN229" s="30"/>
      <c r="LO229" s="30"/>
      <c r="LP229" s="30"/>
      <c r="LQ229" s="30"/>
      <c r="LR229" s="30"/>
      <c r="LS229" s="30"/>
      <c r="LT229" s="30"/>
      <c r="LU229" s="30"/>
      <c r="LV229" s="30"/>
      <c r="LW229" s="30"/>
      <c r="LX229" s="30"/>
      <c r="LY229" s="30"/>
      <c r="LZ229" s="30"/>
      <c r="MA229" s="30"/>
      <c r="MB229" s="30"/>
      <c r="MC229" s="30"/>
      <c r="MD229" s="30"/>
      <c r="ME229" s="30"/>
      <c r="MF229" s="30"/>
      <c r="MG229" s="30"/>
      <c r="MH229" s="30"/>
      <c r="MI229" s="30"/>
      <c r="MJ229" s="30"/>
      <c r="MK229" s="30"/>
      <c r="ML229" s="30"/>
      <c r="MM229" s="30"/>
      <c r="MN229" s="30"/>
      <c r="MO229" s="30"/>
      <c r="MP229" s="30"/>
      <c r="MQ229" s="30"/>
      <c r="MR229" s="30"/>
      <c r="MS229" s="30"/>
      <c r="MT229" s="30"/>
      <c r="MU229" s="30"/>
      <c r="MV229" s="30"/>
      <c r="MW229" s="30"/>
      <c r="MX229" s="30"/>
      <c r="MY229" s="30"/>
      <c r="MZ229" s="30"/>
      <c r="NA229" s="30"/>
      <c r="NB229" s="30"/>
      <c r="NC229" s="30"/>
      <c r="ND229" s="30"/>
      <c r="NE229" s="30"/>
      <c r="NF229" s="30"/>
      <c r="NG229" s="30"/>
      <c r="NH229" s="30"/>
      <c r="NI229" s="30"/>
      <c r="NJ229" s="30"/>
      <c r="NK229" s="30"/>
      <c r="NL229" s="30"/>
      <c r="NM229" s="30"/>
      <c r="NN229" s="30"/>
      <c r="NO229" s="30"/>
      <c r="NP229" s="30"/>
      <c r="NQ229" s="30"/>
      <c r="NR229" s="30"/>
    </row>
    <row r="230" spans="1:382" s="3" customFormat="1" ht="20.100000000000001" customHeight="1" x14ac:dyDescent="0.4">
      <c r="A230" s="29">
        <v>2</v>
      </c>
      <c r="B230" s="5">
        <v>282</v>
      </c>
      <c r="C230" s="5" t="s">
        <v>334</v>
      </c>
      <c r="D230" s="5" t="s">
        <v>76</v>
      </c>
      <c r="E230" s="5" t="s">
        <v>6</v>
      </c>
      <c r="F230" s="5" t="s">
        <v>32</v>
      </c>
      <c r="G230" s="5" t="s">
        <v>32</v>
      </c>
      <c r="H230" s="5" t="s">
        <v>32</v>
      </c>
      <c r="I230" s="8"/>
      <c r="J230" s="8"/>
      <c r="K230" s="8" t="str">
        <f>IF(OR(J230="",E230=""),"",J230+IFERROR(VLOOKUP(E230,リードタイム!$A$2:$C$9,3,FALSE),0))</f>
        <v/>
      </c>
      <c r="L230" s="5" t="s">
        <v>530</v>
      </c>
      <c r="M230" s="8"/>
      <c r="N230" s="8" t="str">
        <f>IF(OR(M230="",E230=""),"",M230+IFERROR(VLOOKUP(E230,リードタイム!$A$2:$D$9,4,FALSE),0))</f>
        <v/>
      </c>
      <c r="O230" s="5" t="s">
        <v>530</v>
      </c>
      <c r="P230" s="5" t="s">
        <v>530</v>
      </c>
      <c r="Q230" s="5" t="s">
        <v>335</v>
      </c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  <c r="FS230" s="30"/>
      <c r="FT230" s="30"/>
      <c r="FU230" s="30"/>
      <c r="FV230" s="30"/>
      <c r="FW230" s="30"/>
      <c r="FX230" s="30"/>
      <c r="FY230" s="30"/>
      <c r="FZ230" s="30"/>
      <c r="GA230" s="30"/>
      <c r="GB230" s="30"/>
      <c r="GC230" s="30"/>
      <c r="GD230" s="30"/>
      <c r="GE230" s="30"/>
      <c r="GF230" s="30"/>
      <c r="GG230" s="30"/>
      <c r="GH230" s="30"/>
      <c r="GI230" s="30"/>
      <c r="GJ230" s="30"/>
      <c r="GK230" s="30"/>
      <c r="GL230" s="30"/>
      <c r="GM230" s="30"/>
      <c r="GN230" s="30"/>
      <c r="GO230" s="30"/>
      <c r="GP230" s="30"/>
      <c r="GQ230" s="30"/>
      <c r="GR230" s="30"/>
      <c r="GS230" s="30"/>
      <c r="GT230" s="30"/>
      <c r="GU230" s="30"/>
      <c r="GV230" s="30"/>
      <c r="GW230" s="30"/>
      <c r="GX230" s="30"/>
      <c r="GY230" s="30"/>
      <c r="GZ230" s="30"/>
      <c r="HA230" s="30"/>
      <c r="HB230" s="30"/>
      <c r="HC230" s="30"/>
      <c r="HD230" s="30"/>
      <c r="HE230" s="30"/>
      <c r="HF230" s="30"/>
      <c r="HG230" s="30"/>
      <c r="HH230" s="30"/>
      <c r="HI230" s="30"/>
      <c r="HJ230" s="30"/>
      <c r="HK230" s="30"/>
      <c r="HL230" s="30"/>
      <c r="HM230" s="30"/>
      <c r="HN230" s="30"/>
      <c r="HO230" s="30"/>
      <c r="HP230" s="30"/>
      <c r="HQ230" s="30"/>
      <c r="HR230" s="30"/>
      <c r="HS230" s="30"/>
      <c r="HT230" s="30"/>
      <c r="HU230" s="30"/>
      <c r="HV230" s="30"/>
      <c r="HW230" s="30"/>
      <c r="HX230" s="30"/>
      <c r="HY230" s="30"/>
      <c r="HZ230" s="30"/>
      <c r="IA230" s="30"/>
      <c r="IB230" s="30"/>
      <c r="IC230" s="30"/>
      <c r="ID230" s="30"/>
      <c r="IE230" s="30"/>
      <c r="IF230" s="30"/>
      <c r="IG230" s="30"/>
      <c r="IH230" s="30"/>
      <c r="II230" s="30"/>
      <c r="IJ230" s="30"/>
      <c r="IK230" s="30"/>
      <c r="IL230" s="30"/>
      <c r="IM230" s="30"/>
      <c r="IN230" s="30"/>
      <c r="IO230" s="30"/>
      <c r="IP230" s="30"/>
      <c r="IQ230" s="30"/>
      <c r="IR230" s="30"/>
      <c r="IS230" s="30"/>
      <c r="IT230" s="30"/>
      <c r="IU230" s="30"/>
      <c r="IV230" s="30"/>
      <c r="IW230" s="30"/>
      <c r="IX230" s="30"/>
      <c r="IY230" s="30"/>
      <c r="IZ230" s="30"/>
      <c r="JA230" s="30"/>
      <c r="JB230" s="30"/>
      <c r="JC230" s="30"/>
      <c r="JD230" s="30"/>
      <c r="JE230" s="30"/>
      <c r="JF230" s="30"/>
      <c r="JG230" s="30"/>
      <c r="JH230" s="30"/>
      <c r="JI230" s="30"/>
      <c r="JJ230" s="30"/>
      <c r="JK230" s="30"/>
      <c r="JL230" s="30"/>
      <c r="JM230" s="30"/>
      <c r="JN230" s="30"/>
      <c r="JO230" s="30"/>
      <c r="JP230" s="30"/>
      <c r="JQ230" s="30"/>
      <c r="JR230" s="30"/>
      <c r="JS230" s="30"/>
      <c r="JT230" s="30"/>
      <c r="JU230" s="30"/>
      <c r="JV230" s="30"/>
      <c r="JW230" s="30"/>
      <c r="JX230" s="30"/>
      <c r="JY230" s="30"/>
      <c r="JZ230" s="30"/>
      <c r="KA230" s="30"/>
      <c r="KB230" s="30"/>
      <c r="KC230" s="30"/>
      <c r="KD230" s="30"/>
      <c r="KE230" s="30"/>
      <c r="KF230" s="30"/>
      <c r="KG230" s="30"/>
      <c r="KH230" s="30"/>
      <c r="KI230" s="30"/>
      <c r="KJ230" s="30"/>
      <c r="KK230" s="30"/>
      <c r="KL230" s="30"/>
      <c r="KM230" s="30"/>
      <c r="KN230" s="30"/>
      <c r="KO230" s="30"/>
      <c r="KP230" s="30"/>
      <c r="KQ230" s="30"/>
      <c r="KR230" s="30"/>
      <c r="KS230" s="30"/>
      <c r="KT230" s="30"/>
      <c r="KU230" s="30"/>
      <c r="KV230" s="30"/>
      <c r="KW230" s="30"/>
      <c r="KX230" s="30"/>
      <c r="KY230" s="30"/>
      <c r="KZ230" s="30"/>
      <c r="LA230" s="30"/>
      <c r="LB230" s="30"/>
      <c r="LC230" s="30"/>
      <c r="LD230" s="30"/>
      <c r="LE230" s="30"/>
      <c r="LF230" s="30"/>
      <c r="LG230" s="30"/>
      <c r="LH230" s="30"/>
      <c r="LI230" s="30"/>
      <c r="LJ230" s="30"/>
      <c r="LK230" s="30"/>
      <c r="LL230" s="30"/>
      <c r="LM230" s="30"/>
      <c r="LN230" s="30"/>
      <c r="LO230" s="30"/>
      <c r="LP230" s="30"/>
      <c r="LQ230" s="30"/>
      <c r="LR230" s="30"/>
      <c r="LS230" s="30"/>
      <c r="LT230" s="30"/>
      <c r="LU230" s="30"/>
      <c r="LV230" s="30"/>
      <c r="LW230" s="30"/>
      <c r="LX230" s="30"/>
      <c r="LY230" s="30"/>
      <c r="LZ230" s="30"/>
      <c r="MA230" s="30"/>
      <c r="MB230" s="30"/>
      <c r="MC230" s="30"/>
      <c r="MD230" s="30"/>
      <c r="ME230" s="30"/>
      <c r="MF230" s="30"/>
      <c r="MG230" s="30"/>
      <c r="MH230" s="30"/>
      <c r="MI230" s="30"/>
      <c r="MJ230" s="30"/>
      <c r="MK230" s="30"/>
      <c r="ML230" s="30"/>
      <c r="MM230" s="30"/>
      <c r="MN230" s="30"/>
      <c r="MO230" s="30"/>
      <c r="MP230" s="30"/>
      <c r="MQ230" s="30"/>
      <c r="MR230" s="30"/>
      <c r="MS230" s="30"/>
      <c r="MT230" s="30"/>
      <c r="MU230" s="30"/>
      <c r="MV230" s="30"/>
      <c r="MW230" s="30"/>
      <c r="MX230" s="30"/>
      <c r="MY230" s="30"/>
      <c r="MZ230" s="30"/>
      <c r="NA230" s="30"/>
      <c r="NB230" s="30"/>
      <c r="NC230" s="30"/>
      <c r="ND230" s="30"/>
      <c r="NE230" s="30"/>
      <c r="NF230" s="30"/>
      <c r="NG230" s="30"/>
      <c r="NH230" s="30"/>
      <c r="NI230" s="30"/>
      <c r="NJ230" s="30"/>
      <c r="NK230" s="30"/>
      <c r="NL230" s="30"/>
      <c r="NM230" s="30"/>
      <c r="NN230" s="30"/>
      <c r="NO230" s="30"/>
      <c r="NP230" s="30"/>
      <c r="NQ230" s="30"/>
      <c r="NR230" s="30"/>
    </row>
    <row r="231" spans="1:382" s="3" customFormat="1" ht="20.100000000000001" customHeight="1" x14ac:dyDescent="0.4">
      <c r="A231" s="29">
        <v>3</v>
      </c>
      <c r="B231" s="5">
        <v>282</v>
      </c>
      <c r="C231" s="5" t="s">
        <v>334</v>
      </c>
      <c r="D231" s="5" t="s">
        <v>76</v>
      </c>
      <c r="E231" s="5" t="s">
        <v>6</v>
      </c>
      <c r="F231" s="5" t="s">
        <v>32</v>
      </c>
      <c r="G231" s="5" t="s">
        <v>32</v>
      </c>
      <c r="H231" s="5" t="s">
        <v>32</v>
      </c>
      <c r="I231" s="8">
        <v>45988.625</v>
      </c>
      <c r="J231" s="8"/>
      <c r="K231" s="8" t="str">
        <f>IF(OR(J231="",E231=""),"",J231+IFERROR(VLOOKUP(E231,リードタイム!$A$2:$C$9,3,FALSE),0))</f>
        <v/>
      </c>
      <c r="L231" s="5" t="s">
        <v>531</v>
      </c>
      <c r="M231" s="8"/>
      <c r="N231" s="8" t="str">
        <f>IF(OR(M231="",E231=""),"",M231+IFERROR(VLOOKUP(E231,リードタイム!$A$2:$D$9,4,FALSE),0))</f>
        <v/>
      </c>
      <c r="O231" s="5" t="s">
        <v>531</v>
      </c>
      <c r="P231" s="5" t="s">
        <v>532</v>
      </c>
      <c r="Q231" s="5" t="s">
        <v>32</v>
      </c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  <c r="FS231" s="30"/>
      <c r="FT231" s="30"/>
      <c r="FU231" s="30"/>
      <c r="FV231" s="30"/>
      <c r="FW231" s="30"/>
      <c r="FX231" s="30"/>
      <c r="FY231" s="30"/>
      <c r="FZ231" s="30"/>
      <c r="GA231" s="30"/>
      <c r="GB231" s="30"/>
      <c r="GC231" s="30"/>
      <c r="GD231" s="30"/>
      <c r="GE231" s="30"/>
      <c r="GF231" s="30"/>
      <c r="GG231" s="30"/>
      <c r="GH231" s="30"/>
      <c r="GI231" s="30"/>
      <c r="GJ231" s="30"/>
      <c r="GK231" s="30"/>
      <c r="GL231" s="30"/>
      <c r="GM231" s="30"/>
      <c r="GN231" s="30"/>
      <c r="GO231" s="30"/>
      <c r="GP231" s="30"/>
      <c r="GQ231" s="30"/>
      <c r="GR231" s="30"/>
      <c r="GS231" s="30"/>
      <c r="GT231" s="30"/>
      <c r="GU231" s="30"/>
      <c r="GV231" s="30"/>
      <c r="GW231" s="30"/>
      <c r="GX231" s="30"/>
      <c r="GY231" s="30"/>
      <c r="GZ231" s="30"/>
      <c r="HA231" s="30"/>
      <c r="HB231" s="30"/>
      <c r="HC231" s="30"/>
      <c r="HD231" s="30"/>
      <c r="HE231" s="30"/>
      <c r="HF231" s="30"/>
      <c r="HG231" s="30"/>
      <c r="HH231" s="30"/>
      <c r="HI231" s="30"/>
      <c r="HJ231" s="30"/>
      <c r="HK231" s="30"/>
      <c r="HL231" s="30"/>
      <c r="HM231" s="30"/>
      <c r="HN231" s="30"/>
      <c r="HO231" s="30"/>
      <c r="HP231" s="30"/>
      <c r="HQ231" s="30"/>
      <c r="HR231" s="30"/>
      <c r="HS231" s="30"/>
      <c r="HT231" s="30"/>
      <c r="HU231" s="30"/>
      <c r="HV231" s="30"/>
      <c r="HW231" s="30"/>
      <c r="HX231" s="30"/>
      <c r="HY231" s="30"/>
      <c r="HZ231" s="30"/>
      <c r="IA231" s="30"/>
      <c r="IB231" s="30"/>
      <c r="IC231" s="30"/>
      <c r="ID231" s="30"/>
      <c r="IE231" s="30"/>
      <c r="IF231" s="30"/>
      <c r="IG231" s="30"/>
      <c r="IH231" s="30"/>
      <c r="II231" s="30"/>
      <c r="IJ231" s="30"/>
      <c r="IK231" s="30"/>
      <c r="IL231" s="30"/>
      <c r="IM231" s="30"/>
      <c r="IN231" s="30"/>
      <c r="IO231" s="30"/>
      <c r="IP231" s="30"/>
      <c r="IQ231" s="30"/>
      <c r="IR231" s="30"/>
      <c r="IS231" s="30"/>
      <c r="IT231" s="30"/>
      <c r="IU231" s="30"/>
      <c r="IV231" s="30"/>
      <c r="IW231" s="30"/>
      <c r="IX231" s="30"/>
      <c r="IY231" s="30"/>
      <c r="IZ231" s="30"/>
      <c r="JA231" s="30"/>
      <c r="JB231" s="30"/>
      <c r="JC231" s="30"/>
      <c r="JD231" s="30"/>
      <c r="JE231" s="30"/>
      <c r="JF231" s="30"/>
      <c r="JG231" s="30"/>
      <c r="JH231" s="30"/>
      <c r="JI231" s="30"/>
      <c r="JJ231" s="30"/>
      <c r="JK231" s="30"/>
      <c r="JL231" s="30"/>
      <c r="JM231" s="30"/>
      <c r="JN231" s="30"/>
      <c r="JO231" s="30"/>
      <c r="JP231" s="30"/>
      <c r="JQ231" s="30"/>
      <c r="JR231" s="30"/>
      <c r="JS231" s="30"/>
      <c r="JT231" s="30"/>
      <c r="JU231" s="30"/>
      <c r="JV231" s="30"/>
      <c r="JW231" s="30"/>
      <c r="JX231" s="30"/>
      <c r="JY231" s="30"/>
      <c r="JZ231" s="30"/>
      <c r="KA231" s="30"/>
      <c r="KB231" s="30"/>
      <c r="KC231" s="30"/>
      <c r="KD231" s="30"/>
      <c r="KE231" s="30"/>
      <c r="KF231" s="30"/>
      <c r="KG231" s="30"/>
      <c r="KH231" s="30"/>
      <c r="KI231" s="30"/>
      <c r="KJ231" s="30"/>
      <c r="KK231" s="30"/>
      <c r="KL231" s="30"/>
      <c r="KM231" s="30"/>
      <c r="KN231" s="30"/>
      <c r="KO231" s="30"/>
      <c r="KP231" s="30"/>
      <c r="KQ231" s="30"/>
      <c r="KR231" s="30"/>
      <c r="KS231" s="30"/>
      <c r="KT231" s="30"/>
      <c r="KU231" s="30"/>
      <c r="KV231" s="30"/>
      <c r="KW231" s="30"/>
      <c r="KX231" s="30"/>
      <c r="KY231" s="30"/>
      <c r="KZ231" s="30"/>
      <c r="LA231" s="30"/>
      <c r="LB231" s="30"/>
      <c r="LC231" s="30"/>
      <c r="LD231" s="30"/>
      <c r="LE231" s="30"/>
      <c r="LF231" s="30"/>
      <c r="LG231" s="30"/>
      <c r="LH231" s="30"/>
      <c r="LI231" s="30"/>
      <c r="LJ231" s="30"/>
      <c r="LK231" s="30"/>
      <c r="LL231" s="30"/>
      <c r="LM231" s="30"/>
      <c r="LN231" s="30"/>
      <c r="LO231" s="30"/>
      <c r="LP231" s="30"/>
      <c r="LQ231" s="30"/>
      <c r="LR231" s="30"/>
      <c r="LS231" s="30"/>
      <c r="LT231" s="30"/>
      <c r="LU231" s="30"/>
      <c r="LV231" s="30"/>
      <c r="LW231" s="30"/>
      <c r="LX231" s="30"/>
      <c r="LY231" s="30"/>
      <c r="LZ231" s="30"/>
      <c r="MA231" s="30"/>
      <c r="MB231" s="30"/>
      <c r="MC231" s="30"/>
      <c r="MD231" s="30"/>
      <c r="ME231" s="30"/>
      <c r="MF231" s="30"/>
      <c r="MG231" s="30"/>
      <c r="MH231" s="30"/>
      <c r="MI231" s="30"/>
      <c r="MJ231" s="30"/>
      <c r="MK231" s="30"/>
      <c r="ML231" s="30"/>
      <c r="MM231" s="30"/>
      <c r="MN231" s="30"/>
      <c r="MO231" s="30"/>
      <c r="MP231" s="30"/>
      <c r="MQ231" s="30"/>
      <c r="MR231" s="30"/>
      <c r="MS231" s="30"/>
      <c r="MT231" s="30"/>
      <c r="MU231" s="30"/>
      <c r="MV231" s="30"/>
      <c r="MW231" s="30"/>
      <c r="MX231" s="30"/>
      <c r="MY231" s="30"/>
      <c r="MZ231" s="30"/>
      <c r="NA231" s="30"/>
      <c r="NB231" s="30"/>
      <c r="NC231" s="30"/>
      <c r="ND231" s="30"/>
      <c r="NE231" s="30"/>
      <c r="NF231" s="30"/>
      <c r="NG231" s="30"/>
      <c r="NH231" s="30"/>
      <c r="NI231" s="30"/>
      <c r="NJ231" s="30"/>
      <c r="NK231" s="30"/>
      <c r="NL231" s="30"/>
      <c r="NM231" s="30"/>
      <c r="NN231" s="30"/>
      <c r="NO231" s="30"/>
      <c r="NP231" s="30"/>
      <c r="NQ231" s="30"/>
      <c r="NR231" s="30"/>
    </row>
    <row r="232" spans="1:382" s="3" customFormat="1" ht="20.100000000000001" customHeight="1" x14ac:dyDescent="0.4">
      <c r="A232" s="29">
        <v>1</v>
      </c>
      <c r="B232" s="5">
        <v>1927</v>
      </c>
      <c r="C232" s="5" t="s">
        <v>336</v>
      </c>
      <c r="D232" s="5" t="s">
        <v>337</v>
      </c>
      <c r="E232" s="5" t="s">
        <v>4</v>
      </c>
      <c r="F232" s="5" t="s">
        <v>32</v>
      </c>
      <c r="G232" s="5" t="s">
        <v>32</v>
      </c>
      <c r="H232" s="5" t="s">
        <v>32</v>
      </c>
      <c r="I232" s="8"/>
      <c r="J232" s="8"/>
      <c r="K232" s="8" t="str">
        <f>IF(OR(J232="",E232=""),"",J232+IFERROR(VLOOKUP(E232,リードタイム!$A$2:$C$9,3,FALSE),0))</f>
        <v/>
      </c>
      <c r="L232" s="5" t="s">
        <v>531</v>
      </c>
      <c r="M232" s="8"/>
      <c r="N232" s="8" t="str">
        <f>IF(OR(M232="",E232=""),"",M232+IFERROR(VLOOKUP(E232,リードタイム!$A$2:$D$9,4,FALSE),0))</f>
        <v/>
      </c>
      <c r="O232" s="5" t="s">
        <v>531</v>
      </c>
      <c r="P232" s="5" t="s">
        <v>532</v>
      </c>
      <c r="Q232" s="5" t="s">
        <v>32</v>
      </c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  <c r="FS232" s="30"/>
      <c r="FT232" s="30"/>
      <c r="FU232" s="30"/>
      <c r="FV232" s="30"/>
      <c r="FW232" s="30"/>
      <c r="FX232" s="30"/>
      <c r="FY232" s="30"/>
      <c r="FZ232" s="30"/>
      <c r="GA232" s="30"/>
      <c r="GB232" s="30"/>
      <c r="GC232" s="30"/>
      <c r="GD232" s="30"/>
      <c r="GE232" s="30"/>
      <c r="GF232" s="30"/>
      <c r="GG232" s="30"/>
      <c r="GH232" s="30"/>
      <c r="GI232" s="30"/>
      <c r="GJ232" s="30"/>
      <c r="GK232" s="30"/>
      <c r="GL232" s="30"/>
      <c r="GM232" s="30"/>
      <c r="GN232" s="30"/>
      <c r="GO232" s="30"/>
      <c r="GP232" s="30"/>
      <c r="GQ232" s="30"/>
      <c r="GR232" s="30"/>
      <c r="GS232" s="30"/>
      <c r="GT232" s="30"/>
      <c r="GU232" s="30"/>
      <c r="GV232" s="30"/>
      <c r="GW232" s="30"/>
      <c r="GX232" s="30"/>
      <c r="GY232" s="30"/>
      <c r="GZ232" s="30"/>
      <c r="HA232" s="30"/>
      <c r="HB232" s="30"/>
      <c r="HC232" s="30"/>
      <c r="HD232" s="30"/>
      <c r="HE232" s="30"/>
      <c r="HF232" s="30"/>
      <c r="HG232" s="30"/>
      <c r="HH232" s="30"/>
      <c r="HI232" s="30"/>
      <c r="HJ232" s="30"/>
      <c r="HK232" s="30"/>
      <c r="HL232" s="30"/>
      <c r="HM232" s="30"/>
      <c r="HN232" s="30"/>
      <c r="HO232" s="30"/>
      <c r="HP232" s="30"/>
      <c r="HQ232" s="30"/>
      <c r="HR232" s="30"/>
      <c r="HS232" s="30"/>
      <c r="HT232" s="30"/>
      <c r="HU232" s="30"/>
      <c r="HV232" s="30"/>
      <c r="HW232" s="30"/>
      <c r="HX232" s="30"/>
      <c r="HY232" s="30"/>
      <c r="HZ232" s="30"/>
      <c r="IA232" s="30"/>
      <c r="IB232" s="30"/>
      <c r="IC232" s="30"/>
      <c r="ID232" s="30"/>
      <c r="IE232" s="30"/>
      <c r="IF232" s="30"/>
      <c r="IG232" s="30"/>
      <c r="IH232" s="30"/>
      <c r="II232" s="30"/>
      <c r="IJ232" s="30"/>
      <c r="IK232" s="30"/>
      <c r="IL232" s="30"/>
      <c r="IM232" s="30"/>
      <c r="IN232" s="30"/>
      <c r="IO232" s="30"/>
      <c r="IP232" s="30"/>
      <c r="IQ232" s="30"/>
      <c r="IR232" s="30"/>
      <c r="IS232" s="30"/>
      <c r="IT232" s="30"/>
      <c r="IU232" s="30"/>
      <c r="IV232" s="30"/>
      <c r="IW232" s="30"/>
      <c r="IX232" s="30"/>
      <c r="IY232" s="30"/>
      <c r="IZ232" s="30"/>
      <c r="JA232" s="30"/>
      <c r="JB232" s="30"/>
      <c r="JC232" s="30"/>
      <c r="JD232" s="30"/>
      <c r="JE232" s="30"/>
      <c r="JF232" s="30"/>
      <c r="JG232" s="30"/>
      <c r="JH232" s="30"/>
      <c r="JI232" s="30"/>
      <c r="JJ232" s="30"/>
      <c r="JK232" s="30"/>
      <c r="JL232" s="30"/>
      <c r="JM232" s="30"/>
      <c r="JN232" s="30"/>
      <c r="JO232" s="30"/>
      <c r="JP232" s="30"/>
      <c r="JQ232" s="30"/>
      <c r="JR232" s="30"/>
      <c r="JS232" s="30"/>
      <c r="JT232" s="30"/>
      <c r="JU232" s="30"/>
      <c r="JV232" s="30"/>
      <c r="JW232" s="30"/>
      <c r="JX232" s="30"/>
      <c r="JY232" s="30"/>
      <c r="JZ232" s="30"/>
      <c r="KA232" s="30"/>
      <c r="KB232" s="30"/>
      <c r="KC232" s="30"/>
      <c r="KD232" s="30"/>
      <c r="KE232" s="30"/>
      <c r="KF232" s="30"/>
      <c r="KG232" s="30"/>
      <c r="KH232" s="30"/>
      <c r="KI232" s="30"/>
      <c r="KJ232" s="30"/>
      <c r="KK232" s="30"/>
      <c r="KL232" s="30"/>
      <c r="KM232" s="30"/>
      <c r="KN232" s="30"/>
      <c r="KO232" s="30"/>
      <c r="KP232" s="30"/>
      <c r="KQ232" s="30"/>
      <c r="KR232" s="30"/>
      <c r="KS232" s="30"/>
      <c r="KT232" s="30"/>
      <c r="KU232" s="30"/>
      <c r="KV232" s="30"/>
      <c r="KW232" s="30"/>
      <c r="KX232" s="30"/>
      <c r="KY232" s="30"/>
      <c r="KZ232" s="30"/>
      <c r="LA232" s="30"/>
      <c r="LB232" s="30"/>
      <c r="LC232" s="30"/>
      <c r="LD232" s="30"/>
      <c r="LE232" s="30"/>
      <c r="LF232" s="30"/>
      <c r="LG232" s="30"/>
      <c r="LH232" s="30"/>
      <c r="LI232" s="30"/>
      <c r="LJ232" s="30"/>
      <c r="LK232" s="30"/>
      <c r="LL232" s="30"/>
      <c r="LM232" s="30"/>
      <c r="LN232" s="30"/>
      <c r="LO232" s="30"/>
      <c r="LP232" s="30"/>
      <c r="LQ232" s="30"/>
      <c r="LR232" s="30"/>
      <c r="LS232" s="30"/>
      <c r="LT232" s="30"/>
      <c r="LU232" s="30"/>
      <c r="LV232" s="30"/>
      <c r="LW232" s="30"/>
      <c r="LX232" s="30"/>
      <c r="LY232" s="30"/>
      <c r="LZ232" s="30"/>
      <c r="MA232" s="30"/>
      <c r="MB232" s="30"/>
      <c r="MC232" s="30"/>
      <c r="MD232" s="30"/>
      <c r="ME232" s="30"/>
      <c r="MF232" s="30"/>
      <c r="MG232" s="30"/>
      <c r="MH232" s="30"/>
      <c r="MI232" s="30"/>
      <c r="MJ232" s="30"/>
      <c r="MK232" s="30"/>
      <c r="ML232" s="30"/>
      <c r="MM232" s="30"/>
      <c r="MN232" s="30"/>
      <c r="MO232" s="30"/>
      <c r="MP232" s="30"/>
      <c r="MQ232" s="30"/>
      <c r="MR232" s="30"/>
      <c r="MS232" s="30"/>
      <c r="MT232" s="30"/>
      <c r="MU232" s="30"/>
      <c r="MV232" s="30"/>
      <c r="MW232" s="30"/>
      <c r="MX232" s="30"/>
      <c r="MY232" s="30"/>
      <c r="MZ232" s="30"/>
      <c r="NA232" s="30"/>
      <c r="NB232" s="30"/>
      <c r="NC232" s="30"/>
      <c r="ND232" s="30"/>
      <c r="NE232" s="30"/>
      <c r="NF232" s="30"/>
      <c r="NG232" s="30"/>
      <c r="NH232" s="30"/>
      <c r="NI232" s="30"/>
      <c r="NJ232" s="30"/>
      <c r="NK232" s="30"/>
      <c r="NL232" s="30"/>
      <c r="NM232" s="30"/>
      <c r="NN232" s="30"/>
      <c r="NO232" s="30"/>
      <c r="NP232" s="30"/>
      <c r="NQ232" s="30"/>
      <c r="NR232" s="30"/>
    </row>
    <row r="233" spans="1:382" s="3" customFormat="1" ht="20.100000000000001" customHeight="1" x14ac:dyDescent="0.4">
      <c r="A233" s="29">
        <v>1</v>
      </c>
      <c r="B233" s="5">
        <v>1927</v>
      </c>
      <c r="C233" s="5" t="s">
        <v>338</v>
      </c>
      <c r="D233" s="5" t="s">
        <v>228</v>
      </c>
      <c r="E233" s="5" t="s">
        <v>4</v>
      </c>
      <c r="F233" s="5" t="s">
        <v>32</v>
      </c>
      <c r="G233" s="5" t="s">
        <v>32</v>
      </c>
      <c r="H233" s="5" t="s">
        <v>32</v>
      </c>
      <c r="I233" s="8"/>
      <c r="J233" s="8"/>
      <c r="K233" s="8" t="str">
        <f>IF(OR(J233="",E233=""),"",J233+IFERROR(VLOOKUP(E233,リードタイム!$A$2:$C$9,3,FALSE),0))</f>
        <v/>
      </c>
      <c r="L233" s="5" t="s">
        <v>531</v>
      </c>
      <c r="M233" s="8"/>
      <c r="N233" s="8" t="str">
        <f>IF(OR(M233="",E233=""),"",M233+IFERROR(VLOOKUP(E233,リードタイム!$A$2:$D$9,4,FALSE),0))</f>
        <v/>
      </c>
      <c r="O233" s="5" t="s">
        <v>531</v>
      </c>
      <c r="P233" s="5" t="s">
        <v>532</v>
      </c>
      <c r="Q233" s="5" t="s">
        <v>32</v>
      </c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  <c r="FS233" s="30"/>
      <c r="FT233" s="30"/>
      <c r="FU233" s="30"/>
      <c r="FV233" s="30"/>
      <c r="FW233" s="30"/>
      <c r="FX233" s="30"/>
      <c r="FY233" s="30"/>
      <c r="FZ233" s="30"/>
      <c r="GA233" s="30"/>
      <c r="GB233" s="30"/>
      <c r="GC233" s="30"/>
      <c r="GD233" s="30"/>
      <c r="GE233" s="30"/>
      <c r="GF233" s="30"/>
      <c r="GG233" s="30"/>
      <c r="GH233" s="30"/>
      <c r="GI233" s="30"/>
      <c r="GJ233" s="30"/>
      <c r="GK233" s="30"/>
      <c r="GL233" s="30"/>
      <c r="GM233" s="30"/>
      <c r="GN233" s="30"/>
      <c r="GO233" s="30"/>
      <c r="GP233" s="30"/>
      <c r="GQ233" s="30"/>
      <c r="GR233" s="30"/>
      <c r="GS233" s="30"/>
      <c r="GT233" s="30"/>
      <c r="GU233" s="30"/>
      <c r="GV233" s="30"/>
      <c r="GW233" s="30"/>
      <c r="GX233" s="30"/>
      <c r="GY233" s="30"/>
      <c r="GZ233" s="30"/>
      <c r="HA233" s="30"/>
      <c r="HB233" s="30"/>
      <c r="HC233" s="30"/>
      <c r="HD233" s="30"/>
      <c r="HE233" s="30"/>
      <c r="HF233" s="30"/>
      <c r="HG233" s="30"/>
      <c r="HH233" s="30"/>
      <c r="HI233" s="30"/>
      <c r="HJ233" s="30"/>
      <c r="HK233" s="30"/>
      <c r="HL233" s="30"/>
      <c r="HM233" s="30"/>
      <c r="HN233" s="30"/>
      <c r="HO233" s="30"/>
      <c r="HP233" s="30"/>
      <c r="HQ233" s="30"/>
      <c r="HR233" s="30"/>
      <c r="HS233" s="30"/>
      <c r="HT233" s="30"/>
      <c r="HU233" s="30"/>
      <c r="HV233" s="30"/>
      <c r="HW233" s="30"/>
      <c r="HX233" s="30"/>
      <c r="HY233" s="30"/>
      <c r="HZ233" s="30"/>
      <c r="IA233" s="30"/>
      <c r="IB233" s="30"/>
      <c r="IC233" s="30"/>
      <c r="ID233" s="30"/>
      <c r="IE233" s="30"/>
      <c r="IF233" s="30"/>
      <c r="IG233" s="30"/>
      <c r="IH233" s="30"/>
      <c r="II233" s="30"/>
      <c r="IJ233" s="30"/>
      <c r="IK233" s="30"/>
      <c r="IL233" s="30"/>
      <c r="IM233" s="30"/>
      <c r="IN233" s="30"/>
      <c r="IO233" s="30"/>
      <c r="IP233" s="30"/>
      <c r="IQ233" s="30"/>
      <c r="IR233" s="30"/>
      <c r="IS233" s="30"/>
      <c r="IT233" s="30"/>
      <c r="IU233" s="30"/>
      <c r="IV233" s="30"/>
      <c r="IW233" s="30"/>
      <c r="IX233" s="30"/>
      <c r="IY233" s="30"/>
      <c r="IZ233" s="30"/>
      <c r="JA233" s="30"/>
      <c r="JB233" s="30"/>
      <c r="JC233" s="30"/>
      <c r="JD233" s="30"/>
      <c r="JE233" s="30"/>
      <c r="JF233" s="30"/>
      <c r="JG233" s="30"/>
      <c r="JH233" s="30"/>
      <c r="JI233" s="30"/>
      <c r="JJ233" s="30"/>
      <c r="JK233" s="30"/>
      <c r="JL233" s="30"/>
      <c r="JM233" s="30"/>
      <c r="JN233" s="30"/>
      <c r="JO233" s="30"/>
      <c r="JP233" s="30"/>
      <c r="JQ233" s="30"/>
      <c r="JR233" s="30"/>
      <c r="JS233" s="30"/>
      <c r="JT233" s="30"/>
      <c r="JU233" s="30"/>
      <c r="JV233" s="30"/>
      <c r="JW233" s="30"/>
      <c r="JX233" s="30"/>
      <c r="JY233" s="30"/>
      <c r="JZ233" s="30"/>
      <c r="KA233" s="30"/>
      <c r="KB233" s="30"/>
      <c r="KC233" s="30"/>
      <c r="KD233" s="30"/>
      <c r="KE233" s="30"/>
      <c r="KF233" s="30"/>
      <c r="KG233" s="30"/>
      <c r="KH233" s="30"/>
      <c r="KI233" s="30"/>
      <c r="KJ233" s="30"/>
      <c r="KK233" s="30"/>
      <c r="KL233" s="30"/>
      <c r="KM233" s="30"/>
      <c r="KN233" s="30"/>
      <c r="KO233" s="30"/>
      <c r="KP233" s="30"/>
      <c r="KQ233" s="30"/>
      <c r="KR233" s="30"/>
      <c r="KS233" s="30"/>
      <c r="KT233" s="30"/>
      <c r="KU233" s="30"/>
      <c r="KV233" s="30"/>
      <c r="KW233" s="30"/>
      <c r="KX233" s="30"/>
      <c r="KY233" s="30"/>
      <c r="KZ233" s="30"/>
      <c r="LA233" s="30"/>
      <c r="LB233" s="30"/>
      <c r="LC233" s="30"/>
      <c r="LD233" s="30"/>
      <c r="LE233" s="30"/>
      <c r="LF233" s="30"/>
      <c r="LG233" s="30"/>
      <c r="LH233" s="30"/>
      <c r="LI233" s="30"/>
      <c r="LJ233" s="30"/>
      <c r="LK233" s="30"/>
      <c r="LL233" s="30"/>
      <c r="LM233" s="30"/>
      <c r="LN233" s="30"/>
      <c r="LO233" s="30"/>
      <c r="LP233" s="30"/>
      <c r="LQ233" s="30"/>
      <c r="LR233" s="30"/>
      <c r="LS233" s="30"/>
      <c r="LT233" s="30"/>
      <c r="LU233" s="30"/>
      <c r="LV233" s="30"/>
      <c r="LW233" s="30"/>
      <c r="LX233" s="30"/>
      <c r="LY233" s="30"/>
      <c r="LZ233" s="30"/>
      <c r="MA233" s="30"/>
      <c r="MB233" s="30"/>
      <c r="MC233" s="30"/>
      <c r="MD233" s="30"/>
      <c r="ME233" s="30"/>
      <c r="MF233" s="30"/>
      <c r="MG233" s="30"/>
      <c r="MH233" s="30"/>
      <c r="MI233" s="30"/>
      <c r="MJ233" s="30"/>
      <c r="MK233" s="30"/>
      <c r="ML233" s="30"/>
      <c r="MM233" s="30"/>
      <c r="MN233" s="30"/>
      <c r="MO233" s="30"/>
      <c r="MP233" s="30"/>
      <c r="MQ233" s="30"/>
      <c r="MR233" s="30"/>
      <c r="MS233" s="30"/>
      <c r="MT233" s="30"/>
      <c r="MU233" s="30"/>
      <c r="MV233" s="30"/>
      <c r="MW233" s="30"/>
      <c r="MX233" s="30"/>
      <c r="MY233" s="30"/>
      <c r="MZ233" s="30"/>
      <c r="NA233" s="30"/>
      <c r="NB233" s="30"/>
      <c r="NC233" s="30"/>
      <c r="ND233" s="30"/>
      <c r="NE233" s="30"/>
      <c r="NF233" s="30"/>
      <c r="NG233" s="30"/>
      <c r="NH233" s="30"/>
      <c r="NI233" s="30"/>
      <c r="NJ233" s="30"/>
      <c r="NK233" s="30"/>
      <c r="NL233" s="30"/>
      <c r="NM233" s="30"/>
      <c r="NN233" s="30"/>
      <c r="NO233" s="30"/>
      <c r="NP233" s="30"/>
      <c r="NQ233" s="30"/>
      <c r="NR233" s="30"/>
    </row>
    <row r="234" spans="1:382" s="3" customFormat="1" ht="20.100000000000001" customHeight="1" x14ac:dyDescent="0.4">
      <c r="A234" s="29">
        <v>1</v>
      </c>
      <c r="B234" s="5">
        <v>1873</v>
      </c>
      <c r="C234" s="5" t="s">
        <v>339</v>
      </c>
      <c r="D234" s="5" t="s">
        <v>340</v>
      </c>
      <c r="E234" s="5" t="s">
        <v>4</v>
      </c>
      <c r="F234" s="5" t="s">
        <v>32</v>
      </c>
      <c r="G234" s="5" t="s">
        <v>32</v>
      </c>
      <c r="H234" s="5" t="s">
        <v>32</v>
      </c>
      <c r="I234" s="8">
        <v>45960.625</v>
      </c>
      <c r="J234" s="8"/>
      <c r="K234" s="8" t="str">
        <f>IF(OR(J234="",E234=""),"",J234+IFERROR(VLOOKUP(E234,リードタイム!$A$2:$C$9,3,FALSE),0))</f>
        <v/>
      </c>
      <c r="L234" s="5" t="s">
        <v>531</v>
      </c>
      <c r="M234" s="8"/>
      <c r="N234" s="8" t="str">
        <f>IF(OR(M234="",E234=""),"",M234+IFERROR(VLOOKUP(E234,リードタイム!$A$2:$D$9,4,FALSE),0))</f>
        <v/>
      </c>
      <c r="O234" s="5" t="s">
        <v>531</v>
      </c>
      <c r="P234" s="5" t="s">
        <v>533</v>
      </c>
      <c r="Q234" s="5" t="s">
        <v>32</v>
      </c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  <c r="FS234" s="30"/>
      <c r="FT234" s="30"/>
      <c r="FU234" s="30"/>
      <c r="FV234" s="30"/>
      <c r="FW234" s="30"/>
      <c r="FX234" s="30"/>
      <c r="FY234" s="30"/>
      <c r="FZ234" s="30"/>
      <c r="GA234" s="30"/>
      <c r="GB234" s="30"/>
      <c r="GC234" s="30"/>
      <c r="GD234" s="30"/>
      <c r="GE234" s="30"/>
      <c r="GF234" s="30"/>
      <c r="GG234" s="30"/>
      <c r="GH234" s="30"/>
      <c r="GI234" s="30"/>
      <c r="GJ234" s="30"/>
      <c r="GK234" s="30"/>
      <c r="GL234" s="30"/>
      <c r="GM234" s="30"/>
      <c r="GN234" s="30"/>
      <c r="GO234" s="30"/>
      <c r="GP234" s="30"/>
      <c r="GQ234" s="30"/>
      <c r="GR234" s="30"/>
      <c r="GS234" s="30"/>
      <c r="GT234" s="30"/>
      <c r="GU234" s="30"/>
      <c r="GV234" s="30"/>
      <c r="GW234" s="30"/>
      <c r="GX234" s="30"/>
      <c r="GY234" s="30"/>
      <c r="GZ234" s="30"/>
      <c r="HA234" s="30"/>
      <c r="HB234" s="30"/>
      <c r="HC234" s="30"/>
      <c r="HD234" s="30"/>
      <c r="HE234" s="30"/>
      <c r="HF234" s="30"/>
      <c r="HG234" s="30"/>
      <c r="HH234" s="30"/>
      <c r="HI234" s="30"/>
      <c r="HJ234" s="30"/>
      <c r="HK234" s="30"/>
      <c r="HL234" s="30"/>
      <c r="HM234" s="30"/>
      <c r="HN234" s="30"/>
      <c r="HO234" s="30"/>
      <c r="HP234" s="30"/>
      <c r="HQ234" s="30"/>
      <c r="HR234" s="30"/>
      <c r="HS234" s="30"/>
      <c r="HT234" s="30"/>
      <c r="HU234" s="30"/>
      <c r="HV234" s="30"/>
      <c r="HW234" s="30"/>
      <c r="HX234" s="30"/>
      <c r="HY234" s="30"/>
      <c r="HZ234" s="30"/>
      <c r="IA234" s="30"/>
      <c r="IB234" s="30"/>
      <c r="IC234" s="30"/>
      <c r="ID234" s="30"/>
      <c r="IE234" s="30"/>
      <c r="IF234" s="30"/>
      <c r="IG234" s="30"/>
      <c r="IH234" s="30"/>
      <c r="II234" s="30"/>
      <c r="IJ234" s="30"/>
      <c r="IK234" s="30"/>
      <c r="IL234" s="30"/>
      <c r="IM234" s="30"/>
      <c r="IN234" s="30"/>
      <c r="IO234" s="30"/>
      <c r="IP234" s="30"/>
      <c r="IQ234" s="30"/>
      <c r="IR234" s="30"/>
      <c r="IS234" s="30"/>
      <c r="IT234" s="30"/>
      <c r="IU234" s="30"/>
      <c r="IV234" s="30"/>
      <c r="IW234" s="30"/>
      <c r="IX234" s="30"/>
      <c r="IY234" s="30"/>
      <c r="IZ234" s="30"/>
      <c r="JA234" s="30"/>
      <c r="JB234" s="30"/>
      <c r="JC234" s="30"/>
      <c r="JD234" s="30"/>
      <c r="JE234" s="30"/>
      <c r="JF234" s="30"/>
      <c r="JG234" s="30"/>
      <c r="JH234" s="30"/>
      <c r="JI234" s="30"/>
      <c r="JJ234" s="30"/>
      <c r="JK234" s="30"/>
      <c r="JL234" s="30"/>
      <c r="JM234" s="30"/>
      <c r="JN234" s="30"/>
      <c r="JO234" s="30"/>
      <c r="JP234" s="30"/>
      <c r="JQ234" s="30"/>
      <c r="JR234" s="30"/>
      <c r="JS234" s="30"/>
      <c r="JT234" s="30"/>
      <c r="JU234" s="30"/>
      <c r="JV234" s="30"/>
      <c r="JW234" s="30"/>
      <c r="JX234" s="30"/>
      <c r="JY234" s="30"/>
      <c r="JZ234" s="30"/>
      <c r="KA234" s="30"/>
      <c r="KB234" s="30"/>
      <c r="KC234" s="30"/>
      <c r="KD234" s="30"/>
      <c r="KE234" s="30"/>
      <c r="KF234" s="30"/>
      <c r="KG234" s="30"/>
      <c r="KH234" s="30"/>
      <c r="KI234" s="30"/>
      <c r="KJ234" s="30"/>
      <c r="KK234" s="30"/>
      <c r="KL234" s="30"/>
      <c r="KM234" s="30"/>
      <c r="KN234" s="30"/>
      <c r="KO234" s="30"/>
      <c r="KP234" s="30"/>
      <c r="KQ234" s="30"/>
      <c r="KR234" s="30"/>
      <c r="KS234" s="30"/>
      <c r="KT234" s="30"/>
      <c r="KU234" s="30"/>
      <c r="KV234" s="30"/>
      <c r="KW234" s="30"/>
      <c r="KX234" s="30"/>
      <c r="KY234" s="30"/>
      <c r="KZ234" s="30"/>
      <c r="LA234" s="30"/>
      <c r="LB234" s="30"/>
      <c r="LC234" s="30"/>
      <c r="LD234" s="30"/>
      <c r="LE234" s="30"/>
      <c r="LF234" s="30"/>
      <c r="LG234" s="30"/>
      <c r="LH234" s="30"/>
      <c r="LI234" s="30"/>
      <c r="LJ234" s="30"/>
      <c r="LK234" s="30"/>
      <c r="LL234" s="30"/>
      <c r="LM234" s="30"/>
      <c r="LN234" s="30"/>
      <c r="LO234" s="30"/>
      <c r="LP234" s="30"/>
      <c r="LQ234" s="30"/>
      <c r="LR234" s="30"/>
      <c r="LS234" s="30"/>
      <c r="LT234" s="30"/>
      <c r="LU234" s="30"/>
      <c r="LV234" s="30"/>
      <c r="LW234" s="30"/>
      <c r="LX234" s="30"/>
      <c r="LY234" s="30"/>
      <c r="LZ234" s="30"/>
      <c r="MA234" s="30"/>
      <c r="MB234" s="30"/>
      <c r="MC234" s="30"/>
      <c r="MD234" s="30"/>
      <c r="ME234" s="30"/>
      <c r="MF234" s="30"/>
      <c r="MG234" s="30"/>
      <c r="MH234" s="30"/>
      <c r="MI234" s="30"/>
      <c r="MJ234" s="30"/>
      <c r="MK234" s="30"/>
      <c r="ML234" s="30"/>
      <c r="MM234" s="30"/>
      <c r="MN234" s="30"/>
      <c r="MO234" s="30"/>
      <c r="MP234" s="30"/>
      <c r="MQ234" s="30"/>
      <c r="MR234" s="30"/>
      <c r="MS234" s="30"/>
      <c r="MT234" s="30"/>
      <c r="MU234" s="30"/>
      <c r="MV234" s="30"/>
      <c r="MW234" s="30"/>
      <c r="MX234" s="30"/>
      <c r="MY234" s="30"/>
      <c r="MZ234" s="30"/>
      <c r="NA234" s="30"/>
      <c r="NB234" s="30"/>
      <c r="NC234" s="30"/>
      <c r="ND234" s="30"/>
      <c r="NE234" s="30"/>
      <c r="NF234" s="30"/>
      <c r="NG234" s="30"/>
      <c r="NH234" s="30"/>
      <c r="NI234" s="30"/>
      <c r="NJ234" s="30"/>
      <c r="NK234" s="30"/>
      <c r="NL234" s="30"/>
      <c r="NM234" s="30"/>
      <c r="NN234" s="30"/>
      <c r="NO234" s="30"/>
      <c r="NP234" s="30"/>
      <c r="NQ234" s="30"/>
      <c r="NR234" s="30"/>
    </row>
    <row r="235" spans="1:382" s="3" customFormat="1" ht="20.100000000000001" customHeight="1" x14ac:dyDescent="0.4">
      <c r="A235" s="29">
        <v>1</v>
      </c>
      <c r="B235" s="5">
        <v>1878</v>
      </c>
      <c r="C235" s="5" t="s">
        <v>341</v>
      </c>
      <c r="D235" s="5" t="s">
        <v>342</v>
      </c>
      <c r="E235" s="5" t="s">
        <v>4</v>
      </c>
      <c r="F235" s="5" t="s">
        <v>32</v>
      </c>
      <c r="G235" s="5" t="s">
        <v>32</v>
      </c>
      <c r="H235" s="5" t="s">
        <v>32</v>
      </c>
      <c r="I235" s="8">
        <v>45960.625</v>
      </c>
      <c r="J235" s="8"/>
      <c r="K235" s="8" t="str">
        <f>IF(OR(J235="",E235=""),"",J235+IFERROR(VLOOKUP(E235,リードタイム!$A$2:$C$9,3,FALSE),0))</f>
        <v/>
      </c>
      <c r="L235" s="5" t="s">
        <v>531</v>
      </c>
      <c r="M235" s="8"/>
      <c r="N235" s="8" t="str">
        <f>IF(OR(M235="",E235=""),"",M235+IFERROR(VLOOKUP(E235,リードタイム!$A$2:$D$9,4,FALSE),0))</f>
        <v/>
      </c>
      <c r="O235" s="5" t="s">
        <v>531</v>
      </c>
      <c r="P235" s="5" t="s">
        <v>532</v>
      </c>
      <c r="Q235" s="5" t="s">
        <v>32</v>
      </c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  <c r="FS235" s="30"/>
      <c r="FT235" s="30"/>
      <c r="FU235" s="30"/>
      <c r="FV235" s="30"/>
      <c r="FW235" s="30"/>
      <c r="FX235" s="30"/>
      <c r="FY235" s="30"/>
      <c r="FZ235" s="30"/>
      <c r="GA235" s="30"/>
      <c r="GB235" s="30"/>
      <c r="GC235" s="30"/>
      <c r="GD235" s="30"/>
      <c r="GE235" s="30"/>
      <c r="GF235" s="30"/>
      <c r="GG235" s="30"/>
      <c r="GH235" s="30"/>
      <c r="GI235" s="30"/>
      <c r="GJ235" s="30"/>
      <c r="GK235" s="30"/>
      <c r="GL235" s="30"/>
      <c r="GM235" s="30"/>
      <c r="GN235" s="30"/>
      <c r="GO235" s="30"/>
      <c r="GP235" s="30"/>
      <c r="GQ235" s="30"/>
      <c r="GR235" s="30"/>
      <c r="GS235" s="30"/>
      <c r="GT235" s="30"/>
      <c r="GU235" s="30"/>
      <c r="GV235" s="30"/>
      <c r="GW235" s="30"/>
      <c r="GX235" s="30"/>
      <c r="GY235" s="30"/>
      <c r="GZ235" s="30"/>
      <c r="HA235" s="30"/>
      <c r="HB235" s="30"/>
      <c r="HC235" s="30"/>
      <c r="HD235" s="30"/>
      <c r="HE235" s="30"/>
      <c r="HF235" s="30"/>
      <c r="HG235" s="30"/>
      <c r="HH235" s="30"/>
      <c r="HI235" s="30"/>
      <c r="HJ235" s="30"/>
      <c r="HK235" s="30"/>
      <c r="HL235" s="30"/>
      <c r="HM235" s="30"/>
      <c r="HN235" s="30"/>
      <c r="HO235" s="30"/>
      <c r="HP235" s="30"/>
      <c r="HQ235" s="30"/>
      <c r="HR235" s="30"/>
      <c r="HS235" s="30"/>
      <c r="HT235" s="30"/>
      <c r="HU235" s="30"/>
      <c r="HV235" s="30"/>
      <c r="HW235" s="30"/>
      <c r="HX235" s="30"/>
      <c r="HY235" s="30"/>
      <c r="HZ235" s="30"/>
      <c r="IA235" s="30"/>
      <c r="IB235" s="30"/>
      <c r="IC235" s="30"/>
      <c r="ID235" s="30"/>
      <c r="IE235" s="30"/>
      <c r="IF235" s="30"/>
      <c r="IG235" s="30"/>
      <c r="IH235" s="30"/>
      <c r="II235" s="30"/>
      <c r="IJ235" s="30"/>
      <c r="IK235" s="30"/>
      <c r="IL235" s="30"/>
      <c r="IM235" s="30"/>
      <c r="IN235" s="30"/>
      <c r="IO235" s="30"/>
      <c r="IP235" s="30"/>
      <c r="IQ235" s="30"/>
      <c r="IR235" s="30"/>
      <c r="IS235" s="30"/>
      <c r="IT235" s="30"/>
      <c r="IU235" s="30"/>
      <c r="IV235" s="30"/>
      <c r="IW235" s="30"/>
      <c r="IX235" s="30"/>
      <c r="IY235" s="30"/>
      <c r="IZ235" s="30"/>
      <c r="JA235" s="30"/>
      <c r="JB235" s="30"/>
      <c r="JC235" s="30"/>
      <c r="JD235" s="30"/>
      <c r="JE235" s="30"/>
      <c r="JF235" s="30"/>
      <c r="JG235" s="30"/>
      <c r="JH235" s="30"/>
      <c r="JI235" s="30"/>
      <c r="JJ235" s="30"/>
      <c r="JK235" s="30"/>
      <c r="JL235" s="30"/>
      <c r="JM235" s="30"/>
      <c r="JN235" s="30"/>
      <c r="JO235" s="30"/>
      <c r="JP235" s="30"/>
      <c r="JQ235" s="30"/>
      <c r="JR235" s="30"/>
      <c r="JS235" s="30"/>
      <c r="JT235" s="30"/>
      <c r="JU235" s="30"/>
      <c r="JV235" s="30"/>
      <c r="JW235" s="30"/>
      <c r="JX235" s="30"/>
      <c r="JY235" s="30"/>
      <c r="JZ235" s="30"/>
      <c r="KA235" s="30"/>
      <c r="KB235" s="30"/>
      <c r="KC235" s="30"/>
      <c r="KD235" s="30"/>
      <c r="KE235" s="30"/>
      <c r="KF235" s="30"/>
      <c r="KG235" s="30"/>
      <c r="KH235" s="30"/>
      <c r="KI235" s="30"/>
      <c r="KJ235" s="30"/>
      <c r="KK235" s="30"/>
      <c r="KL235" s="30"/>
      <c r="KM235" s="30"/>
      <c r="KN235" s="30"/>
      <c r="KO235" s="30"/>
      <c r="KP235" s="30"/>
      <c r="KQ235" s="30"/>
      <c r="KR235" s="30"/>
      <c r="KS235" s="30"/>
      <c r="KT235" s="30"/>
      <c r="KU235" s="30"/>
      <c r="KV235" s="30"/>
      <c r="KW235" s="30"/>
      <c r="KX235" s="30"/>
      <c r="KY235" s="30"/>
      <c r="KZ235" s="30"/>
      <c r="LA235" s="30"/>
      <c r="LB235" s="30"/>
      <c r="LC235" s="30"/>
      <c r="LD235" s="30"/>
      <c r="LE235" s="30"/>
      <c r="LF235" s="30"/>
      <c r="LG235" s="30"/>
      <c r="LH235" s="30"/>
      <c r="LI235" s="30"/>
      <c r="LJ235" s="30"/>
      <c r="LK235" s="30"/>
      <c r="LL235" s="30"/>
      <c r="LM235" s="30"/>
      <c r="LN235" s="30"/>
      <c r="LO235" s="30"/>
      <c r="LP235" s="30"/>
      <c r="LQ235" s="30"/>
      <c r="LR235" s="30"/>
      <c r="LS235" s="30"/>
      <c r="LT235" s="30"/>
      <c r="LU235" s="30"/>
      <c r="LV235" s="30"/>
      <c r="LW235" s="30"/>
      <c r="LX235" s="30"/>
      <c r="LY235" s="30"/>
      <c r="LZ235" s="30"/>
      <c r="MA235" s="30"/>
      <c r="MB235" s="30"/>
      <c r="MC235" s="30"/>
      <c r="MD235" s="30"/>
      <c r="ME235" s="30"/>
      <c r="MF235" s="30"/>
      <c r="MG235" s="30"/>
      <c r="MH235" s="30"/>
      <c r="MI235" s="30"/>
      <c r="MJ235" s="30"/>
      <c r="MK235" s="30"/>
      <c r="ML235" s="30"/>
      <c r="MM235" s="30"/>
      <c r="MN235" s="30"/>
      <c r="MO235" s="30"/>
      <c r="MP235" s="30"/>
      <c r="MQ235" s="30"/>
      <c r="MR235" s="30"/>
      <c r="MS235" s="30"/>
      <c r="MT235" s="30"/>
      <c r="MU235" s="30"/>
      <c r="MV235" s="30"/>
      <c r="MW235" s="30"/>
      <c r="MX235" s="30"/>
      <c r="MY235" s="30"/>
      <c r="MZ235" s="30"/>
      <c r="NA235" s="30"/>
      <c r="NB235" s="30"/>
      <c r="NC235" s="30"/>
      <c r="ND235" s="30"/>
      <c r="NE235" s="30"/>
      <c r="NF235" s="30"/>
      <c r="NG235" s="30"/>
      <c r="NH235" s="30"/>
      <c r="NI235" s="30"/>
      <c r="NJ235" s="30"/>
      <c r="NK235" s="30"/>
      <c r="NL235" s="30"/>
      <c r="NM235" s="30"/>
      <c r="NN235" s="30"/>
      <c r="NO235" s="30"/>
      <c r="NP235" s="30"/>
      <c r="NQ235" s="30"/>
      <c r="NR235" s="30"/>
    </row>
    <row r="236" spans="1:382" s="3" customFormat="1" ht="20.100000000000001" customHeight="1" x14ac:dyDescent="0.4">
      <c r="A236" s="29">
        <v>2</v>
      </c>
      <c r="B236" s="5">
        <v>1920</v>
      </c>
      <c r="C236" s="5" t="s">
        <v>341</v>
      </c>
      <c r="D236" s="5" t="s">
        <v>267</v>
      </c>
      <c r="E236" s="5" t="s">
        <v>4</v>
      </c>
      <c r="F236" s="5" t="s">
        <v>32</v>
      </c>
      <c r="G236" s="5" t="s">
        <v>32</v>
      </c>
      <c r="H236" s="5" t="s">
        <v>32</v>
      </c>
      <c r="I236" s="8">
        <v>45932.625</v>
      </c>
      <c r="J236" s="8"/>
      <c r="K236" s="8" t="str">
        <f>IF(OR(J236="",E236=""),"",J236+IFERROR(VLOOKUP(E236,リードタイム!$A$2:$C$9,3,FALSE),0))</f>
        <v/>
      </c>
      <c r="L236" s="5" t="s">
        <v>531</v>
      </c>
      <c r="M236" s="8"/>
      <c r="N236" s="8" t="str">
        <f>IF(OR(M236="",E236=""),"",M236+IFERROR(VLOOKUP(E236,リードタイム!$A$2:$D$9,4,FALSE),0))</f>
        <v/>
      </c>
      <c r="O236" s="5" t="s">
        <v>531</v>
      </c>
      <c r="P236" s="5" t="s">
        <v>532</v>
      </c>
      <c r="Q236" s="5" t="s">
        <v>343</v>
      </c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  <c r="FS236" s="30"/>
      <c r="FT236" s="30"/>
      <c r="FU236" s="30"/>
      <c r="FV236" s="30"/>
      <c r="FW236" s="30"/>
      <c r="FX236" s="30"/>
      <c r="FY236" s="30"/>
      <c r="FZ236" s="30"/>
      <c r="GA236" s="30"/>
      <c r="GB236" s="30"/>
      <c r="GC236" s="30"/>
      <c r="GD236" s="30"/>
      <c r="GE236" s="30"/>
      <c r="GF236" s="30"/>
      <c r="GG236" s="30"/>
      <c r="GH236" s="30"/>
      <c r="GI236" s="30"/>
      <c r="GJ236" s="30"/>
      <c r="GK236" s="30"/>
      <c r="GL236" s="30"/>
      <c r="GM236" s="30"/>
      <c r="GN236" s="30"/>
      <c r="GO236" s="30"/>
      <c r="GP236" s="30"/>
      <c r="GQ236" s="30"/>
      <c r="GR236" s="30"/>
      <c r="GS236" s="30"/>
      <c r="GT236" s="30"/>
      <c r="GU236" s="30"/>
      <c r="GV236" s="30"/>
      <c r="GW236" s="30"/>
      <c r="GX236" s="30"/>
      <c r="GY236" s="30"/>
      <c r="GZ236" s="30"/>
      <c r="HA236" s="30"/>
      <c r="HB236" s="30"/>
      <c r="HC236" s="30"/>
      <c r="HD236" s="30"/>
      <c r="HE236" s="30"/>
      <c r="HF236" s="30"/>
      <c r="HG236" s="30"/>
      <c r="HH236" s="30"/>
      <c r="HI236" s="30"/>
      <c r="HJ236" s="30"/>
      <c r="HK236" s="30"/>
      <c r="HL236" s="30"/>
      <c r="HM236" s="30"/>
      <c r="HN236" s="30"/>
      <c r="HO236" s="30"/>
      <c r="HP236" s="30"/>
      <c r="HQ236" s="30"/>
      <c r="HR236" s="30"/>
      <c r="HS236" s="30"/>
      <c r="HT236" s="30"/>
      <c r="HU236" s="30"/>
      <c r="HV236" s="30"/>
      <c r="HW236" s="30"/>
      <c r="HX236" s="30"/>
      <c r="HY236" s="30"/>
      <c r="HZ236" s="30"/>
      <c r="IA236" s="30"/>
      <c r="IB236" s="30"/>
      <c r="IC236" s="30"/>
      <c r="ID236" s="30"/>
      <c r="IE236" s="30"/>
      <c r="IF236" s="30"/>
      <c r="IG236" s="30"/>
      <c r="IH236" s="30"/>
      <c r="II236" s="30"/>
      <c r="IJ236" s="30"/>
      <c r="IK236" s="30"/>
      <c r="IL236" s="30"/>
      <c r="IM236" s="30"/>
      <c r="IN236" s="30"/>
      <c r="IO236" s="30"/>
      <c r="IP236" s="30"/>
      <c r="IQ236" s="30"/>
      <c r="IR236" s="30"/>
      <c r="IS236" s="30"/>
      <c r="IT236" s="30"/>
      <c r="IU236" s="30"/>
      <c r="IV236" s="30"/>
      <c r="IW236" s="30"/>
      <c r="IX236" s="30"/>
      <c r="IY236" s="30"/>
      <c r="IZ236" s="30"/>
      <c r="JA236" s="30"/>
      <c r="JB236" s="30"/>
      <c r="JC236" s="30"/>
      <c r="JD236" s="30"/>
      <c r="JE236" s="30"/>
      <c r="JF236" s="30"/>
      <c r="JG236" s="30"/>
      <c r="JH236" s="30"/>
      <c r="JI236" s="30"/>
      <c r="JJ236" s="30"/>
      <c r="JK236" s="30"/>
      <c r="JL236" s="30"/>
      <c r="JM236" s="30"/>
      <c r="JN236" s="30"/>
      <c r="JO236" s="30"/>
      <c r="JP236" s="30"/>
      <c r="JQ236" s="30"/>
      <c r="JR236" s="30"/>
      <c r="JS236" s="30"/>
      <c r="JT236" s="30"/>
      <c r="JU236" s="30"/>
      <c r="JV236" s="30"/>
      <c r="JW236" s="30"/>
      <c r="JX236" s="30"/>
      <c r="JY236" s="30"/>
      <c r="JZ236" s="30"/>
      <c r="KA236" s="30"/>
      <c r="KB236" s="30"/>
      <c r="KC236" s="30"/>
      <c r="KD236" s="30"/>
      <c r="KE236" s="30"/>
      <c r="KF236" s="30"/>
      <c r="KG236" s="30"/>
      <c r="KH236" s="30"/>
      <c r="KI236" s="30"/>
      <c r="KJ236" s="30"/>
      <c r="KK236" s="30"/>
      <c r="KL236" s="30"/>
      <c r="KM236" s="30"/>
      <c r="KN236" s="30"/>
      <c r="KO236" s="30"/>
      <c r="KP236" s="30"/>
      <c r="KQ236" s="30"/>
      <c r="KR236" s="30"/>
      <c r="KS236" s="30"/>
      <c r="KT236" s="30"/>
      <c r="KU236" s="30"/>
      <c r="KV236" s="30"/>
      <c r="KW236" s="30"/>
      <c r="KX236" s="30"/>
      <c r="KY236" s="30"/>
      <c r="KZ236" s="30"/>
      <c r="LA236" s="30"/>
      <c r="LB236" s="30"/>
      <c r="LC236" s="30"/>
      <c r="LD236" s="30"/>
      <c r="LE236" s="30"/>
      <c r="LF236" s="30"/>
      <c r="LG236" s="30"/>
      <c r="LH236" s="30"/>
      <c r="LI236" s="30"/>
      <c r="LJ236" s="30"/>
      <c r="LK236" s="30"/>
      <c r="LL236" s="30"/>
      <c r="LM236" s="30"/>
      <c r="LN236" s="30"/>
      <c r="LO236" s="30"/>
      <c r="LP236" s="30"/>
      <c r="LQ236" s="30"/>
      <c r="LR236" s="30"/>
      <c r="LS236" s="30"/>
      <c r="LT236" s="30"/>
      <c r="LU236" s="30"/>
      <c r="LV236" s="30"/>
      <c r="LW236" s="30"/>
      <c r="LX236" s="30"/>
      <c r="LY236" s="30"/>
      <c r="LZ236" s="30"/>
      <c r="MA236" s="30"/>
      <c r="MB236" s="30"/>
      <c r="MC236" s="30"/>
      <c r="MD236" s="30"/>
      <c r="ME236" s="30"/>
      <c r="MF236" s="30"/>
      <c r="MG236" s="30"/>
      <c r="MH236" s="30"/>
      <c r="MI236" s="30"/>
      <c r="MJ236" s="30"/>
      <c r="MK236" s="30"/>
      <c r="ML236" s="30"/>
      <c r="MM236" s="30"/>
      <c r="MN236" s="30"/>
      <c r="MO236" s="30"/>
      <c r="MP236" s="30"/>
      <c r="MQ236" s="30"/>
      <c r="MR236" s="30"/>
      <c r="MS236" s="30"/>
      <c r="MT236" s="30"/>
      <c r="MU236" s="30"/>
      <c r="MV236" s="30"/>
      <c r="MW236" s="30"/>
      <c r="MX236" s="30"/>
      <c r="MY236" s="30"/>
      <c r="MZ236" s="30"/>
      <c r="NA236" s="30"/>
      <c r="NB236" s="30"/>
      <c r="NC236" s="30"/>
      <c r="ND236" s="30"/>
      <c r="NE236" s="30"/>
      <c r="NF236" s="30"/>
      <c r="NG236" s="30"/>
      <c r="NH236" s="30"/>
      <c r="NI236" s="30"/>
      <c r="NJ236" s="30"/>
      <c r="NK236" s="30"/>
      <c r="NL236" s="30"/>
      <c r="NM236" s="30"/>
      <c r="NN236" s="30"/>
      <c r="NO236" s="30"/>
      <c r="NP236" s="30"/>
      <c r="NQ236" s="30"/>
      <c r="NR236" s="30"/>
    </row>
    <row r="237" spans="1:382" s="3" customFormat="1" ht="20.100000000000001" customHeight="1" x14ac:dyDescent="0.4">
      <c r="A237" s="29">
        <v>3</v>
      </c>
      <c r="B237" s="5">
        <v>1920</v>
      </c>
      <c r="C237" s="5" t="s">
        <v>341</v>
      </c>
      <c r="D237" s="5" t="s">
        <v>344</v>
      </c>
      <c r="E237" s="5" t="s">
        <v>4</v>
      </c>
      <c r="F237" s="5" t="s">
        <v>32</v>
      </c>
      <c r="G237" s="5" t="s">
        <v>32</v>
      </c>
      <c r="H237" s="5" t="s">
        <v>32</v>
      </c>
      <c r="I237" s="8"/>
      <c r="J237" s="8"/>
      <c r="K237" s="8" t="str">
        <f>IF(OR(J237="",E237=""),"",J237+IFERROR(VLOOKUP(E237,リードタイム!$A$2:$C$9,3,FALSE),0))</f>
        <v/>
      </c>
      <c r="L237" s="5" t="s">
        <v>530</v>
      </c>
      <c r="M237" s="8"/>
      <c r="N237" s="8" t="str">
        <f>IF(OR(M237="",E237=""),"",M237+IFERROR(VLOOKUP(E237,リードタイム!$A$2:$D$9,4,FALSE),0))</f>
        <v/>
      </c>
      <c r="O237" s="5" t="s">
        <v>530</v>
      </c>
      <c r="P237" s="5" t="s">
        <v>530</v>
      </c>
      <c r="Q237" s="5" t="s">
        <v>345</v>
      </c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  <c r="FS237" s="30"/>
      <c r="FT237" s="30"/>
      <c r="FU237" s="30"/>
      <c r="FV237" s="30"/>
      <c r="FW237" s="30"/>
      <c r="FX237" s="30"/>
      <c r="FY237" s="30"/>
      <c r="FZ237" s="30"/>
      <c r="GA237" s="30"/>
      <c r="GB237" s="30"/>
      <c r="GC237" s="30"/>
      <c r="GD237" s="30"/>
      <c r="GE237" s="30"/>
      <c r="GF237" s="30"/>
      <c r="GG237" s="30"/>
      <c r="GH237" s="30"/>
      <c r="GI237" s="30"/>
      <c r="GJ237" s="30"/>
      <c r="GK237" s="30"/>
      <c r="GL237" s="30"/>
      <c r="GM237" s="30"/>
      <c r="GN237" s="30"/>
      <c r="GO237" s="30"/>
      <c r="GP237" s="30"/>
      <c r="GQ237" s="30"/>
      <c r="GR237" s="30"/>
      <c r="GS237" s="30"/>
      <c r="GT237" s="30"/>
      <c r="GU237" s="30"/>
      <c r="GV237" s="30"/>
      <c r="GW237" s="30"/>
      <c r="GX237" s="30"/>
      <c r="GY237" s="30"/>
      <c r="GZ237" s="30"/>
      <c r="HA237" s="30"/>
      <c r="HB237" s="30"/>
      <c r="HC237" s="30"/>
      <c r="HD237" s="30"/>
      <c r="HE237" s="30"/>
      <c r="HF237" s="30"/>
      <c r="HG237" s="30"/>
      <c r="HH237" s="30"/>
      <c r="HI237" s="30"/>
      <c r="HJ237" s="30"/>
      <c r="HK237" s="30"/>
      <c r="HL237" s="30"/>
      <c r="HM237" s="30"/>
      <c r="HN237" s="30"/>
      <c r="HO237" s="30"/>
      <c r="HP237" s="30"/>
      <c r="HQ237" s="30"/>
      <c r="HR237" s="30"/>
      <c r="HS237" s="30"/>
      <c r="HT237" s="30"/>
      <c r="HU237" s="30"/>
      <c r="HV237" s="30"/>
      <c r="HW237" s="30"/>
      <c r="HX237" s="30"/>
      <c r="HY237" s="30"/>
      <c r="HZ237" s="30"/>
      <c r="IA237" s="30"/>
      <c r="IB237" s="30"/>
      <c r="IC237" s="30"/>
      <c r="ID237" s="30"/>
      <c r="IE237" s="30"/>
      <c r="IF237" s="30"/>
      <c r="IG237" s="30"/>
      <c r="IH237" s="30"/>
      <c r="II237" s="30"/>
      <c r="IJ237" s="30"/>
      <c r="IK237" s="30"/>
      <c r="IL237" s="30"/>
      <c r="IM237" s="30"/>
      <c r="IN237" s="30"/>
      <c r="IO237" s="30"/>
      <c r="IP237" s="30"/>
      <c r="IQ237" s="30"/>
      <c r="IR237" s="30"/>
      <c r="IS237" s="30"/>
      <c r="IT237" s="30"/>
      <c r="IU237" s="30"/>
      <c r="IV237" s="30"/>
      <c r="IW237" s="30"/>
      <c r="IX237" s="30"/>
      <c r="IY237" s="30"/>
      <c r="IZ237" s="30"/>
      <c r="JA237" s="30"/>
      <c r="JB237" s="30"/>
      <c r="JC237" s="30"/>
      <c r="JD237" s="30"/>
      <c r="JE237" s="30"/>
      <c r="JF237" s="30"/>
      <c r="JG237" s="30"/>
      <c r="JH237" s="30"/>
      <c r="JI237" s="30"/>
      <c r="JJ237" s="30"/>
      <c r="JK237" s="30"/>
      <c r="JL237" s="30"/>
      <c r="JM237" s="30"/>
      <c r="JN237" s="30"/>
      <c r="JO237" s="30"/>
      <c r="JP237" s="30"/>
      <c r="JQ237" s="30"/>
      <c r="JR237" s="30"/>
      <c r="JS237" s="30"/>
      <c r="JT237" s="30"/>
      <c r="JU237" s="30"/>
      <c r="JV237" s="30"/>
      <c r="JW237" s="30"/>
      <c r="JX237" s="30"/>
      <c r="JY237" s="30"/>
      <c r="JZ237" s="30"/>
      <c r="KA237" s="30"/>
      <c r="KB237" s="30"/>
      <c r="KC237" s="30"/>
      <c r="KD237" s="30"/>
      <c r="KE237" s="30"/>
      <c r="KF237" s="30"/>
      <c r="KG237" s="30"/>
      <c r="KH237" s="30"/>
      <c r="KI237" s="30"/>
      <c r="KJ237" s="30"/>
      <c r="KK237" s="30"/>
      <c r="KL237" s="30"/>
      <c r="KM237" s="30"/>
      <c r="KN237" s="30"/>
      <c r="KO237" s="30"/>
      <c r="KP237" s="30"/>
      <c r="KQ237" s="30"/>
      <c r="KR237" s="30"/>
      <c r="KS237" s="30"/>
      <c r="KT237" s="30"/>
      <c r="KU237" s="30"/>
      <c r="KV237" s="30"/>
      <c r="KW237" s="30"/>
      <c r="KX237" s="30"/>
      <c r="KY237" s="30"/>
      <c r="KZ237" s="30"/>
      <c r="LA237" s="30"/>
      <c r="LB237" s="30"/>
      <c r="LC237" s="30"/>
      <c r="LD237" s="30"/>
      <c r="LE237" s="30"/>
      <c r="LF237" s="30"/>
      <c r="LG237" s="30"/>
      <c r="LH237" s="30"/>
      <c r="LI237" s="30"/>
      <c r="LJ237" s="30"/>
      <c r="LK237" s="30"/>
      <c r="LL237" s="30"/>
      <c r="LM237" s="30"/>
      <c r="LN237" s="30"/>
      <c r="LO237" s="30"/>
      <c r="LP237" s="30"/>
      <c r="LQ237" s="30"/>
      <c r="LR237" s="30"/>
      <c r="LS237" s="30"/>
      <c r="LT237" s="30"/>
      <c r="LU237" s="30"/>
      <c r="LV237" s="30"/>
      <c r="LW237" s="30"/>
      <c r="LX237" s="30"/>
      <c r="LY237" s="30"/>
      <c r="LZ237" s="30"/>
      <c r="MA237" s="30"/>
      <c r="MB237" s="30"/>
      <c r="MC237" s="30"/>
      <c r="MD237" s="30"/>
      <c r="ME237" s="30"/>
      <c r="MF237" s="30"/>
      <c r="MG237" s="30"/>
      <c r="MH237" s="30"/>
      <c r="MI237" s="30"/>
      <c r="MJ237" s="30"/>
      <c r="MK237" s="30"/>
      <c r="ML237" s="30"/>
      <c r="MM237" s="30"/>
      <c r="MN237" s="30"/>
      <c r="MO237" s="30"/>
      <c r="MP237" s="30"/>
      <c r="MQ237" s="30"/>
      <c r="MR237" s="30"/>
      <c r="MS237" s="30"/>
      <c r="MT237" s="30"/>
      <c r="MU237" s="30"/>
      <c r="MV237" s="30"/>
      <c r="MW237" s="30"/>
      <c r="MX237" s="30"/>
      <c r="MY237" s="30"/>
      <c r="MZ237" s="30"/>
      <c r="NA237" s="30"/>
      <c r="NB237" s="30"/>
      <c r="NC237" s="30"/>
      <c r="ND237" s="30"/>
      <c r="NE237" s="30"/>
      <c r="NF237" s="30"/>
      <c r="NG237" s="30"/>
      <c r="NH237" s="30"/>
      <c r="NI237" s="30"/>
      <c r="NJ237" s="30"/>
      <c r="NK237" s="30"/>
      <c r="NL237" s="30"/>
      <c r="NM237" s="30"/>
      <c r="NN237" s="30"/>
      <c r="NO237" s="30"/>
      <c r="NP237" s="30"/>
      <c r="NQ237" s="30"/>
      <c r="NR237" s="30"/>
    </row>
    <row r="238" spans="1:382" s="3" customFormat="1" ht="20.100000000000001" customHeight="1" x14ac:dyDescent="0.4">
      <c r="A238" s="29">
        <v>4</v>
      </c>
      <c r="B238" s="5">
        <v>1920</v>
      </c>
      <c r="C238" s="5" t="s">
        <v>341</v>
      </c>
      <c r="D238" s="5" t="s">
        <v>346</v>
      </c>
      <c r="E238" s="5" t="s">
        <v>4</v>
      </c>
      <c r="F238" s="5" t="s">
        <v>32</v>
      </c>
      <c r="G238" s="5" t="s">
        <v>32</v>
      </c>
      <c r="H238" s="5" t="s">
        <v>32</v>
      </c>
      <c r="I238" s="8"/>
      <c r="J238" s="8"/>
      <c r="K238" s="8" t="str">
        <f>IF(OR(J238="",E238=""),"",J238+IFERROR(VLOOKUP(E238,リードタイム!$A$2:$C$9,3,FALSE),0))</f>
        <v/>
      </c>
      <c r="L238" s="5" t="s">
        <v>531</v>
      </c>
      <c r="M238" s="8"/>
      <c r="N238" s="8" t="str">
        <f>IF(OR(M238="",E238=""),"",M238+IFERROR(VLOOKUP(E238,リードタイム!$A$2:$D$9,4,FALSE),0))</f>
        <v/>
      </c>
      <c r="O238" s="5" t="s">
        <v>531</v>
      </c>
      <c r="P238" s="5" t="s">
        <v>533</v>
      </c>
      <c r="Q238" s="5" t="s">
        <v>347</v>
      </c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  <c r="FS238" s="30"/>
      <c r="FT238" s="30"/>
      <c r="FU238" s="30"/>
      <c r="FV238" s="30"/>
      <c r="FW238" s="30"/>
      <c r="FX238" s="30"/>
      <c r="FY238" s="30"/>
      <c r="FZ238" s="30"/>
      <c r="GA238" s="30"/>
      <c r="GB238" s="30"/>
      <c r="GC238" s="30"/>
      <c r="GD238" s="30"/>
      <c r="GE238" s="30"/>
      <c r="GF238" s="30"/>
      <c r="GG238" s="30"/>
      <c r="GH238" s="30"/>
      <c r="GI238" s="30"/>
      <c r="GJ238" s="30"/>
      <c r="GK238" s="30"/>
      <c r="GL238" s="30"/>
      <c r="GM238" s="30"/>
      <c r="GN238" s="30"/>
      <c r="GO238" s="30"/>
      <c r="GP238" s="30"/>
      <c r="GQ238" s="30"/>
      <c r="GR238" s="30"/>
      <c r="GS238" s="30"/>
      <c r="GT238" s="30"/>
      <c r="GU238" s="30"/>
      <c r="GV238" s="30"/>
      <c r="GW238" s="30"/>
      <c r="GX238" s="30"/>
      <c r="GY238" s="30"/>
      <c r="GZ238" s="30"/>
      <c r="HA238" s="30"/>
      <c r="HB238" s="30"/>
      <c r="HC238" s="30"/>
      <c r="HD238" s="30"/>
      <c r="HE238" s="30"/>
      <c r="HF238" s="30"/>
      <c r="HG238" s="30"/>
      <c r="HH238" s="30"/>
      <c r="HI238" s="30"/>
      <c r="HJ238" s="30"/>
      <c r="HK238" s="30"/>
      <c r="HL238" s="30"/>
      <c r="HM238" s="30"/>
      <c r="HN238" s="30"/>
      <c r="HO238" s="30"/>
      <c r="HP238" s="30"/>
      <c r="HQ238" s="30"/>
      <c r="HR238" s="30"/>
      <c r="HS238" s="30"/>
      <c r="HT238" s="30"/>
      <c r="HU238" s="30"/>
      <c r="HV238" s="30"/>
      <c r="HW238" s="30"/>
      <c r="HX238" s="30"/>
      <c r="HY238" s="30"/>
      <c r="HZ238" s="30"/>
      <c r="IA238" s="30"/>
      <c r="IB238" s="30"/>
      <c r="IC238" s="30"/>
      <c r="ID238" s="30"/>
      <c r="IE238" s="30"/>
      <c r="IF238" s="30"/>
      <c r="IG238" s="30"/>
      <c r="IH238" s="30"/>
      <c r="II238" s="30"/>
      <c r="IJ238" s="30"/>
      <c r="IK238" s="30"/>
      <c r="IL238" s="30"/>
      <c r="IM238" s="30"/>
      <c r="IN238" s="30"/>
      <c r="IO238" s="30"/>
      <c r="IP238" s="30"/>
      <c r="IQ238" s="30"/>
      <c r="IR238" s="30"/>
      <c r="IS238" s="30"/>
      <c r="IT238" s="30"/>
      <c r="IU238" s="30"/>
      <c r="IV238" s="30"/>
      <c r="IW238" s="30"/>
      <c r="IX238" s="30"/>
      <c r="IY238" s="30"/>
      <c r="IZ238" s="30"/>
      <c r="JA238" s="30"/>
      <c r="JB238" s="30"/>
      <c r="JC238" s="30"/>
      <c r="JD238" s="30"/>
      <c r="JE238" s="30"/>
      <c r="JF238" s="30"/>
      <c r="JG238" s="30"/>
      <c r="JH238" s="30"/>
      <c r="JI238" s="30"/>
      <c r="JJ238" s="30"/>
      <c r="JK238" s="30"/>
      <c r="JL238" s="30"/>
      <c r="JM238" s="30"/>
      <c r="JN238" s="30"/>
      <c r="JO238" s="30"/>
      <c r="JP238" s="30"/>
      <c r="JQ238" s="30"/>
      <c r="JR238" s="30"/>
      <c r="JS238" s="30"/>
      <c r="JT238" s="30"/>
      <c r="JU238" s="30"/>
      <c r="JV238" s="30"/>
      <c r="JW238" s="30"/>
      <c r="JX238" s="30"/>
      <c r="JY238" s="30"/>
      <c r="JZ238" s="30"/>
      <c r="KA238" s="30"/>
      <c r="KB238" s="30"/>
      <c r="KC238" s="30"/>
      <c r="KD238" s="30"/>
      <c r="KE238" s="30"/>
      <c r="KF238" s="30"/>
      <c r="KG238" s="30"/>
      <c r="KH238" s="30"/>
      <c r="KI238" s="30"/>
      <c r="KJ238" s="30"/>
      <c r="KK238" s="30"/>
      <c r="KL238" s="30"/>
      <c r="KM238" s="30"/>
      <c r="KN238" s="30"/>
      <c r="KO238" s="30"/>
      <c r="KP238" s="30"/>
      <c r="KQ238" s="30"/>
      <c r="KR238" s="30"/>
      <c r="KS238" s="30"/>
      <c r="KT238" s="30"/>
      <c r="KU238" s="30"/>
      <c r="KV238" s="30"/>
      <c r="KW238" s="30"/>
      <c r="KX238" s="30"/>
      <c r="KY238" s="30"/>
      <c r="KZ238" s="30"/>
      <c r="LA238" s="30"/>
      <c r="LB238" s="30"/>
      <c r="LC238" s="30"/>
      <c r="LD238" s="30"/>
      <c r="LE238" s="30"/>
      <c r="LF238" s="30"/>
      <c r="LG238" s="30"/>
      <c r="LH238" s="30"/>
      <c r="LI238" s="30"/>
      <c r="LJ238" s="30"/>
      <c r="LK238" s="30"/>
      <c r="LL238" s="30"/>
      <c r="LM238" s="30"/>
      <c r="LN238" s="30"/>
      <c r="LO238" s="30"/>
      <c r="LP238" s="30"/>
      <c r="LQ238" s="30"/>
      <c r="LR238" s="30"/>
      <c r="LS238" s="30"/>
      <c r="LT238" s="30"/>
      <c r="LU238" s="30"/>
      <c r="LV238" s="30"/>
      <c r="LW238" s="30"/>
      <c r="LX238" s="30"/>
      <c r="LY238" s="30"/>
      <c r="LZ238" s="30"/>
      <c r="MA238" s="30"/>
      <c r="MB238" s="30"/>
      <c r="MC238" s="30"/>
      <c r="MD238" s="30"/>
      <c r="ME238" s="30"/>
      <c r="MF238" s="30"/>
      <c r="MG238" s="30"/>
      <c r="MH238" s="30"/>
      <c r="MI238" s="30"/>
      <c r="MJ238" s="30"/>
      <c r="MK238" s="30"/>
      <c r="ML238" s="30"/>
      <c r="MM238" s="30"/>
      <c r="MN238" s="30"/>
      <c r="MO238" s="30"/>
      <c r="MP238" s="30"/>
      <c r="MQ238" s="30"/>
      <c r="MR238" s="30"/>
      <c r="MS238" s="30"/>
      <c r="MT238" s="30"/>
      <c r="MU238" s="30"/>
      <c r="MV238" s="30"/>
      <c r="MW238" s="30"/>
      <c r="MX238" s="30"/>
      <c r="MY238" s="30"/>
      <c r="MZ238" s="30"/>
      <c r="NA238" s="30"/>
      <c r="NB238" s="30"/>
      <c r="NC238" s="30"/>
      <c r="ND238" s="30"/>
      <c r="NE238" s="30"/>
      <c r="NF238" s="30"/>
      <c r="NG238" s="30"/>
      <c r="NH238" s="30"/>
      <c r="NI238" s="30"/>
      <c r="NJ238" s="30"/>
      <c r="NK238" s="30"/>
      <c r="NL238" s="30"/>
      <c r="NM238" s="30"/>
      <c r="NN238" s="30"/>
      <c r="NO238" s="30"/>
      <c r="NP238" s="30"/>
      <c r="NQ238" s="30"/>
      <c r="NR238" s="30"/>
    </row>
    <row r="239" spans="1:382" s="3" customFormat="1" ht="20.100000000000001" customHeight="1" x14ac:dyDescent="0.4">
      <c r="A239" s="29">
        <v>1</v>
      </c>
      <c r="B239" s="5">
        <v>1973</v>
      </c>
      <c r="C239" s="5" t="s">
        <v>348</v>
      </c>
      <c r="D239" s="5" t="s">
        <v>267</v>
      </c>
      <c r="E239" s="5" t="s">
        <v>4</v>
      </c>
      <c r="F239" s="5" t="s">
        <v>32</v>
      </c>
      <c r="G239" s="5" t="s">
        <v>32</v>
      </c>
      <c r="H239" s="5" t="s">
        <v>32</v>
      </c>
      <c r="I239" s="8"/>
      <c r="J239" s="8"/>
      <c r="K239" s="8" t="str">
        <f>IF(OR(J239="",E239=""),"",J239+IFERROR(VLOOKUP(E239,リードタイム!$A$2:$C$9,3,FALSE),0))</f>
        <v/>
      </c>
      <c r="L239" s="5" t="s">
        <v>530</v>
      </c>
      <c r="M239" s="8"/>
      <c r="N239" s="8" t="str">
        <f>IF(OR(M239="",E239=""),"",M239+IFERROR(VLOOKUP(E239,リードタイム!$A$2:$D$9,4,FALSE),0))</f>
        <v/>
      </c>
      <c r="O239" s="5" t="s">
        <v>530</v>
      </c>
      <c r="P239" s="5" t="s">
        <v>530</v>
      </c>
      <c r="Q239" s="5" t="s">
        <v>349</v>
      </c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  <c r="FS239" s="30"/>
      <c r="FT239" s="30"/>
      <c r="FU239" s="30"/>
      <c r="FV239" s="30"/>
      <c r="FW239" s="30"/>
      <c r="FX239" s="30"/>
      <c r="FY239" s="30"/>
      <c r="FZ239" s="30"/>
      <c r="GA239" s="30"/>
      <c r="GB239" s="30"/>
      <c r="GC239" s="30"/>
      <c r="GD239" s="30"/>
      <c r="GE239" s="30"/>
      <c r="GF239" s="30"/>
      <c r="GG239" s="30"/>
      <c r="GH239" s="30"/>
      <c r="GI239" s="30"/>
      <c r="GJ239" s="30"/>
      <c r="GK239" s="30"/>
      <c r="GL239" s="30"/>
      <c r="GM239" s="30"/>
      <c r="GN239" s="30"/>
      <c r="GO239" s="30"/>
      <c r="GP239" s="30"/>
      <c r="GQ239" s="30"/>
      <c r="GR239" s="30"/>
      <c r="GS239" s="30"/>
      <c r="GT239" s="30"/>
      <c r="GU239" s="30"/>
      <c r="GV239" s="30"/>
      <c r="GW239" s="30"/>
      <c r="GX239" s="30"/>
      <c r="GY239" s="30"/>
      <c r="GZ239" s="30"/>
      <c r="HA239" s="30"/>
      <c r="HB239" s="30"/>
      <c r="HC239" s="30"/>
      <c r="HD239" s="30"/>
      <c r="HE239" s="30"/>
      <c r="HF239" s="30"/>
      <c r="HG239" s="30"/>
      <c r="HH239" s="30"/>
      <c r="HI239" s="30"/>
      <c r="HJ239" s="30"/>
      <c r="HK239" s="30"/>
      <c r="HL239" s="30"/>
      <c r="HM239" s="30"/>
      <c r="HN239" s="30"/>
      <c r="HO239" s="30"/>
      <c r="HP239" s="30"/>
      <c r="HQ239" s="30"/>
      <c r="HR239" s="30"/>
      <c r="HS239" s="30"/>
      <c r="HT239" s="30"/>
      <c r="HU239" s="30"/>
      <c r="HV239" s="30"/>
      <c r="HW239" s="30"/>
      <c r="HX239" s="30"/>
      <c r="HY239" s="30"/>
      <c r="HZ239" s="30"/>
      <c r="IA239" s="30"/>
      <c r="IB239" s="30"/>
      <c r="IC239" s="30"/>
      <c r="ID239" s="30"/>
      <c r="IE239" s="30"/>
      <c r="IF239" s="30"/>
      <c r="IG239" s="30"/>
      <c r="IH239" s="30"/>
      <c r="II239" s="30"/>
      <c r="IJ239" s="30"/>
      <c r="IK239" s="30"/>
      <c r="IL239" s="30"/>
      <c r="IM239" s="30"/>
      <c r="IN239" s="30"/>
      <c r="IO239" s="30"/>
      <c r="IP239" s="30"/>
      <c r="IQ239" s="30"/>
      <c r="IR239" s="30"/>
      <c r="IS239" s="30"/>
      <c r="IT239" s="30"/>
      <c r="IU239" s="30"/>
      <c r="IV239" s="30"/>
      <c r="IW239" s="30"/>
      <c r="IX239" s="30"/>
      <c r="IY239" s="30"/>
      <c r="IZ239" s="30"/>
      <c r="JA239" s="30"/>
      <c r="JB239" s="30"/>
      <c r="JC239" s="30"/>
      <c r="JD239" s="30"/>
      <c r="JE239" s="30"/>
      <c r="JF239" s="30"/>
      <c r="JG239" s="30"/>
      <c r="JH239" s="30"/>
      <c r="JI239" s="30"/>
      <c r="JJ239" s="30"/>
      <c r="JK239" s="30"/>
      <c r="JL239" s="30"/>
      <c r="JM239" s="30"/>
      <c r="JN239" s="30"/>
      <c r="JO239" s="30"/>
      <c r="JP239" s="30"/>
      <c r="JQ239" s="30"/>
      <c r="JR239" s="30"/>
      <c r="JS239" s="30"/>
      <c r="JT239" s="30"/>
      <c r="JU239" s="30"/>
      <c r="JV239" s="30"/>
      <c r="JW239" s="30"/>
      <c r="JX239" s="30"/>
      <c r="JY239" s="30"/>
      <c r="JZ239" s="30"/>
      <c r="KA239" s="30"/>
      <c r="KB239" s="30"/>
      <c r="KC239" s="30"/>
      <c r="KD239" s="30"/>
      <c r="KE239" s="30"/>
      <c r="KF239" s="30"/>
      <c r="KG239" s="30"/>
      <c r="KH239" s="30"/>
      <c r="KI239" s="30"/>
      <c r="KJ239" s="30"/>
      <c r="KK239" s="30"/>
      <c r="KL239" s="30"/>
      <c r="KM239" s="30"/>
      <c r="KN239" s="30"/>
      <c r="KO239" s="30"/>
      <c r="KP239" s="30"/>
      <c r="KQ239" s="30"/>
      <c r="KR239" s="30"/>
      <c r="KS239" s="30"/>
      <c r="KT239" s="30"/>
      <c r="KU239" s="30"/>
      <c r="KV239" s="30"/>
      <c r="KW239" s="30"/>
      <c r="KX239" s="30"/>
      <c r="KY239" s="30"/>
      <c r="KZ239" s="30"/>
      <c r="LA239" s="30"/>
      <c r="LB239" s="30"/>
      <c r="LC239" s="30"/>
      <c r="LD239" s="30"/>
      <c r="LE239" s="30"/>
      <c r="LF239" s="30"/>
      <c r="LG239" s="30"/>
      <c r="LH239" s="30"/>
      <c r="LI239" s="30"/>
      <c r="LJ239" s="30"/>
      <c r="LK239" s="30"/>
      <c r="LL239" s="30"/>
      <c r="LM239" s="30"/>
      <c r="LN239" s="30"/>
      <c r="LO239" s="30"/>
      <c r="LP239" s="30"/>
      <c r="LQ239" s="30"/>
      <c r="LR239" s="30"/>
      <c r="LS239" s="30"/>
      <c r="LT239" s="30"/>
      <c r="LU239" s="30"/>
      <c r="LV239" s="30"/>
      <c r="LW239" s="30"/>
      <c r="LX239" s="30"/>
      <c r="LY239" s="30"/>
      <c r="LZ239" s="30"/>
      <c r="MA239" s="30"/>
      <c r="MB239" s="30"/>
      <c r="MC239" s="30"/>
      <c r="MD239" s="30"/>
      <c r="ME239" s="30"/>
      <c r="MF239" s="30"/>
      <c r="MG239" s="30"/>
      <c r="MH239" s="30"/>
      <c r="MI239" s="30"/>
      <c r="MJ239" s="30"/>
      <c r="MK239" s="30"/>
      <c r="ML239" s="30"/>
      <c r="MM239" s="30"/>
      <c r="MN239" s="30"/>
      <c r="MO239" s="30"/>
      <c r="MP239" s="30"/>
      <c r="MQ239" s="30"/>
      <c r="MR239" s="30"/>
      <c r="MS239" s="30"/>
      <c r="MT239" s="30"/>
      <c r="MU239" s="30"/>
      <c r="MV239" s="30"/>
      <c r="MW239" s="30"/>
      <c r="MX239" s="30"/>
      <c r="MY239" s="30"/>
      <c r="MZ239" s="30"/>
      <c r="NA239" s="30"/>
      <c r="NB239" s="30"/>
      <c r="NC239" s="30"/>
      <c r="ND239" s="30"/>
      <c r="NE239" s="30"/>
      <c r="NF239" s="30"/>
      <c r="NG239" s="30"/>
      <c r="NH239" s="30"/>
      <c r="NI239" s="30"/>
      <c r="NJ239" s="30"/>
      <c r="NK239" s="30"/>
      <c r="NL239" s="30"/>
      <c r="NM239" s="30"/>
      <c r="NN239" s="30"/>
      <c r="NO239" s="30"/>
      <c r="NP239" s="30"/>
      <c r="NQ239" s="30"/>
      <c r="NR239" s="30"/>
    </row>
    <row r="240" spans="1:382" s="3" customFormat="1" ht="20.100000000000001" customHeight="1" x14ac:dyDescent="0.4">
      <c r="A240" s="29">
        <v>1</v>
      </c>
      <c r="B240" s="5">
        <v>1927</v>
      </c>
      <c r="C240" s="5" t="s">
        <v>350</v>
      </c>
      <c r="D240" s="5" t="s">
        <v>351</v>
      </c>
      <c r="E240" s="5" t="s">
        <v>4</v>
      </c>
      <c r="F240" s="5" t="s">
        <v>32</v>
      </c>
      <c r="G240" s="5" t="s">
        <v>32</v>
      </c>
      <c r="H240" s="5" t="s">
        <v>32</v>
      </c>
      <c r="I240" s="8">
        <v>46047.625</v>
      </c>
      <c r="J240" s="8"/>
      <c r="K240" s="8" t="str">
        <f>IF(OR(J240="",E240=""),"",J240+IFERROR(VLOOKUP(E240,リードタイム!$A$2:$C$9,3,FALSE),0))</f>
        <v/>
      </c>
      <c r="L240" s="5" t="s">
        <v>531</v>
      </c>
      <c r="M240" s="8"/>
      <c r="N240" s="8" t="str">
        <f>IF(OR(M240="",E240=""),"",M240+IFERROR(VLOOKUP(E240,リードタイム!$A$2:$D$9,4,FALSE),0))</f>
        <v/>
      </c>
      <c r="O240" s="5" t="s">
        <v>531</v>
      </c>
      <c r="P240" s="5" t="s">
        <v>533</v>
      </c>
      <c r="Q240" s="5" t="s">
        <v>140</v>
      </c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  <c r="FS240" s="30"/>
      <c r="FT240" s="30"/>
      <c r="FU240" s="30"/>
      <c r="FV240" s="30"/>
      <c r="FW240" s="30"/>
      <c r="FX240" s="30"/>
      <c r="FY240" s="30"/>
      <c r="FZ240" s="30"/>
      <c r="GA240" s="30"/>
      <c r="GB240" s="30"/>
      <c r="GC240" s="30"/>
      <c r="GD240" s="30"/>
      <c r="GE240" s="30"/>
      <c r="GF240" s="30"/>
      <c r="GG240" s="30"/>
      <c r="GH240" s="30"/>
      <c r="GI240" s="30"/>
      <c r="GJ240" s="30"/>
      <c r="GK240" s="30"/>
      <c r="GL240" s="30"/>
      <c r="GM240" s="30"/>
      <c r="GN240" s="30"/>
      <c r="GO240" s="30"/>
      <c r="GP240" s="30"/>
      <c r="GQ240" s="30"/>
      <c r="GR240" s="30"/>
      <c r="GS240" s="30"/>
      <c r="GT240" s="30"/>
      <c r="GU240" s="30"/>
      <c r="GV240" s="30"/>
      <c r="GW240" s="30"/>
      <c r="GX240" s="30"/>
      <c r="GY240" s="30"/>
      <c r="GZ240" s="30"/>
      <c r="HA240" s="30"/>
      <c r="HB240" s="30"/>
      <c r="HC240" s="30"/>
      <c r="HD240" s="30"/>
      <c r="HE240" s="30"/>
      <c r="HF240" s="30"/>
      <c r="HG240" s="30"/>
      <c r="HH240" s="30"/>
      <c r="HI240" s="30"/>
      <c r="HJ240" s="30"/>
      <c r="HK240" s="30"/>
      <c r="HL240" s="30"/>
      <c r="HM240" s="30"/>
      <c r="HN240" s="30"/>
      <c r="HO240" s="30"/>
      <c r="HP240" s="30"/>
      <c r="HQ240" s="30"/>
      <c r="HR240" s="30"/>
      <c r="HS240" s="30"/>
      <c r="HT240" s="30"/>
      <c r="HU240" s="30"/>
      <c r="HV240" s="30"/>
      <c r="HW240" s="30"/>
      <c r="HX240" s="30"/>
      <c r="HY240" s="30"/>
      <c r="HZ240" s="30"/>
      <c r="IA240" s="30"/>
      <c r="IB240" s="30"/>
      <c r="IC240" s="30"/>
      <c r="ID240" s="30"/>
      <c r="IE240" s="30"/>
      <c r="IF240" s="30"/>
      <c r="IG240" s="30"/>
      <c r="IH240" s="30"/>
      <c r="II240" s="30"/>
      <c r="IJ240" s="30"/>
      <c r="IK240" s="30"/>
      <c r="IL240" s="30"/>
      <c r="IM240" s="30"/>
      <c r="IN240" s="30"/>
      <c r="IO240" s="30"/>
      <c r="IP240" s="30"/>
      <c r="IQ240" s="30"/>
      <c r="IR240" s="30"/>
      <c r="IS240" s="30"/>
      <c r="IT240" s="30"/>
      <c r="IU240" s="30"/>
      <c r="IV240" s="30"/>
      <c r="IW240" s="30"/>
      <c r="IX240" s="30"/>
      <c r="IY240" s="30"/>
      <c r="IZ240" s="30"/>
      <c r="JA240" s="30"/>
      <c r="JB240" s="30"/>
      <c r="JC240" s="30"/>
      <c r="JD240" s="30"/>
      <c r="JE240" s="30"/>
      <c r="JF240" s="30"/>
      <c r="JG240" s="30"/>
      <c r="JH240" s="30"/>
      <c r="JI240" s="30"/>
      <c r="JJ240" s="30"/>
      <c r="JK240" s="30"/>
      <c r="JL240" s="30"/>
      <c r="JM240" s="30"/>
      <c r="JN240" s="30"/>
      <c r="JO240" s="30"/>
      <c r="JP240" s="30"/>
      <c r="JQ240" s="30"/>
      <c r="JR240" s="30"/>
      <c r="JS240" s="30"/>
      <c r="JT240" s="30"/>
      <c r="JU240" s="30"/>
      <c r="JV240" s="30"/>
      <c r="JW240" s="30"/>
      <c r="JX240" s="30"/>
      <c r="JY240" s="30"/>
      <c r="JZ240" s="30"/>
      <c r="KA240" s="30"/>
      <c r="KB240" s="30"/>
      <c r="KC240" s="30"/>
      <c r="KD240" s="30"/>
      <c r="KE240" s="30"/>
      <c r="KF240" s="30"/>
      <c r="KG240" s="30"/>
      <c r="KH240" s="30"/>
      <c r="KI240" s="30"/>
      <c r="KJ240" s="30"/>
      <c r="KK240" s="30"/>
      <c r="KL240" s="30"/>
      <c r="KM240" s="30"/>
      <c r="KN240" s="30"/>
      <c r="KO240" s="30"/>
      <c r="KP240" s="30"/>
      <c r="KQ240" s="30"/>
      <c r="KR240" s="30"/>
      <c r="KS240" s="30"/>
      <c r="KT240" s="30"/>
      <c r="KU240" s="30"/>
      <c r="KV240" s="30"/>
      <c r="KW240" s="30"/>
      <c r="KX240" s="30"/>
      <c r="KY240" s="30"/>
      <c r="KZ240" s="30"/>
      <c r="LA240" s="30"/>
      <c r="LB240" s="30"/>
      <c r="LC240" s="30"/>
      <c r="LD240" s="30"/>
      <c r="LE240" s="30"/>
      <c r="LF240" s="30"/>
      <c r="LG240" s="30"/>
      <c r="LH240" s="30"/>
      <c r="LI240" s="30"/>
      <c r="LJ240" s="30"/>
      <c r="LK240" s="30"/>
      <c r="LL240" s="30"/>
      <c r="LM240" s="30"/>
      <c r="LN240" s="30"/>
      <c r="LO240" s="30"/>
      <c r="LP240" s="30"/>
      <c r="LQ240" s="30"/>
      <c r="LR240" s="30"/>
      <c r="LS240" s="30"/>
      <c r="LT240" s="30"/>
      <c r="LU240" s="30"/>
      <c r="LV240" s="30"/>
      <c r="LW240" s="30"/>
      <c r="LX240" s="30"/>
      <c r="LY240" s="30"/>
      <c r="LZ240" s="30"/>
      <c r="MA240" s="30"/>
      <c r="MB240" s="30"/>
      <c r="MC240" s="30"/>
      <c r="MD240" s="30"/>
      <c r="ME240" s="30"/>
      <c r="MF240" s="30"/>
      <c r="MG240" s="30"/>
      <c r="MH240" s="30"/>
      <c r="MI240" s="30"/>
      <c r="MJ240" s="30"/>
      <c r="MK240" s="30"/>
      <c r="ML240" s="30"/>
      <c r="MM240" s="30"/>
      <c r="MN240" s="30"/>
      <c r="MO240" s="30"/>
      <c r="MP240" s="30"/>
      <c r="MQ240" s="30"/>
      <c r="MR240" s="30"/>
      <c r="MS240" s="30"/>
      <c r="MT240" s="30"/>
      <c r="MU240" s="30"/>
      <c r="MV240" s="30"/>
      <c r="MW240" s="30"/>
      <c r="MX240" s="30"/>
      <c r="MY240" s="30"/>
      <c r="MZ240" s="30"/>
      <c r="NA240" s="30"/>
      <c r="NB240" s="30"/>
      <c r="NC240" s="30"/>
      <c r="ND240" s="30"/>
      <c r="NE240" s="30"/>
      <c r="NF240" s="30"/>
      <c r="NG240" s="30"/>
      <c r="NH240" s="30"/>
      <c r="NI240" s="30"/>
      <c r="NJ240" s="30"/>
      <c r="NK240" s="30"/>
      <c r="NL240" s="30"/>
      <c r="NM240" s="30"/>
      <c r="NN240" s="30"/>
      <c r="NO240" s="30"/>
      <c r="NP240" s="30"/>
      <c r="NQ240" s="30"/>
      <c r="NR240" s="30"/>
    </row>
    <row r="241" spans="1:382" s="3" customFormat="1" ht="20.100000000000001" customHeight="1" x14ac:dyDescent="0.4">
      <c r="A241" s="29">
        <v>1</v>
      </c>
      <c r="B241" s="5">
        <v>1972</v>
      </c>
      <c r="C241" s="5" t="s">
        <v>352</v>
      </c>
      <c r="D241" s="5" t="s">
        <v>50</v>
      </c>
      <c r="E241" s="5" t="s">
        <v>4</v>
      </c>
      <c r="F241" s="5" t="s">
        <v>32</v>
      </c>
      <c r="G241" s="5" t="s">
        <v>32</v>
      </c>
      <c r="H241" s="5" t="s">
        <v>32</v>
      </c>
      <c r="I241" s="8"/>
      <c r="J241" s="8"/>
      <c r="K241" s="8" t="str">
        <f>IF(OR(J241="",E241=""),"",J241+IFERROR(VLOOKUP(E241,リードタイム!$A$2:$C$9,3,FALSE),0))</f>
        <v/>
      </c>
      <c r="L241" s="5" t="s">
        <v>530</v>
      </c>
      <c r="M241" s="8"/>
      <c r="N241" s="8" t="str">
        <f>IF(OR(M241="",E241=""),"",M241+IFERROR(VLOOKUP(E241,リードタイム!$A$2:$D$9,4,FALSE),0))</f>
        <v/>
      </c>
      <c r="O241" s="5" t="s">
        <v>530</v>
      </c>
      <c r="P241" s="5" t="s">
        <v>530</v>
      </c>
      <c r="Q241" s="5" t="s">
        <v>353</v>
      </c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  <c r="FS241" s="30"/>
      <c r="FT241" s="30"/>
      <c r="FU241" s="30"/>
      <c r="FV241" s="30"/>
      <c r="FW241" s="30"/>
      <c r="FX241" s="30"/>
      <c r="FY241" s="30"/>
      <c r="FZ241" s="30"/>
      <c r="GA241" s="30"/>
      <c r="GB241" s="30"/>
      <c r="GC241" s="30"/>
      <c r="GD241" s="30"/>
      <c r="GE241" s="30"/>
      <c r="GF241" s="30"/>
      <c r="GG241" s="30"/>
      <c r="GH241" s="30"/>
      <c r="GI241" s="30"/>
      <c r="GJ241" s="30"/>
      <c r="GK241" s="30"/>
      <c r="GL241" s="30"/>
      <c r="GM241" s="30"/>
      <c r="GN241" s="30"/>
      <c r="GO241" s="30"/>
      <c r="GP241" s="30"/>
      <c r="GQ241" s="30"/>
      <c r="GR241" s="30"/>
      <c r="GS241" s="30"/>
      <c r="GT241" s="30"/>
      <c r="GU241" s="30"/>
      <c r="GV241" s="30"/>
      <c r="GW241" s="30"/>
      <c r="GX241" s="30"/>
      <c r="GY241" s="30"/>
      <c r="GZ241" s="30"/>
      <c r="HA241" s="30"/>
      <c r="HB241" s="30"/>
      <c r="HC241" s="30"/>
      <c r="HD241" s="30"/>
      <c r="HE241" s="30"/>
      <c r="HF241" s="30"/>
      <c r="HG241" s="30"/>
      <c r="HH241" s="30"/>
      <c r="HI241" s="30"/>
      <c r="HJ241" s="30"/>
      <c r="HK241" s="30"/>
      <c r="HL241" s="30"/>
      <c r="HM241" s="30"/>
      <c r="HN241" s="30"/>
      <c r="HO241" s="30"/>
      <c r="HP241" s="30"/>
      <c r="HQ241" s="30"/>
      <c r="HR241" s="30"/>
      <c r="HS241" s="30"/>
      <c r="HT241" s="30"/>
      <c r="HU241" s="30"/>
      <c r="HV241" s="30"/>
      <c r="HW241" s="30"/>
      <c r="HX241" s="30"/>
      <c r="HY241" s="30"/>
      <c r="HZ241" s="30"/>
      <c r="IA241" s="30"/>
      <c r="IB241" s="30"/>
      <c r="IC241" s="30"/>
      <c r="ID241" s="30"/>
      <c r="IE241" s="30"/>
      <c r="IF241" s="30"/>
      <c r="IG241" s="30"/>
      <c r="IH241" s="30"/>
      <c r="II241" s="30"/>
      <c r="IJ241" s="30"/>
      <c r="IK241" s="30"/>
      <c r="IL241" s="30"/>
      <c r="IM241" s="30"/>
      <c r="IN241" s="30"/>
      <c r="IO241" s="30"/>
      <c r="IP241" s="30"/>
      <c r="IQ241" s="30"/>
      <c r="IR241" s="30"/>
      <c r="IS241" s="30"/>
      <c r="IT241" s="30"/>
      <c r="IU241" s="30"/>
      <c r="IV241" s="30"/>
      <c r="IW241" s="30"/>
      <c r="IX241" s="30"/>
      <c r="IY241" s="30"/>
      <c r="IZ241" s="30"/>
      <c r="JA241" s="30"/>
      <c r="JB241" s="30"/>
      <c r="JC241" s="30"/>
      <c r="JD241" s="30"/>
      <c r="JE241" s="30"/>
      <c r="JF241" s="30"/>
      <c r="JG241" s="30"/>
      <c r="JH241" s="30"/>
      <c r="JI241" s="30"/>
      <c r="JJ241" s="30"/>
      <c r="JK241" s="30"/>
      <c r="JL241" s="30"/>
      <c r="JM241" s="30"/>
      <c r="JN241" s="30"/>
      <c r="JO241" s="30"/>
      <c r="JP241" s="30"/>
      <c r="JQ241" s="30"/>
      <c r="JR241" s="30"/>
      <c r="JS241" s="30"/>
      <c r="JT241" s="30"/>
      <c r="JU241" s="30"/>
      <c r="JV241" s="30"/>
      <c r="JW241" s="30"/>
      <c r="JX241" s="30"/>
      <c r="JY241" s="30"/>
      <c r="JZ241" s="30"/>
      <c r="KA241" s="30"/>
      <c r="KB241" s="30"/>
      <c r="KC241" s="30"/>
      <c r="KD241" s="30"/>
      <c r="KE241" s="30"/>
      <c r="KF241" s="30"/>
      <c r="KG241" s="30"/>
      <c r="KH241" s="30"/>
      <c r="KI241" s="30"/>
      <c r="KJ241" s="30"/>
      <c r="KK241" s="30"/>
      <c r="KL241" s="30"/>
      <c r="KM241" s="30"/>
      <c r="KN241" s="30"/>
      <c r="KO241" s="30"/>
      <c r="KP241" s="30"/>
      <c r="KQ241" s="30"/>
      <c r="KR241" s="30"/>
      <c r="KS241" s="30"/>
      <c r="KT241" s="30"/>
      <c r="KU241" s="30"/>
      <c r="KV241" s="30"/>
      <c r="KW241" s="30"/>
      <c r="KX241" s="30"/>
      <c r="KY241" s="30"/>
      <c r="KZ241" s="30"/>
      <c r="LA241" s="30"/>
      <c r="LB241" s="30"/>
      <c r="LC241" s="30"/>
      <c r="LD241" s="30"/>
      <c r="LE241" s="30"/>
      <c r="LF241" s="30"/>
      <c r="LG241" s="30"/>
      <c r="LH241" s="30"/>
      <c r="LI241" s="30"/>
      <c r="LJ241" s="30"/>
      <c r="LK241" s="30"/>
      <c r="LL241" s="30"/>
      <c r="LM241" s="30"/>
      <c r="LN241" s="30"/>
      <c r="LO241" s="30"/>
      <c r="LP241" s="30"/>
      <c r="LQ241" s="30"/>
      <c r="LR241" s="30"/>
      <c r="LS241" s="30"/>
      <c r="LT241" s="30"/>
      <c r="LU241" s="30"/>
      <c r="LV241" s="30"/>
      <c r="LW241" s="30"/>
      <c r="LX241" s="30"/>
      <c r="LY241" s="30"/>
      <c r="LZ241" s="30"/>
      <c r="MA241" s="30"/>
      <c r="MB241" s="30"/>
      <c r="MC241" s="30"/>
      <c r="MD241" s="30"/>
      <c r="ME241" s="30"/>
      <c r="MF241" s="30"/>
      <c r="MG241" s="30"/>
      <c r="MH241" s="30"/>
      <c r="MI241" s="30"/>
      <c r="MJ241" s="30"/>
      <c r="MK241" s="30"/>
      <c r="ML241" s="30"/>
      <c r="MM241" s="30"/>
      <c r="MN241" s="30"/>
      <c r="MO241" s="30"/>
      <c r="MP241" s="30"/>
      <c r="MQ241" s="30"/>
      <c r="MR241" s="30"/>
      <c r="MS241" s="30"/>
      <c r="MT241" s="30"/>
      <c r="MU241" s="30"/>
      <c r="MV241" s="30"/>
      <c r="MW241" s="30"/>
      <c r="MX241" s="30"/>
      <c r="MY241" s="30"/>
      <c r="MZ241" s="30"/>
      <c r="NA241" s="30"/>
      <c r="NB241" s="30"/>
      <c r="NC241" s="30"/>
      <c r="ND241" s="30"/>
      <c r="NE241" s="30"/>
      <c r="NF241" s="30"/>
      <c r="NG241" s="30"/>
      <c r="NH241" s="30"/>
      <c r="NI241" s="30"/>
      <c r="NJ241" s="30"/>
      <c r="NK241" s="30"/>
      <c r="NL241" s="30"/>
      <c r="NM241" s="30"/>
      <c r="NN241" s="30"/>
      <c r="NO241" s="30"/>
      <c r="NP241" s="30"/>
      <c r="NQ241" s="30"/>
      <c r="NR241" s="30"/>
    </row>
    <row r="242" spans="1:382" s="3" customFormat="1" ht="20.100000000000001" customHeight="1" x14ac:dyDescent="0.4">
      <c r="A242" s="29">
        <v>1</v>
      </c>
      <c r="B242" s="5">
        <v>1927</v>
      </c>
      <c r="C242" s="5" t="s">
        <v>354</v>
      </c>
      <c r="D242" s="5" t="s">
        <v>355</v>
      </c>
      <c r="E242" s="5" t="s">
        <v>4</v>
      </c>
      <c r="F242" s="5" t="s">
        <v>32</v>
      </c>
      <c r="G242" s="5" t="s">
        <v>32</v>
      </c>
      <c r="H242" s="5" t="s">
        <v>32</v>
      </c>
      <c r="I242" s="8">
        <v>46047.625</v>
      </c>
      <c r="J242" s="8"/>
      <c r="K242" s="8" t="str">
        <f>IF(OR(J242="",E242=""),"",J242+IFERROR(VLOOKUP(E242,リードタイム!$A$2:$C$9,3,FALSE),0))</f>
        <v/>
      </c>
      <c r="L242" s="5" t="s">
        <v>531</v>
      </c>
      <c r="M242" s="8"/>
      <c r="N242" s="8" t="str">
        <f>IF(OR(M242="",E242=""),"",M242+IFERROR(VLOOKUP(E242,リードタイム!$A$2:$D$9,4,FALSE),0))</f>
        <v/>
      </c>
      <c r="O242" s="5" t="s">
        <v>531</v>
      </c>
      <c r="P242" s="5" t="s">
        <v>533</v>
      </c>
      <c r="Q242" s="5" t="s">
        <v>140</v>
      </c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  <c r="FS242" s="30"/>
      <c r="FT242" s="30"/>
      <c r="FU242" s="30"/>
      <c r="FV242" s="30"/>
      <c r="FW242" s="30"/>
      <c r="FX242" s="30"/>
      <c r="FY242" s="30"/>
      <c r="FZ242" s="30"/>
      <c r="GA242" s="30"/>
      <c r="GB242" s="30"/>
      <c r="GC242" s="30"/>
      <c r="GD242" s="30"/>
      <c r="GE242" s="30"/>
      <c r="GF242" s="30"/>
      <c r="GG242" s="30"/>
      <c r="GH242" s="30"/>
      <c r="GI242" s="30"/>
      <c r="GJ242" s="30"/>
      <c r="GK242" s="30"/>
      <c r="GL242" s="30"/>
      <c r="GM242" s="30"/>
      <c r="GN242" s="30"/>
      <c r="GO242" s="30"/>
      <c r="GP242" s="30"/>
      <c r="GQ242" s="30"/>
      <c r="GR242" s="30"/>
      <c r="GS242" s="30"/>
      <c r="GT242" s="30"/>
      <c r="GU242" s="30"/>
      <c r="GV242" s="30"/>
      <c r="GW242" s="30"/>
      <c r="GX242" s="30"/>
      <c r="GY242" s="30"/>
      <c r="GZ242" s="30"/>
      <c r="HA242" s="30"/>
      <c r="HB242" s="30"/>
      <c r="HC242" s="30"/>
      <c r="HD242" s="30"/>
      <c r="HE242" s="30"/>
      <c r="HF242" s="30"/>
      <c r="HG242" s="30"/>
      <c r="HH242" s="30"/>
      <c r="HI242" s="30"/>
      <c r="HJ242" s="30"/>
      <c r="HK242" s="30"/>
      <c r="HL242" s="30"/>
      <c r="HM242" s="30"/>
      <c r="HN242" s="30"/>
      <c r="HO242" s="30"/>
      <c r="HP242" s="30"/>
      <c r="HQ242" s="30"/>
      <c r="HR242" s="30"/>
      <c r="HS242" s="30"/>
      <c r="HT242" s="30"/>
      <c r="HU242" s="30"/>
      <c r="HV242" s="30"/>
      <c r="HW242" s="30"/>
      <c r="HX242" s="30"/>
      <c r="HY242" s="30"/>
      <c r="HZ242" s="30"/>
      <c r="IA242" s="30"/>
      <c r="IB242" s="30"/>
      <c r="IC242" s="30"/>
      <c r="ID242" s="30"/>
      <c r="IE242" s="30"/>
      <c r="IF242" s="30"/>
      <c r="IG242" s="30"/>
      <c r="IH242" s="30"/>
      <c r="II242" s="30"/>
      <c r="IJ242" s="30"/>
      <c r="IK242" s="30"/>
      <c r="IL242" s="30"/>
      <c r="IM242" s="30"/>
      <c r="IN242" s="30"/>
      <c r="IO242" s="30"/>
      <c r="IP242" s="30"/>
      <c r="IQ242" s="30"/>
      <c r="IR242" s="30"/>
      <c r="IS242" s="30"/>
      <c r="IT242" s="30"/>
      <c r="IU242" s="30"/>
      <c r="IV242" s="30"/>
      <c r="IW242" s="30"/>
      <c r="IX242" s="30"/>
      <c r="IY242" s="30"/>
      <c r="IZ242" s="30"/>
      <c r="JA242" s="30"/>
      <c r="JB242" s="30"/>
      <c r="JC242" s="30"/>
      <c r="JD242" s="30"/>
      <c r="JE242" s="30"/>
      <c r="JF242" s="30"/>
      <c r="JG242" s="30"/>
      <c r="JH242" s="30"/>
      <c r="JI242" s="30"/>
      <c r="JJ242" s="30"/>
      <c r="JK242" s="30"/>
      <c r="JL242" s="30"/>
      <c r="JM242" s="30"/>
      <c r="JN242" s="30"/>
      <c r="JO242" s="30"/>
      <c r="JP242" s="30"/>
      <c r="JQ242" s="30"/>
      <c r="JR242" s="30"/>
      <c r="JS242" s="30"/>
      <c r="JT242" s="30"/>
      <c r="JU242" s="30"/>
      <c r="JV242" s="30"/>
      <c r="JW242" s="30"/>
      <c r="JX242" s="30"/>
      <c r="JY242" s="30"/>
      <c r="JZ242" s="30"/>
      <c r="KA242" s="30"/>
      <c r="KB242" s="30"/>
      <c r="KC242" s="30"/>
      <c r="KD242" s="30"/>
      <c r="KE242" s="30"/>
      <c r="KF242" s="30"/>
      <c r="KG242" s="30"/>
      <c r="KH242" s="30"/>
      <c r="KI242" s="30"/>
      <c r="KJ242" s="30"/>
      <c r="KK242" s="30"/>
      <c r="KL242" s="30"/>
      <c r="KM242" s="30"/>
      <c r="KN242" s="30"/>
      <c r="KO242" s="30"/>
      <c r="KP242" s="30"/>
      <c r="KQ242" s="30"/>
      <c r="KR242" s="30"/>
      <c r="KS242" s="30"/>
      <c r="KT242" s="30"/>
      <c r="KU242" s="30"/>
      <c r="KV242" s="30"/>
      <c r="KW242" s="30"/>
      <c r="KX242" s="30"/>
      <c r="KY242" s="30"/>
      <c r="KZ242" s="30"/>
      <c r="LA242" s="30"/>
      <c r="LB242" s="30"/>
      <c r="LC242" s="30"/>
      <c r="LD242" s="30"/>
      <c r="LE242" s="30"/>
      <c r="LF242" s="30"/>
      <c r="LG242" s="30"/>
      <c r="LH242" s="30"/>
      <c r="LI242" s="30"/>
      <c r="LJ242" s="30"/>
      <c r="LK242" s="30"/>
      <c r="LL242" s="30"/>
      <c r="LM242" s="30"/>
      <c r="LN242" s="30"/>
      <c r="LO242" s="30"/>
      <c r="LP242" s="30"/>
      <c r="LQ242" s="30"/>
      <c r="LR242" s="30"/>
      <c r="LS242" s="30"/>
      <c r="LT242" s="30"/>
      <c r="LU242" s="30"/>
      <c r="LV242" s="30"/>
      <c r="LW242" s="30"/>
      <c r="LX242" s="30"/>
      <c r="LY242" s="30"/>
      <c r="LZ242" s="30"/>
      <c r="MA242" s="30"/>
      <c r="MB242" s="30"/>
      <c r="MC242" s="30"/>
      <c r="MD242" s="30"/>
      <c r="ME242" s="30"/>
      <c r="MF242" s="30"/>
      <c r="MG242" s="30"/>
      <c r="MH242" s="30"/>
      <c r="MI242" s="30"/>
      <c r="MJ242" s="30"/>
      <c r="MK242" s="30"/>
      <c r="ML242" s="30"/>
      <c r="MM242" s="30"/>
      <c r="MN242" s="30"/>
      <c r="MO242" s="30"/>
      <c r="MP242" s="30"/>
      <c r="MQ242" s="30"/>
      <c r="MR242" s="30"/>
      <c r="MS242" s="30"/>
      <c r="MT242" s="30"/>
      <c r="MU242" s="30"/>
      <c r="MV242" s="30"/>
      <c r="MW242" s="30"/>
      <c r="MX242" s="30"/>
      <c r="MY242" s="30"/>
      <c r="MZ242" s="30"/>
      <c r="NA242" s="30"/>
      <c r="NB242" s="30"/>
      <c r="NC242" s="30"/>
      <c r="ND242" s="30"/>
      <c r="NE242" s="30"/>
      <c r="NF242" s="30"/>
      <c r="NG242" s="30"/>
      <c r="NH242" s="30"/>
      <c r="NI242" s="30"/>
      <c r="NJ242" s="30"/>
      <c r="NK242" s="30"/>
      <c r="NL242" s="30"/>
      <c r="NM242" s="30"/>
      <c r="NN242" s="30"/>
      <c r="NO242" s="30"/>
      <c r="NP242" s="30"/>
      <c r="NQ242" s="30"/>
      <c r="NR242" s="30"/>
    </row>
    <row r="243" spans="1:382" s="3" customFormat="1" ht="20.100000000000001" customHeight="1" x14ac:dyDescent="0.4">
      <c r="A243" s="29">
        <v>1</v>
      </c>
      <c r="B243" s="5">
        <v>1567</v>
      </c>
      <c r="C243" s="5" t="s">
        <v>356</v>
      </c>
      <c r="D243" s="5" t="s">
        <v>357</v>
      </c>
      <c r="E243" s="5" t="s">
        <v>4</v>
      </c>
      <c r="F243" s="5" t="s">
        <v>32</v>
      </c>
      <c r="G243" s="5" t="s">
        <v>32</v>
      </c>
      <c r="H243" s="5" t="s">
        <v>32</v>
      </c>
      <c r="I243" s="8"/>
      <c r="J243" s="8"/>
      <c r="K243" s="8" t="str">
        <f>IF(OR(J243="",E243=""),"",J243+IFERROR(VLOOKUP(E243,リードタイム!$A$2:$C$9,3,FALSE),0))</f>
        <v/>
      </c>
      <c r="L243" s="5" t="s">
        <v>531</v>
      </c>
      <c r="M243" s="8"/>
      <c r="N243" s="8" t="str">
        <f>IF(OR(M243="",E243=""),"",M243+IFERROR(VLOOKUP(E243,リードタイム!$A$2:$D$9,4,FALSE),0))</f>
        <v/>
      </c>
      <c r="O243" s="5" t="s">
        <v>531</v>
      </c>
      <c r="P243" s="5" t="s">
        <v>533</v>
      </c>
      <c r="Q243" s="5" t="s">
        <v>358</v>
      </c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  <c r="FS243" s="30"/>
      <c r="FT243" s="30"/>
      <c r="FU243" s="30"/>
      <c r="FV243" s="30"/>
      <c r="FW243" s="30"/>
      <c r="FX243" s="30"/>
      <c r="FY243" s="30"/>
      <c r="FZ243" s="30"/>
      <c r="GA243" s="30"/>
      <c r="GB243" s="30"/>
      <c r="GC243" s="30"/>
      <c r="GD243" s="30"/>
      <c r="GE243" s="30"/>
      <c r="GF243" s="30"/>
      <c r="GG243" s="30"/>
      <c r="GH243" s="30"/>
      <c r="GI243" s="30"/>
      <c r="GJ243" s="30"/>
      <c r="GK243" s="30"/>
      <c r="GL243" s="30"/>
      <c r="GM243" s="30"/>
      <c r="GN243" s="30"/>
      <c r="GO243" s="30"/>
      <c r="GP243" s="30"/>
      <c r="GQ243" s="30"/>
      <c r="GR243" s="30"/>
      <c r="GS243" s="30"/>
      <c r="GT243" s="30"/>
      <c r="GU243" s="30"/>
      <c r="GV243" s="30"/>
      <c r="GW243" s="30"/>
      <c r="GX243" s="30"/>
      <c r="GY243" s="30"/>
      <c r="GZ243" s="30"/>
      <c r="HA243" s="30"/>
      <c r="HB243" s="30"/>
      <c r="HC243" s="30"/>
      <c r="HD243" s="30"/>
      <c r="HE243" s="30"/>
      <c r="HF243" s="30"/>
      <c r="HG243" s="30"/>
      <c r="HH243" s="30"/>
      <c r="HI243" s="30"/>
      <c r="HJ243" s="30"/>
      <c r="HK243" s="30"/>
      <c r="HL243" s="30"/>
      <c r="HM243" s="30"/>
      <c r="HN243" s="30"/>
      <c r="HO243" s="30"/>
      <c r="HP243" s="30"/>
      <c r="HQ243" s="30"/>
      <c r="HR243" s="30"/>
      <c r="HS243" s="30"/>
      <c r="HT243" s="30"/>
      <c r="HU243" s="30"/>
      <c r="HV243" s="30"/>
      <c r="HW243" s="30"/>
      <c r="HX243" s="30"/>
      <c r="HY243" s="30"/>
      <c r="HZ243" s="30"/>
      <c r="IA243" s="30"/>
      <c r="IB243" s="30"/>
      <c r="IC243" s="30"/>
      <c r="ID243" s="30"/>
      <c r="IE243" s="30"/>
      <c r="IF243" s="30"/>
      <c r="IG243" s="30"/>
      <c r="IH243" s="30"/>
      <c r="II243" s="30"/>
      <c r="IJ243" s="30"/>
      <c r="IK243" s="30"/>
      <c r="IL243" s="30"/>
      <c r="IM243" s="30"/>
      <c r="IN243" s="30"/>
      <c r="IO243" s="30"/>
      <c r="IP243" s="30"/>
      <c r="IQ243" s="30"/>
      <c r="IR243" s="30"/>
      <c r="IS243" s="30"/>
      <c r="IT243" s="30"/>
      <c r="IU243" s="30"/>
      <c r="IV243" s="30"/>
      <c r="IW243" s="30"/>
      <c r="IX243" s="30"/>
      <c r="IY243" s="30"/>
      <c r="IZ243" s="30"/>
      <c r="JA243" s="30"/>
      <c r="JB243" s="30"/>
      <c r="JC243" s="30"/>
      <c r="JD243" s="30"/>
      <c r="JE243" s="30"/>
      <c r="JF243" s="30"/>
      <c r="JG243" s="30"/>
      <c r="JH243" s="30"/>
      <c r="JI243" s="30"/>
      <c r="JJ243" s="30"/>
      <c r="JK243" s="30"/>
      <c r="JL243" s="30"/>
      <c r="JM243" s="30"/>
      <c r="JN243" s="30"/>
      <c r="JO243" s="30"/>
      <c r="JP243" s="30"/>
      <c r="JQ243" s="30"/>
      <c r="JR243" s="30"/>
      <c r="JS243" s="30"/>
      <c r="JT243" s="30"/>
      <c r="JU243" s="30"/>
      <c r="JV243" s="30"/>
      <c r="JW243" s="30"/>
      <c r="JX243" s="30"/>
      <c r="JY243" s="30"/>
      <c r="JZ243" s="30"/>
      <c r="KA243" s="30"/>
      <c r="KB243" s="30"/>
      <c r="KC243" s="30"/>
      <c r="KD243" s="30"/>
      <c r="KE243" s="30"/>
      <c r="KF243" s="30"/>
      <c r="KG243" s="30"/>
      <c r="KH243" s="30"/>
      <c r="KI243" s="30"/>
      <c r="KJ243" s="30"/>
      <c r="KK243" s="30"/>
      <c r="KL243" s="30"/>
      <c r="KM243" s="30"/>
      <c r="KN243" s="30"/>
      <c r="KO243" s="30"/>
      <c r="KP243" s="30"/>
      <c r="KQ243" s="30"/>
      <c r="KR243" s="30"/>
      <c r="KS243" s="30"/>
      <c r="KT243" s="30"/>
      <c r="KU243" s="30"/>
      <c r="KV243" s="30"/>
      <c r="KW243" s="30"/>
      <c r="KX243" s="30"/>
      <c r="KY243" s="30"/>
      <c r="KZ243" s="30"/>
      <c r="LA243" s="30"/>
      <c r="LB243" s="30"/>
      <c r="LC243" s="30"/>
      <c r="LD243" s="30"/>
      <c r="LE243" s="30"/>
      <c r="LF243" s="30"/>
      <c r="LG243" s="30"/>
      <c r="LH243" s="30"/>
      <c r="LI243" s="30"/>
      <c r="LJ243" s="30"/>
      <c r="LK243" s="30"/>
      <c r="LL243" s="30"/>
      <c r="LM243" s="30"/>
      <c r="LN243" s="30"/>
      <c r="LO243" s="30"/>
      <c r="LP243" s="30"/>
      <c r="LQ243" s="30"/>
      <c r="LR243" s="30"/>
      <c r="LS243" s="30"/>
      <c r="LT243" s="30"/>
      <c r="LU243" s="30"/>
      <c r="LV243" s="30"/>
      <c r="LW243" s="30"/>
      <c r="LX243" s="30"/>
      <c r="LY243" s="30"/>
      <c r="LZ243" s="30"/>
      <c r="MA243" s="30"/>
      <c r="MB243" s="30"/>
      <c r="MC243" s="30"/>
      <c r="MD243" s="30"/>
      <c r="ME243" s="30"/>
      <c r="MF243" s="30"/>
      <c r="MG243" s="30"/>
      <c r="MH243" s="30"/>
      <c r="MI243" s="30"/>
      <c r="MJ243" s="30"/>
      <c r="MK243" s="30"/>
      <c r="ML243" s="30"/>
      <c r="MM243" s="30"/>
      <c r="MN243" s="30"/>
      <c r="MO243" s="30"/>
      <c r="MP243" s="30"/>
      <c r="MQ243" s="30"/>
      <c r="MR243" s="30"/>
      <c r="MS243" s="30"/>
      <c r="MT243" s="30"/>
      <c r="MU243" s="30"/>
      <c r="MV243" s="30"/>
      <c r="MW243" s="30"/>
      <c r="MX243" s="30"/>
      <c r="MY243" s="30"/>
      <c r="MZ243" s="30"/>
      <c r="NA243" s="30"/>
      <c r="NB243" s="30"/>
      <c r="NC243" s="30"/>
      <c r="ND243" s="30"/>
      <c r="NE243" s="30"/>
      <c r="NF243" s="30"/>
      <c r="NG243" s="30"/>
      <c r="NH243" s="30"/>
      <c r="NI243" s="30"/>
      <c r="NJ243" s="30"/>
      <c r="NK243" s="30"/>
      <c r="NL243" s="30"/>
      <c r="NM243" s="30"/>
      <c r="NN243" s="30"/>
      <c r="NO243" s="30"/>
      <c r="NP243" s="30"/>
      <c r="NQ243" s="30"/>
      <c r="NR243" s="30"/>
    </row>
    <row r="244" spans="1:382" s="3" customFormat="1" ht="20.100000000000001" customHeight="1" x14ac:dyDescent="0.4">
      <c r="A244" s="29">
        <v>1</v>
      </c>
      <c r="B244" s="5">
        <v>2005</v>
      </c>
      <c r="C244" s="5" t="s">
        <v>359</v>
      </c>
      <c r="D244" s="5" t="s">
        <v>41</v>
      </c>
      <c r="E244" s="5" t="s">
        <v>6</v>
      </c>
      <c r="F244" s="5" t="s">
        <v>32</v>
      </c>
      <c r="G244" s="5" t="s">
        <v>32</v>
      </c>
      <c r="H244" s="5" t="s">
        <v>32</v>
      </c>
      <c r="I244" s="8">
        <v>46156.625</v>
      </c>
      <c r="J244" s="8"/>
      <c r="K244" s="8" t="str">
        <f>IF(OR(J244="",E244=""),"",J244+IFERROR(VLOOKUP(E244,リードタイム!$A$2:$C$9,3,FALSE),0))</f>
        <v/>
      </c>
      <c r="L244" s="5" t="s">
        <v>531</v>
      </c>
      <c r="M244" s="8"/>
      <c r="N244" s="8" t="str">
        <f>IF(OR(M244="",E244=""),"",M244+IFERROR(VLOOKUP(E244,リードタイム!$A$2:$D$9,4,FALSE),0))</f>
        <v/>
      </c>
      <c r="O244" s="5" t="s">
        <v>531</v>
      </c>
      <c r="P244" s="5" t="s">
        <v>532</v>
      </c>
      <c r="Q244" s="5" t="s">
        <v>32</v>
      </c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  <c r="FS244" s="30"/>
      <c r="FT244" s="30"/>
      <c r="FU244" s="30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30"/>
      <c r="GT244" s="30"/>
      <c r="GU244" s="30"/>
      <c r="GV244" s="30"/>
      <c r="GW244" s="30"/>
      <c r="GX244" s="30"/>
      <c r="GY244" s="30"/>
      <c r="GZ244" s="30"/>
      <c r="HA244" s="30"/>
      <c r="HB244" s="30"/>
      <c r="HC244" s="30"/>
      <c r="HD244" s="30"/>
      <c r="HE244" s="30"/>
      <c r="HF244" s="30"/>
      <c r="HG244" s="30"/>
      <c r="HH244" s="30"/>
      <c r="HI244" s="30"/>
      <c r="HJ244" s="30"/>
      <c r="HK244" s="30"/>
      <c r="HL244" s="30"/>
      <c r="HM244" s="30"/>
      <c r="HN244" s="30"/>
      <c r="HO244" s="30"/>
      <c r="HP244" s="30"/>
      <c r="HQ244" s="30"/>
      <c r="HR244" s="30"/>
      <c r="HS244" s="30"/>
      <c r="HT244" s="30"/>
      <c r="HU244" s="30"/>
      <c r="HV244" s="30"/>
      <c r="HW244" s="30"/>
      <c r="HX244" s="30"/>
      <c r="HY244" s="30"/>
      <c r="HZ244" s="30"/>
      <c r="IA244" s="30"/>
      <c r="IB244" s="30"/>
      <c r="IC244" s="30"/>
      <c r="ID244" s="30"/>
      <c r="IE244" s="30"/>
      <c r="IF244" s="30"/>
      <c r="IG244" s="30"/>
      <c r="IH244" s="30"/>
      <c r="II244" s="30"/>
      <c r="IJ244" s="30"/>
      <c r="IK244" s="30"/>
      <c r="IL244" s="30"/>
      <c r="IM244" s="30"/>
      <c r="IN244" s="30"/>
      <c r="IO244" s="30"/>
      <c r="IP244" s="30"/>
      <c r="IQ244" s="30"/>
      <c r="IR244" s="30"/>
      <c r="IS244" s="30"/>
      <c r="IT244" s="30"/>
      <c r="IU244" s="30"/>
      <c r="IV244" s="30"/>
      <c r="IW244" s="30"/>
      <c r="IX244" s="30"/>
      <c r="IY244" s="30"/>
      <c r="IZ244" s="30"/>
      <c r="JA244" s="30"/>
      <c r="JB244" s="30"/>
      <c r="JC244" s="30"/>
      <c r="JD244" s="30"/>
      <c r="JE244" s="30"/>
      <c r="JF244" s="30"/>
      <c r="JG244" s="30"/>
      <c r="JH244" s="30"/>
      <c r="JI244" s="30"/>
      <c r="JJ244" s="30"/>
      <c r="JK244" s="30"/>
      <c r="JL244" s="30"/>
      <c r="JM244" s="30"/>
      <c r="JN244" s="30"/>
      <c r="JO244" s="30"/>
      <c r="JP244" s="30"/>
      <c r="JQ244" s="30"/>
      <c r="JR244" s="30"/>
      <c r="JS244" s="30"/>
      <c r="JT244" s="30"/>
      <c r="JU244" s="30"/>
      <c r="JV244" s="30"/>
      <c r="JW244" s="30"/>
      <c r="JX244" s="30"/>
      <c r="JY244" s="30"/>
      <c r="JZ244" s="30"/>
      <c r="KA244" s="30"/>
      <c r="KB244" s="30"/>
      <c r="KC244" s="30"/>
      <c r="KD244" s="30"/>
      <c r="KE244" s="30"/>
      <c r="KF244" s="30"/>
      <c r="KG244" s="30"/>
      <c r="KH244" s="30"/>
      <c r="KI244" s="30"/>
      <c r="KJ244" s="30"/>
      <c r="KK244" s="30"/>
      <c r="KL244" s="30"/>
      <c r="KM244" s="30"/>
      <c r="KN244" s="30"/>
      <c r="KO244" s="30"/>
      <c r="KP244" s="30"/>
      <c r="KQ244" s="30"/>
      <c r="KR244" s="30"/>
      <c r="KS244" s="30"/>
      <c r="KT244" s="30"/>
      <c r="KU244" s="30"/>
      <c r="KV244" s="30"/>
      <c r="KW244" s="30"/>
      <c r="KX244" s="30"/>
      <c r="KY244" s="30"/>
      <c r="KZ244" s="30"/>
      <c r="LA244" s="30"/>
      <c r="LB244" s="30"/>
      <c r="LC244" s="30"/>
      <c r="LD244" s="30"/>
      <c r="LE244" s="30"/>
      <c r="LF244" s="30"/>
      <c r="LG244" s="30"/>
      <c r="LH244" s="30"/>
      <c r="LI244" s="30"/>
      <c r="LJ244" s="30"/>
      <c r="LK244" s="30"/>
      <c r="LL244" s="30"/>
      <c r="LM244" s="30"/>
      <c r="LN244" s="30"/>
      <c r="LO244" s="30"/>
      <c r="LP244" s="30"/>
      <c r="LQ244" s="30"/>
      <c r="LR244" s="30"/>
      <c r="LS244" s="30"/>
      <c r="LT244" s="30"/>
      <c r="LU244" s="30"/>
      <c r="LV244" s="30"/>
      <c r="LW244" s="30"/>
      <c r="LX244" s="30"/>
      <c r="LY244" s="30"/>
      <c r="LZ244" s="30"/>
      <c r="MA244" s="30"/>
      <c r="MB244" s="30"/>
      <c r="MC244" s="30"/>
      <c r="MD244" s="30"/>
      <c r="ME244" s="30"/>
      <c r="MF244" s="30"/>
      <c r="MG244" s="30"/>
      <c r="MH244" s="30"/>
      <c r="MI244" s="30"/>
      <c r="MJ244" s="30"/>
      <c r="MK244" s="30"/>
      <c r="ML244" s="30"/>
      <c r="MM244" s="30"/>
      <c r="MN244" s="30"/>
      <c r="MO244" s="30"/>
      <c r="MP244" s="30"/>
      <c r="MQ244" s="30"/>
      <c r="MR244" s="30"/>
      <c r="MS244" s="30"/>
      <c r="MT244" s="30"/>
      <c r="MU244" s="30"/>
      <c r="MV244" s="30"/>
      <c r="MW244" s="30"/>
      <c r="MX244" s="30"/>
      <c r="MY244" s="30"/>
      <c r="MZ244" s="30"/>
      <c r="NA244" s="30"/>
      <c r="NB244" s="30"/>
      <c r="NC244" s="30"/>
      <c r="ND244" s="30"/>
      <c r="NE244" s="30"/>
      <c r="NF244" s="30"/>
      <c r="NG244" s="30"/>
      <c r="NH244" s="30"/>
      <c r="NI244" s="30"/>
      <c r="NJ244" s="30"/>
      <c r="NK244" s="30"/>
      <c r="NL244" s="30"/>
      <c r="NM244" s="30"/>
      <c r="NN244" s="30"/>
      <c r="NO244" s="30"/>
      <c r="NP244" s="30"/>
      <c r="NQ244" s="30"/>
      <c r="NR244" s="30"/>
    </row>
    <row r="245" spans="1:382" s="3" customFormat="1" ht="20.100000000000001" customHeight="1" x14ac:dyDescent="0.4">
      <c r="A245" s="29">
        <v>2</v>
      </c>
      <c r="B245" s="5">
        <v>2006</v>
      </c>
      <c r="C245" s="5" t="s">
        <v>359</v>
      </c>
      <c r="D245" s="5" t="s">
        <v>62</v>
      </c>
      <c r="E245" s="5" t="s">
        <v>8</v>
      </c>
      <c r="F245" s="5" t="s">
        <v>32</v>
      </c>
      <c r="G245" s="5" t="s">
        <v>32</v>
      </c>
      <c r="H245" s="5" t="s">
        <v>32</v>
      </c>
      <c r="I245" s="8">
        <v>46156.625</v>
      </c>
      <c r="J245" s="8"/>
      <c r="K245" s="8" t="str">
        <f>IF(OR(J245="",E245=""),"",J245+IFERROR(VLOOKUP(E245,リードタイム!$A$2:$C$9,3,FALSE),0))</f>
        <v/>
      </c>
      <c r="L245" s="5" t="s">
        <v>531</v>
      </c>
      <c r="M245" s="8"/>
      <c r="N245" s="8" t="str">
        <f>IF(OR(M245="",E245=""),"",M245+IFERROR(VLOOKUP(E245,リードタイム!$A$2:$D$9,4,FALSE),0))</f>
        <v/>
      </c>
      <c r="O245" s="5" t="s">
        <v>531</v>
      </c>
      <c r="P245" s="5" t="s">
        <v>532</v>
      </c>
      <c r="Q245" s="5" t="s">
        <v>32</v>
      </c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  <c r="FS245" s="30"/>
      <c r="FT245" s="30"/>
      <c r="FU245" s="30"/>
      <c r="FV245" s="30"/>
      <c r="FW245" s="30"/>
      <c r="FX245" s="30"/>
      <c r="FY245" s="30"/>
      <c r="FZ245" s="30"/>
      <c r="GA245" s="30"/>
      <c r="GB245" s="30"/>
      <c r="GC245" s="30"/>
      <c r="GD245" s="30"/>
      <c r="GE245" s="30"/>
      <c r="GF245" s="30"/>
      <c r="GG245" s="30"/>
      <c r="GH245" s="30"/>
      <c r="GI245" s="30"/>
      <c r="GJ245" s="30"/>
      <c r="GK245" s="30"/>
      <c r="GL245" s="30"/>
      <c r="GM245" s="30"/>
      <c r="GN245" s="30"/>
      <c r="GO245" s="30"/>
      <c r="GP245" s="30"/>
      <c r="GQ245" s="30"/>
      <c r="GR245" s="30"/>
      <c r="GS245" s="30"/>
      <c r="GT245" s="30"/>
      <c r="GU245" s="30"/>
      <c r="GV245" s="30"/>
      <c r="GW245" s="30"/>
      <c r="GX245" s="30"/>
      <c r="GY245" s="30"/>
      <c r="GZ245" s="30"/>
      <c r="HA245" s="30"/>
      <c r="HB245" s="30"/>
      <c r="HC245" s="30"/>
      <c r="HD245" s="30"/>
      <c r="HE245" s="30"/>
      <c r="HF245" s="30"/>
      <c r="HG245" s="30"/>
      <c r="HH245" s="30"/>
      <c r="HI245" s="30"/>
      <c r="HJ245" s="30"/>
      <c r="HK245" s="30"/>
      <c r="HL245" s="30"/>
      <c r="HM245" s="30"/>
      <c r="HN245" s="30"/>
      <c r="HO245" s="30"/>
      <c r="HP245" s="30"/>
      <c r="HQ245" s="30"/>
      <c r="HR245" s="30"/>
      <c r="HS245" s="30"/>
      <c r="HT245" s="30"/>
      <c r="HU245" s="30"/>
      <c r="HV245" s="30"/>
      <c r="HW245" s="30"/>
      <c r="HX245" s="30"/>
      <c r="HY245" s="30"/>
      <c r="HZ245" s="30"/>
      <c r="IA245" s="30"/>
      <c r="IB245" s="30"/>
      <c r="IC245" s="30"/>
      <c r="ID245" s="30"/>
      <c r="IE245" s="30"/>
      <c r="IF245" s="30"/>
      <c r="IG245" s="30"/>
      <c r="IH245" s="30"/>
      <c r="II245" s="30"/>
      <c r="IJ245" s="30"/>
      <c r="IK245" s="30"/>
      <c r="IL245" s="30"/>
      <c r="IM245" s="30"/>
      <c r="IN245" s="30"/>
      <c r="IO245" s="30"/>
      <c r="IP245" s="30"/>
      <c r="IQ245" s="30"/>
      <c r="IR245" s="30"/>
      <c r="IS245" s="30"/>
      <c r="IT245" s="30"/>
      <c r="IU245" s="30"/>
      <c r="IV245" s="30"/>
      <c r="IW245" s="30"/>
      <c r="IX245" s="30"/>
      <c r="IY245" s="30"/>
      <c r="IZ245" s="30"/>
      <c r="JA245" s="30"/>
      <c r="JB245" s="30"/>
      <c r="JC245" s="30"/>
      <c r="JD245" s="30"/>
      <c r="JE245" s="30"/>
      <c r="JF245" s="30"/>
      <c r="JG245" s="30"/>
      <c r="JH245" s="30"/>
      <c r="JI245" s="30"/>
      <c r="JJ245" s="30"/>
      <c r="JK245" s="30"/>
      <c r="JL245" s="30"/>
      <c r="JM245" s="30"/>
      <c r="JN245" s="30"/>
      <c r="JO245" s="30"/>
      <c r="JP245" s="30"/>
      <c r="JQ245" s="30"/>
      <c r="JR245" s="30"/>
      <c r="JS245" s="30"/>
      <c r="JT245" s="30"/>
      <c r="JU245" s="30"/>
      <c r="JV245" s="30"/>
      <c r="JW245" s="30"/>
      <c r="JX245" s="30"/>
      <c r="JY245" s="30"/>
      <c r="JZ245" s="30"/>
      <c r="KA245" s="30"/>
      <c r="KB245" s="30"/>
      <c r="KC245" s="30"/>
      <c r="KD245" s="30"/>
      <c r="KE245" s="30"/>
      <c r="KF245" s="30"/>
      <c r="KG245" s="30"/>
      <c r="KH245" s="30"/>
      <c r="KI245" s="30"/>
      <c r="KJ245" s="30"/>
      <c r="KK245" s="30"/>
      <c r="KL245" s="30"/>
      <c r="KM245" s="30"/>
      <c r="KN245" s="30"/>
      <c r="KO245" s="30"/>
      <c r="KP245" s="30"/>
      <c r="KQ245" s="30"/>
      <c r="KR245" s="30"/>
      <c r="KS245" s="30"/>
      <c r="KT245" s="30"/>
      <c r="KU245" s="30"/>
      <c r="KV245" s="30"/>
      <c r="KW245" s="30"/>
      <c r="KX245" s="30"/>
      <c r="KY245" s="30"/>
      <c r="KZ245" s="30"/>
      <c r="LA245" s="30"/>
      <c r="LB245" s="30"/>
      <c r="LC245" s="30"/>
      <c r="LD245" s="30"/>
      <c r="LE245" s="30"/>
      <c r="LF245" s="30"/>
      <c r="LG245" s="30"/>
      <c r="LH245" s="30"/>
      <c r="LI245" s="30"/>
      <c r="LJ245" s="30"/>
      <c r="LK245" s="30"/>
      <c r="LL245" s="30"/>
      <c r="LM245" s="30"/>
      <c r="LN245" s="30"/>
      <c r="LO245" s="30"/>
      <c r="LP245" s="30"/>
      <c r="LQ245" s="30"/>
      <c r="LR245" s="30"/>
      <c r="LS245" s="30"/>
      <c r="LT245" s="30"/>
      <c r="LU245" s="30"/>
      <c r="LV245" s="30"/>
      <c r="LW245" s="30"/>
      <c r="LX245" s="30"/>
      <c r="LY245" s="30"/>
      <c r="LZ245" s="30"/>
      <c r="MA245" s="30"/>
      <c r="MB245" s="30"/>
      <c r="MC245" s="30"/>
      <c r="MD245" s="30"/>
      <c r="ME245" s="30"/>
      <c r="MF245" s="30"/>
      <c r="MG245" s="30"/>
      <c r="MH245" s="30"/>
      <c r="MI245" s="30"/>
      <c r="MJ245" s="30"/>
      <c r="MK245" s="30"/>
      <c r="ML245" s="30"/>
      <c r="MM245" s="30"/>
      <c r="MN245" s="30"/>
      <c r="MO245" s="30"/>
      <c r="MP245" s="30"/>
      <c r="MQ245" s="30"/>
      <c r="MR245" s="30"/>
      <c r="MS245" s="30"/>
      <c r="MT245" s="30"/>
      <c r="MU245" s="30"/>
      <c r="MV245" s="30"/>
      <c r="MW245" s="30"/>
      <c r="MX245" s="30"/>
      <c r="MY245" s="30"/>
      <c r="MZ245" s="30"/>
      <c r="NA245" s="30"/>
      <c r="NB245" s="30"/>
      <c r="NC245" s="30"/>
      <c r="ND245" s="30"/>
      <c r="NE245" s="30"/>
      <c r="NF245" s="30"/>
      <c r="NG245" s="30"/>
      <c r="NH245" s="30"/>
      <c r="NI245" s="30"/>
      <c r="NJ245" s="30"/>
      <c r="NK245" s="30"/>
      <c r="NL245" s="30"/>
      <c r="NM245" s="30"/>
      <c r="NN245" s="30"/>
      <c r="NO245" s="30"/>
      <c r="NP245" s="30"/>
      <c r="NQ245" s="30"/>
      <c r="NR245" s="30"/>
    </row>
    <row r="246" spans="1:382" s="3" customFormat="1" ht="20.100000000000001" customHeight="1" x14ac:dyDescent="0.4">
      <c r="A246" s="29">
        <v>3</v>
      </c>
      <c r="B246" s="5" t="s">
        <v>32</v>
      </c>
      <c r="C246" s="5" t="s">
        <v>359</v>
      </c>
      <c r="D246" s="5" t="s">
        <v>41</v>
      </c>
      <c r="E246" s="5" t="s">
        <v>6</v>
      </c>
      <c r="F246" s="5" t="s">
        <v>32</v>
      </c>
      <c r="G246" s="5" t="s">
        <v>32</v>
      </c>
      <c r="H246" s="5" t="s">
        <v>32</v>
      </c>
      <c r="I246" s="8"/>
      <c r="J246" s="8"/>
      <c r="K246" s="8" t="str">
        <f>IF(OR(J246="",E246=""),"",J246+IFERROR(VLOOKUP(E246,リードタイム!$A$2:$C$9,3,FALSE),0))</f>
        <v/>
      </c>
      <c r="L246" s="5" t="s">
        <v>530</v>
      </c>
      <c r="M246" s="8"/>
      <c r="N246" s="8" t="str">
        <f>IF(OR(M246="",E246=""),"",M246+IFERROR(VLOOKUP(E246,リードタイム!$A$2:$D$9,4,FALSE),0))</f>
        <v/>
      </c>
      <c r="O246" s="5" t="s">
        <v>530</v>
      </c>
      <c r="P246" s="5" t="s">
        <v>530</v>
      </c>
      <c r="Q246" s="5" t="s">
        <v>360</v>
      </c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  <c r="FS246" s="30"/>
      <c r="FT246" s="30"/>
      <c r="FU246" s="30"/>
      <c r="FV246" s="30"/>
      <c r="FW246" s="30"/>
      <c r="FX246" s="30"/>
      <c r="FY246" s="30"/>
      <c r="FZ246" s="30"/>
      <c r="GA246" s="30"/>
      <c r="GB246" s="30"/>
      <c r="GC246" s="30"/>
      <c r="GD246" s="30"/>
      <c r="GE246" s="30"/>
      <c r="GF246" s="30"/>
      <c r="GG246" s="30"/>
      <c r="GH246" s="30"/>
      <c r="GI246" s="30"/>
      <c r="GJ246" s="30"/>
      <c r="GK246" s="30"/>
      <c r="GL246" s="30"/>
      <c r="GM246" s="30"/>
      <c r="GN246" s="30"/>
      <c r="GO246" s="30"/>
      <c r="GP246" s="30"/>
      <c r="GQ246" s="30"/>
      <c r="GR246" s="30"/>
      <c r="GS246" s="30"/>
      <c r="GT246" s="30"/>
      <c r="GU246" s="30"/>
      <c r="GV246" s="30"/>
      <c r="GW246" s="30"/>
      <c r="GX246" s="30"/>
      <c r="GY246" s="30"/>
      <c r="GZ246" s="30"/>
      <c r="HA246" s="30"/>
      <c r="HB246" s="30"/>
      <c r="HC246" s="30"/>
      <c r="HD246" s="30"/>
      <c r="HE246" s="30"/>
      <c r="HF246" s="30"/>
      <c r="HG246" s="30"/>
      <c r="HH246" s="30"/>
      <c r="HI246" s="30"/>
      <c r="HJ246" s="30"/>
      <c r="HK246" s="30"/>
      <c r="HL246" s="30"/>
      <c r="HM246" s="30"/>
      <c r="HN246" s="30"/>
      <c r="HO246" s="30"/>
      <c r="HP246" s="30"/>
      <c r="HQ246" s="30"/>
      <c r="HR246" s="30"/>
      <c r="HS246" s="30"/>
      <c r="HT246" s="30"/>
      <c r="HU246" s="30"/>
      <c r="HV246" s="30"/>
      <c r="HW246" s="30"/>
      <c r="HX246" s="30"/>
      <c r="HY246" s="30"/>
      <c r="HZ246" s="30"/>
      <c r="IA246" s="30"/>
      <c r="IB246" s="30"/>
      <c r="IC246" s="30"/>
      <c r="ID246" s="30"/>
      <c r="IE246" s="30"/>
      <c r="IF246" s="30"/>
      <c r="IG246" s="30"/>
      <c r="IH246" s="30"/>
      <c r="II246" s="30"/>
      <c r="IJ246" s="30"/>
      <c r="IK246" s="30"/>
      <c r="IL246" s="30"/>
      <c r="IM246" s="30"/>
      <c r="IN246" s="30"/>
      <c r="IO246" s="30"/>
      <c r="IP246" s="30"/>
      <c r="IQ246" s="30"/>
      <c r="IR246" s="30"/>
      <c r="IS246" s="30"/>
      <c r="IT246" s="30"/>
      <c r="IU246" s="30"/>
      <c r="IV246" s="30"/>
      <c r="IW246" s="30"/>
      <c r="IX246" s="30"/>
      <c r="IY246" s="30"/>
      <c r="IZ246" s="30"/>
      <c r="JA246" s="30"/>
      <c r="JB246" s="30"/>
      <c r="JC246" s="30"/>
      <c r="JD246" s="30"/>
      <c r="JE246" s="30"/>
      <c r="JF246" s="30"/>
      <c r="JG246" s="30"/>
      <c r="JH246" s="30"/>
      <c r="JI246" s="30"/>
      <c r="JJ246" s="30"/>
      <c r="JK246" s="30"/>
      <c r="JL246" s="30"/>
      <c r="JM246" s="30"/>
      <c r="JN246" s="30"/>
      <c r="JO246" s="30"/>
      <c r="JP246" s="30"/>
      <c r="JQ246" s="30"/>
      <c r="JR246" s="30"/>
      <c r="JS246" s="30"/>
      <c r="JT246" s="30"/>
      <c r="JU246" s="30"/>
      <c r="JV246" s="30"/>
      <c r="JW246" s="30"/>
      <c r="JX246" s="30"/>
      <c r="JY246" s="30"/>
      <c r="JZ246" s="30"/>
      <c r="KA246" s="30"/>
      <c r="KB246" s="30"/>
      <c r="KC246" s="30"/>
      <c r="KD246" s="30"/>
      <c r="KE246" s="30"/>
      <c r="KF246" s="30"/>
      <c r="KG246" s="30"/>
      <c r="KH246" s="30"/>
      <c r="KI246" s="30"/>
      <c r="KJ246" s="30"/>
      <c r="KK246" s="30"/>
      <c r="KL246" s="30"/>
      <c r="KM246" s="30"/>
      <c r="KN246" s="30"/>
      <c r="KO246" s="30"/>
      <c r="KP246" s="30"/>
      <c r="KQ246" s="30"/>
      <c r="KR246" s="30"/>
      <c r="KS246" s="30"/>
      <c r="KT246" s="30"/>
      <c r="KU246" s="30"/>
      <c r="KV246" s="30"/>
      <c r="KW246" s="30"/>
      <c r="KX246" s="30"/>
      <c r="KY246" s="30"/>
      <c r="KZ246" s="30"/>
      <c r="LA246" s="30"/>
      <c r="LB246" s="30"/>
      <c r="LC246" s="30"/>
      <c r="LD246" s="30"/>
      <c r="LE246" s="30"/>
      <c r="LF246" s="30"/>
      <c r="LG246" s="30"/>
      <c r="LH246" s="30"/>
      <c r="LI246" s="30"/>
      <c r="LJ246" s="30"/>
      <c r="LK246" s="30"/>
      <c r="LL246" s="30"/>
      <c r="LM246" s="30"/>
      <c r="LN246" s="30"/>
      <c r="LO246" s="30"/>
      <c r="LP246" s="30"/>
      <c r="LQ246" s="30"/>
      <c r="LR246" s="30"/>
      <c r="LS246" s="30"/>
      <c r="LT246" s="30"/>
      <c r="LU246" s="30"/>
      <c r="LV246" s="30"/>
      <c r="LW246" s="30"/>
      <c r="LX246" s="30"/>
      <c r="LY246" s="30"/>
      <c r="LZ246" s="30"/>
      <c r="MA246" s="30"/>
      <c r="MB246" s="30"/>
      <c r="MC246" s="30"/>
      <c r="MD246" s="30"/>
      <c r="ME246" s="30"/>
      <c r="MF246" s="30"/>
      <c r="MG246" s="30"/>
      <c r="MH246" s="30"/>
      <c r="MI246" s="30"/>
      <c r="MJ246" s="30"/>
      <c r="MK246" s="30"/>
      <c r="ML246" s="30"/>
      <c r="MM246" s="30"/>
      <c r="MN246" s="30"/>
      <c r="MO246" s="30"/>
      <c r="MP246" s="30"/>
      <c r="MQ246" s="30"/>
      <c r="MR246" s="30"/>
      <c r="MS246" s="30"/>
      <c r="MT246" s="30"/>
      <c r="MU246" s="30"/>
      <c r="MV246" s="30"/>
      <c r="MW246" s="30"/>
      <c r="MX246" s="30"/>
      <c r="MY246" s="30"/>
      <c r="MZ246" s="30"/>
      <c r="NA246" s="30"/>
      <c r="NB246" s="30"/>
      <c r="NC246" s="30"/>
      <c r="ND246" s="30"/>
      <c r="NE246" s="30"/>
      <c r="NF246" s="30"/>
      <c r="NG246" s="30"/>
      <c r="NH246" s="30"/>
      <c r="NI246" s="30"/>
      <c r="NJ246" s="30"/>
      <c r="NK246" s="30"/>
      <c r="NL246" s="30"/>
      <c r="NM246" s="30"/>
      <c r="NN246" s="30"/>
      <c r="NO246" s="30"/>
      <c r="NP246" s="30"/>
      <c r="NQ246" s="30"/>
      <c r="NR246" s="30"/>
    </row>
    <row r="247" spans="1:382" s="3" customFormat="1" ht="20.100000000000001" customHeight="1" x14ac:dyDescent="0.4">
      <c r="A247" s="29">
        <v>4</v>
      </c>
      <c r="B247" s="5" t="s">
        <v>32</v>
      </c>
      <c r="C247" s="5" t="s">
        <v>359</v>
      </c>
      <c r="D247" s="5" t="s">
        <v>62</v>
      </c>
      <c r="E247" s="5" t="s">
        <v>8</v>
      </c>
      <c r="F247" s="5" t="s">
        <v>32</v>
      </c>
      <c r="G247" s="5" t="s">
        <v>32</v>
      </c>
      <c r="H247" s="5" t="s">
        <v>32</v>
      </c>
      <c r="I247" s="8"/>
      <c r="J247" s="8"/>
      <c r="K247" s="8" t="str">
        <f>IF(OR(J247="",E247=""),"",J247+IFERROR(VLOOKUP(E247,リードタイム!$A$2:$C$9,3,FALSE),0))</f>
        <v/>
      </c>
      <c r="L247" s="5" t="s">
        <v>530</v>
      </c>
      <c r="M247" s="8"/>
      <c r="N247" s="8" t="str">
        <f>IF(OR(M247="",E247=""),"",M247+IFERROR(VLOOKUP(E247,リードタイム!$A$2:$D$9,4,FALSE),0))</f>
        <v/>
      </c>
      <c r="O247" s="5" t="s">
        <v>530</v>
      </c>
      <c r="P247" s="5" t="s">
        <v>530</v>
      </c>
      <c r="Q247" s="5" t="s">
        <v>360</v>
      </c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  <c r="FS247" s="30"/>
      <c r="FT247" s="30"/>
      <c r="FU247" s="30"/>
      <c r="FV247" s="30"/>
      <c r="FW247" s="30"/>
      <c r="FX247" s="30"/>
      <c r="FY247" s="30"/>
      <c r="FZ247" s="30"/>
      <c r="GA247" s="30"/>
      <c r="GB247" s="30"/>
      <c r="GC247" s="30"/>
      <c r="GD247" s="30"/>
      <c r="GE247" s="30"/>
      <c r="GF247" s="30"/>
      <c r="GG247" s="30"/>
      <c r="GH247" s="30"/>
      <c r="GI247" s="30"/>
      <c r="GJ247" s="30"/>
      <c r="GK247" s="30"/>
      <c r="GL247" s="30"/>
      <c r="GM247" s="30"/>
      <c r="GN247" s="30"/>
      <c r="GO247" s="30"/>
      <c r="GP247" s="30"/>
      <c r="GQ247" s="30"/>
      <c r="GR247" s="30"/>
      <c r="GS247" s="30"/>
      <c r="GT247" s="30"/>
      <c r="GU247" s="30"/>
      <c r="GV247" s="30"/>
      <c r="GW247" s="30"/>
      <c r="GX247" s="30"/>
      <c r="GY247" s="30"/>
      <c r="GZ247" s="30"/>
      <c r="HA247" s="30"/>
      <c r="HB247" s="30"/>
      <c r="HC247" s="30"/>
      <c r="HD247" s="30"/>
      <c r="HE247" s="30"/>
      <c r="HF247" s="30"/>
      <c r="HG247" s="30"/>
      <c r="HH247" s="30"/>
      <c r="HI247" s="30"/>
      <c r="HJ247" s="30"/>
      <c r="HK247" s="30"/>
      <c r="HL247" s="30"/>
      <c r="HM247" s="30"/>
      <c r="HN247" s="30"/>
      <c r="HO247" s="30"/>
      <c r="HP247" s="30"/>
      <c r="HQ247" s="30"/>
      <c r="HR247" s="30"/>
      <c r="HS247" s="30"/>
      <c r="HT247" s="30"/>
      <c r="HU247" s="30"/>
      <c r="HV247" s="30"/>
      <c r="HW247" s="30"/>
      <c r="HX247" s="30"/>
      <c r="HY247" s="30"/>
      <c r="HZ247" s="30"/>
      <c r="IA247" s="30"/>
      <c r="IB247" s="30"/>
      <c r="IC247" s="30"/>
      <c r="ID247" s="30"/>
      <c r="IE247" s="30"/>
      <c r="IF247" s="30"/>
      <c r="IG247" s="30"/>
      <c r="IH247" s="30"/>
      <c r="II247" s="30"/>
      <c r="IJ247" s="30"/>
      <c r="IK247" s="30"/>
      <c r="IL247" s="30"/>
      <c r="IM247" s="30"/>
      <c r="IN247" s="30"/>
      <c r="IO247" s="30"/>
      <c r="IP247" s="30"/>
      <c r="IQ247" s="30"/>
      <c r="IR247" s="30"/>
      <c r="IS247" s="30"/>
      <c r="IT247" s="30"/>
      <c r="IU247" s="30"/>
      <c r="IV247" s="30"/>
      <c r="IW247" s="30"/>
      <c r="IX247" s="30"/>
      <c r="IY247" s="30"/>
      <c r="IZ247" s="30"/>
      <c r="JA247" s="30"/>
      <c r="JB247" s="30"/>
      <c r="JC247" s="30"/>
      <c r="JD247" s="30"/>
      <c r="JE247" s="30"/>
      <c r="JF247" s="30"/>
      <c r="JG247" s="30"/>
      <c r="JH247" s="30"/>
      <c r="JI247" s="30"/>
      <c r="JJ247" s="30"/>
      <c r="JK247" s="30"/>
      <c r="JL247" s="30"/>
      <c r="JM247" s="30"/>
      <c r="JN247" s="30"/>
      <c r="JO247" s="30"/>
      <c r="JP247" s="30"/>
      <c r="JQ247" s="30"/>
      <c r="JR247" s="30"/>
      <c r="JS247" s="30"/>
      <c r="JT247" s="30"/>
      <c r="JU247" s="30"/>
      <c r="JV247" s="30"/>
      <c r="JW247" s="30"/>
      <c r="JX247" s="30"/>
      <c r="JY247" s="30"/>
      <c r="JZ247" s="30"/>
      <c r="KA247" s="30"/>
      <c r="KB247" s="30"/>
      <c r="KC247" s="30"/>
      <c r="KD247" s="30"/>
      <c r="KE247" s="30"/>
      <c r="KF247" s="30"/>
      <c r="KG247" s="30"/>
      <c r="KH247" s="30"/>
      <c r="KI247" s="30"/>
      <c r="KJ247" s="30"/>
      <c r="KK247" s="30"/>
      <c r="KL247" s="30"/>
      <c r="KM247" s="30"/>
      <c r="KN247" s="30"/>
      <c r="KO247" s="30"/>
      <c r="KP247" s="30"/>
      <c r="KQ247" s="30"/>
      <c r="KR247" s="30"/>
      <c r="KS247" s="30"/>
      <c r="KT247" s="30"/>
      <c r="KU247" s="30"/>
      <c r="KV247" s="30"/>
      <c r="KW247" s="30"/>
      <c r="KX247" s="30"/>
      <c r="KY247" s="30"/>
      <c r="KZ247" s="30"/>
      <c r="LA247" s="30"/>
      <c r="LB247" s="30"/>
      <c r="LC247" s="30"/>
      <c r="LD247" s="30"/>
      <c r="LE247" s="30"/>
      <c r="LF247" s="30"/>
      <c r="LG247" s="30"/>
      <c r="LH247" s="30"/>
      <c r="LI247" s="30"/>
      <c r="LJ247" s="30"/>
      <c r="LK247" s="30"/>
      <c r="LL247" s="30"/>
      <c r="LM247" s="30"/>
      <c r="LN247" s="30"/>
      <c r="LO247" s="30"/>
      <c r="LP247" s="30"/>
      <c r="LQ247" s="30"/>
      <c r="LR247" s="30"/>
      <c r="LS247" s="30"/>
      <c r="LT247" s="30"/>
      <c r="LU247" s="30"/>
      <c r="LV247" s="30"/>
      <c r="LW247" s="30"/>
      <c r="LX247" s="30"/>
      <c r="LY247" s="30"/>
      <c r="LZ247" s="30"/>
      <c r="MA247" s="30"/>
      <c r="MB247" s="30"/>
      <c r="MC247" s="30"/>
      <c r="MD247" s="30"/>
      <c r="ME247" s="30"/>
      <c r="MF247" s="30"/>
      <c r="MG247" s="30"/>
      <c r="MH247" s="30"/>
      <c r="MI247" s="30"/>
      <c r="MJ247" s="30"/>
      <c r="MK247" s="30"/>
      <c r="ML247" s="30"/>
      <c r="MM247" s="30"/>
      <c r="MN247" s="30"/>
      <c r="MO247" s="30"/>
      <c r="MP247" s="30"/>
      <c r="MQ247" s="30"/>
      <c r="MR247" s="30"/>
      <c r="MS247" s="30"/>
      <c r="MT247" s="30"/>
      <c r="MU247" s="30"/>
      <c r="MV247" s="30"/>
      <c r="MW247" s="30"/>
      <c r="MX247" s="30"/>
      <c r="MY247" s="30"/>
      <c r="MZ247" s="30"/>
      <c r="NA247" s="30"/>
      <c r="NB247" s="30"/>
      <c r="NC247" s="30"/>
      <c r="ND247" s="30"/>
      <c r="NE247" s="30"/>
      <c r="NF247" s="30"/>
      <c r="NG247" s="30"/>
      <c r="NH247" s="30"/>
      <c r="NI247" s="30"/>
      <c r="NJ247" s="30"/>
      <c r="NK247" s="30"/>
      <c r="NL247" s="30"/>
      <c r="NM247" s="30"/>
      <c r="NN247" s="30"/>
      <c r="NO247" s="30"/>
      <c r="NP247" s="30"/>
      <c r="NQ247" s="30"/>
      <c r="NR247" s="30"/>
    </row>
    <row r="248" spans="1:382" s="3" customFormat="1" ht="20.100000000000001" customHeight="1" x14ac:dyDescent="0.4">
      <c r="A248" s="29">
        <v>1</v>
      </c>
      <c r="B248" s="5">
        <v>1927</v>
      </c>
      <c r="C248" s="5" t="s">
        <v>361</v>
      </c>
      <c r="D248" s="5" t="s">
        <v>54</v>
      </c>
      <c r="E248" s="5" t="s">
        <v>4</v>
      </c>
      <c r="F248" s="5" t="s">
        <v>32</v>
      </c>
      <c r="G248" s="5" t="s">
        <v>32</v>
      </c>
      <c r="H248" s="5" t="s">
        <v>32</v>
      </c>
      <c r="I248" s="8"/>
      <c r="J248" s="8"/>
      <c r="K248" s="8" t="str">
        <f>IF(OR(J248="",E248=""),"",J248+IFERROR(VLOOKUP(E248,リードタイム!$A$2:$C$9,3,FALSE),0))</f>
        <v/>
      </c>
      <c r="L248" s="5" t="s">
        <v>531</v>
      </c>
      <c r="M248" s="8"/>
      <c r="N248" s="8" t="str">
        <f>IF(OR(M248="",E248=""),"",M248+IFERROR(VLOOKUP(E248,リードタイム!$A$2:$D$9,4,FALSE),0))</f>
        <v/>
      </c>
      <c r="O248" s="5" t="s">
        <v>531</v>
      </c>
      <c r="P248" s="5" t="s">
        <v>532</v>
      </c>
      <c r="Q248" s="5" t="s">
        <v>32</v>
      </c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  <c r="FS248" s="30"/>
      <c r="FT248" s="30"/>
      <c r="FU248" s="30"/>
      <c r="FV248" s="30"/>
      <c r="FW248" s="30"/>
      <c r="FX248" s="30"/>
      <c r="FY248" s="30"/>
      <c r="FZ248" s="30"/>
      <c r="GA248" s="30"/>
      <c r="GB248" s="30"/>
      <c r="GC248" s="30"/>
      <c r="GD248" s="30"/>
      <c r="GE248" s="30"/>
      <c r="GF248" s="30"/>
      <c r="GG248" s="30"/>
      <c r="GH248" s="30"/>
      <c r="GI248" s="30"/>
      <c r="GJ248" s="30"/>
      <c r="GK248" s="30"/>
      <c r="GL248" s="30"/>
      <c r="GM248" s="30"/>
      <c r="GN248" s="30"/>
      <c r="GO248" s="30"/>
      <c r="GP248" s="30"/>
      <c r="GQ248" s="30"/>
      <c r="GR248" s="30"/>
      <c r="GS248" s="30"/>
      <c r="GT248" s="30"/>
      <c r="GU248" s="30"/>
      <c r="GV248" s="30"/>
      <c r="GW248" s="30"/>
      <c r="GX248" s="30"/>
      <c r="GY248" s="30"/>
      <c r="GZ248" s="30"/>
      <c r="HA248" s="30"/>
      <c r="HB248" s="30"/>
      <c r="HC248" s="30"/>
      <c r="HD248" s="30"/>
      <c r="HE248" s="30"/>
      <c r="HF248" s="30"/>
      <c r="HG248" s="30"/>
      <c r="HH248" s="30"/>
      <c r="HI248" s="30"/>
      <c r="HJ248" s="30"/>
      <c r="HK248" s="30"/>
      <c r="HL248" s="30"/>
      <c r="HM248" s="30"/>
      <c r="HN248" s="30"/>
      <c r="HO248" s="30"/>
      <c r="HP248" s="30"/>
      <c r="HQ248" s="30"/>
      <c r="HR248" s="30"/>
      <c r="HS248" s="30"/>
      <c r="HT248" s="30"/>
      <c r="HU248" s="30"/>
      <c r="HV248" s="30"/>
      <c r="HW248" s="30"/>
      <c r="HX248" s="30"/>
      <c r="HY248" s="30"/>
      <c r="HZ248" s="30"/>
      <c r="IA248" s="30"/>
      <c r="IB248" s="30"/>
      <c r="IC248" s="30"/>
      <c r="ID248" s="30"/>
      <c r="IE248" s="30"/>
      <c r="IF248" s="30"/>
      <c r="IG248" s="30"/>
      <c r="IH248" s="30"/>
      <c r="II248" s="30"/>
      <c r="IJ248" s="30"/>
      <c r="IK248" s="30"/>
      <c r="IL248" s="30"/>
      <c r="IM248" s="30"/>
      <c r="IN248" s="30"/>
      <c r="IO248" s="30"/>
      <c r="IP248" s="30"/>
      <c r="IQ248" s="30"/>
      <c r="IR248" s="30"/>
      <c r="IS248" s="30"/>
      <c r="IT248" s="30"/>
      <c r="IU248" s="30"/>
      <c r="IV248" s="30"/>
      <c r="IW248" s="30"/>
      <c r="IX248" s="30"/>
      <c r="IY248" s="30"/>
      <c r="IZ248" s="30"/>
      <c r="JA248" s="30"/>
      <c r="JB248" s="30"/>
      <c r="JC248" s="30"/>
      <c r="JD248" s="30"/>
      <c r="JE248" s="30"/>
      <c r="JF248" s="30"/>
      <c r="JG248" s="30"/>
      <c r="JH248" s="30"/>
      <c r="JI248" s="30"/>
      <c r="JJ248" s="30"/>
      <c r="JK248" s="30"/>
      <c r="JL248" s="30"/>
      <c r="JM248" s="30"/>
      <c r="JN248" s="30"/>
      <c r="JO248" s="30"/>
      <c r="JP248" s="30"/>
      <c r="JQ248" s="30"/>
      <c r="JR248" s="30"/>
      <c r="JS248" s="30"/>
      <c r="JT248" s="30"/>
      <c r="JU248" s="30"/>
      <c r="JV248" s="30"/>
      <c r="JW248" s="30"/>
      <c r="JX248" s="30"/>
      <c r="JY248" s="30"/>
      <c r="JZ248" s="30"/>
      <c r="KA248" s="30"/>
      <c r="KB248" s="30"/>
      <c r="KC248" s="30"/>
      <c r="KD248" s="30"/>
      <c r="KE248" s="30"/>
      <c r="KF248" s="30"/>
      <c r="KG248" s="30"/>
      <c r="KH248" s="30"/>
      <c r="KI248" s="30"/>
      <c r="KJ248" s="30"/>
      <c r="KK248" s="30"/>
      <c r="KL248" s="30"/>
      <c r="KM248" s="30"/>
      <c r="KN248" s="30"/>
      <c r="KO248" s="30"/>
      <c r="KP248" s="30"/>
      <c r="KQ248" s="30"/>
      <c r="KR248" s="30"/>
      <c r="KS248" s="30"/>
      <c r="KT248" s="30"/>
      <c r="KU248" s="30"/>
      <c r="KV248" s="30"/>
      <c r="KW248" s="30"/>
      <c r="KX248" s="30"/>
      <c r="KY248" s="30"/>
      <c r="KZ248" s="30"/>
      <c r="LA248" s="30"/>
      <c r="LB248" s="30"/>
      <c r="LC248" s="30"/>
      <c r="LD248" s="30"/>
      <c r="LE248" s="30"/>
      <c r="LF248" s="30"/>
      <c r="LG248" s="30"/>
      <c r="LH248" s="30"/>
      <c r="LI248" s="30"/>
      <c r="LJ248" s="30"/>
      <c r="LK248" s="30"/>
      <c r="LL248" s="30"/>
      <c r="LM248" s="30"/>
      <c r="LN248" s="30"/>
      <c r="LO248" s="30"/>
      <c r="LP248" s="30"/>
      <c r="LQ248" s="30"/>
      <c r="LR248" s="30"/>
      <c r="LS248" s="30"/>
      <c r="LT248" s="30"/>
      <c r="LU248" s="30"/>
      <c r="LV248" s="30"/>
      <c r="LW248" s="30"/>
      <c r="LX248" s="30"/>
      <c r="LY248" s="30"/>
      <c r="LZ248" s="30"/>
      <c r="MA248" s="30"/>
      <c r="MB248" s="30"/>
      <c r="MC248" s="30"/>
      <c r="MD248" s="30"/>
      <c r="ME248" s="30"/>
      <c r="MF248" s="30"/>
      <c r="MG248" s="30"/>
      <c r="MH248" s="30"/>
      <c r="MI248" s="30"/>
      <c r="MJ248" s="30"/>
      <c r="MK248" s="30"/>
      <c r="ML248" s="30"/>
      <c r="MM248" s="30"/>
      <c r="MN248" s="30"/>
      <c r="MO248" s="30"/>
      <c r="MP248" s="30"/>
      <c r="MQ248" s="30"/>
      <c r="MR248" s="30"/>
      <c r="MS248" s="30"/>
      <c r="MT248" s="30"/>
      <c r="MU248" s="30"/>
      <c r="MV248" s="30"/>
      <c r="MW248" s="30"/>
      <c r="MX248" s="30"/>
      <c r="MY248" s="30"/>
      <c r="MZ248" s="30"/>
      <c r="NA248" s="30"/>
      <c r="NB248" s="30"/>
      <c r="NC248" s="30"/>
      <c r="ND248" s="30"/>
      <c r="NE248" s="30"/>
      <c r="NF248" s="30"/>
      <c r="NG248" s="30"/>
      <c r="NH248" s="30"/>
      <c r="NI248" s="30"/>
      <c r="NJ248" s="30"/>
      <c r="NK248" s="30"/>
      <c r="NL248" s="30"/>
      <c r="NM248" s="30"/>
      <c r="NN248" s="30"/>
      <c r="NO248" s="30"/>
      <c r="NP248" s="30"/>
      <c r="NQ248" s="30"/>
      <c r="NR248" s="30"/>
    </row>
    <row r="249" spans="1:382" s="3" customFormat="1" ht="20.100000000000001" customHeight="1" x14ac:dyDescent="0.4">
      <c r="A249" s="29">
        <v>1</v>
      </c>
      <c r="B249" s="5">
        <v>771</v>
      </c>
      <c r="C249" s="5" t="s">
        <v>362</v>
      </c>
      <c r="D249" s="5" t="s">
        <v>363</v>
      </c>
      <c r="E249" s="5" t="s">
        <v>14</v>
      </c>
      <c r="F249" s="5" t="s">
        <v>32</v>
      </c>
      <c r="G249" s="5" t="s">
        <v>32</v>
      </c>
      <c r="H249" s="5" t="s">
        <v>32</v>
      </c>
      <c r="I249" s="8"/>
      <c r="J249" s="8"/>
      <c r="K249" s="8" t="str">
        <f>IF(OR(J249="",E249=""),"",J249+IFERROR(VLOOKUP(E249,リードタイム!$A$2:$C$9,3,FALSE),0))</f>
        <v/>
      </c>
      <c r="L249" s="5" t="s">
        <v>530</v>
      </c>
      <c r="M249" s="8"/>
      <c r="N249" s="8" t="str">
        <f>IF(OR(M249="",E249=""),"",M249+IFERROR(VLOOKUP(E249,リードタイム!$A$2:$D$9,4,FALSE),0))</f>
        <v/>
      </c>
      <c r="O249" s="5" t="s">
        <v>530</v>
      </c>
      <c r="P249" s="5" t="s">
        <v>530</v>
      </c>
      <c r="Q249" s="5" t="s">
        <v>32</v>
      </c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  <c r="FS249" s="30"/>
      <c r="FT249" s="30"/>
      <c r="FU249" s="30"/>
      <c r="FV249" s="30"/>
      <c r="FW249" s="30"/>
      <c r="FX249" s="30"/>
      <c r="FY249" s="30"/>
      <c r="FZ249" s="30"/>
      <c r="GA249" s="30"/>
      <c r="GB249" s="30"/>
      <c r="GC249" s="30"/>
      <c r="GD249" s="30"/>
      <c r="GE249" s="30"/>
      <c r="GF249" s="30"/>
      <c r="GG249" s="30"/>
      <c r="GH249" s="30"/>
      <c r="GI249" s="30"/>
      <c r="GJ249" s="30"/>
      <c r="GK249" s="30"/>
      <c r="GL249" s="30"/>
      <c r="GM249" s="30"/>
      <c r="GN249" s="30"/>
      <c r="GO249" s="30"/>
      <c r="GP249" s="30"/>
      <c r="GQ249" s="30"/>
      <c r="GR249" s="30"/>
      <c r="GS249" s="30"/>
      <c r="GT249" s="30"/>
      <c r="GU249" s="30"/>
      <c r="GV249" s="30"/>
      <c r="GW249" s="30"/>
      <c r="GX249" s="30"/>
      <c r="GY249" s="30"/>
      <c r="GZ249" s="30"/>
      <c r="HA249" s="30"/>
      <c r="HB249" s="30"/>
      <c r="HC249" s="30"/>
      <c r="HD249" s="30"/>
      <c r="HE249" s="30"/>
      <c r="HF249" s="30"/>
      <c r="HG249" s="30"/>
      <c r="HH249" s="30"/>
      <c r="HI249" s="30"/>
      <c r="HJ249" s="30"/>
      <c r="HK249" s="30"/>
      <c r="HL249" s="30"/>
      <c r="HM249" s="30"/>
      <c r="HN249" s="30"/>
      <c r="HO249" s="30"/>
      <c r="HP249" s="30"/>
      <c r="HQ249" s="30"/>
      <c r="HR249" s="30"/>
      <c r="HS249" s="30"/>
      <c r="HT249" s="30"/>
      <c r="HU249" s="30"/>
      <c r="HV249" s="30"/>
      <c r="HW249" s="30"/>
      <c r="HX249" s="30"/>
      <c r="HY249" s="30"/>
      <c r="HZ249" s="30"/>
      <c r="IA249" s="30"/>
      <c r="IB249" s="30"/>
      <c r="IC249" s="30"/>
      <c r="ID249" s="30"/>
      <c r="IE249" s="30"/>
      <c r="IF249" s="30"/>
      <c r="IG249" s="30"/>
      <c r="IH249" s="30"/>
      <c r="II249" s="30"/>
      <c r="IJ249" s="30"/>
      <c r="IK249" s="30"/>
      <c r="IL249" s="30"/>
      <c r="IM249" s="30"/>
      <c r="IN249" s="30"/>
      <c r="IO249" s="30"/>
      <c r="IP249" s="30"/>
      <c r="IQ249" s="30"/>
      <c r="IR249" s="30"/>
      <c r="IS249" s="30"/>
      <c r="IT249" s="30"/>
      <c r="IU249" s="30"/>
      <c r="IV249" s="30"/>
      <c r="IW249" s="30"/>
      <c r="IX249" s="30"/>
      <c r="IY249" s="30"/>
      <c r="IZ249" s="30"/>
      <c r="JA249" s="30"/>
      <c r="JB249" s="30"/>
      <c r="JC249" s="30"/>
      <c r="JD249" s="30"/>
      <c r="JE249" s="30"/>
      <c r="JF249" s="30"/>
      <c r="JG249" s="30"/>
      <c r="JH249" s="30"/>
      <c r="JI249" s="30"/>
      <c r="JJ249" s="30"/>
      <c r="JK249" s="30"/>
      <c r="JL249" s="30"/>
      <c r="JM249" s="30"/>
      <c r="JN249" s="30"/>
      <c r="JO249" s="30"/>
      <c r="JP249" s="30"/>
      <c r="JQ249" s="30"/>
      <c r="JR249" s="30"/>
      <c r="JS249" s="30"/>
      <c r="JT249" s="30"/>
      <c r="JU249" s="30"/>
      <c r="JV249" s="30"/>
      <c r="JW249" s="30"/>
      <c r="JX249" s="30"/>
      <c r="JY249" s="30"/>
      <c r="JZ249" s="30"/>
      <c r="KA249" s="30"/>
      <c r="KB249" s="30"/>
      <c r="KC249" s="30"/>
      <c r="KD249" s="30"/>
      <c r="KE249" s="30"/>
      <c r="KF249" s="30"/>
      <c r="KG249" s="30"/>
      <c r="KH249" s="30"/>
      <c r="KI249" s="30"/>
      <c r="KJ249" s="30"/>
      <c r="KK249" s="30"/>
      <c r="KL249" s="30"/>
      <c r="KM249" s="30"/>
      <c r="KN249" s="30"/>
      <c r="KO249" s="30"/>
      <c r="KP249" s="30"/>
      <c r="KQ249" s="30"/>
      <c r="KR249" s="30"/>
      <c r="KS249" s="30"/>
      <c r="KT249" s="30"/>
      <c r="KU249" s="30"/>
      <c r="KV249" s="30"/>
      <c r="KW249" s="30"/>
      <c r="KX249" s="30"/>
      <c r="KY249" s="30"/>
      <c r="KZ249" s="30"/>
      <c r="LA249" s="30"/>
      <c r="LB249" s="30"/>
      <c r="LC249" s="30"/>
      <c r="LD249" s="30"/>
      <c r="LE249" s="30"/>
      <c r="LF249" s="30"/>
      <c r="LG249" s="30"/>
      <c r="LH249" s="30"/>
      <c r="LI249" s="30"/>
      <c r="LJ249" s="30"/>
      <c r="LK249" s="30"/>
      <c r="LL249" s="30"/>
      <c r="LM249" s="30"/>
      <c r="LN249" s="30"/>
      <c r="LO249" s="30"/>
      <c r="LP249" s="30"/>
      <c r="LQ249" s="30"/>
      <c r="LR249" s="30"/>
      <c r="LS249" s="30"/>
      <c r="LT249" s="30"/>
      <c r="LU249" s="30"/>
      <c r="LV249" s="30"/>
      <c r="LW249" s="30"/>
      <c r="LX249" s="30"/>
      <c r="LY249" s="30"/>
      <c r="LZ249" s="30"/>
      <c r="MA249" s="30"/>
      <c r="MB249" s="30"/>
      <c r="MC249" s="30"/>
      <c r="MD249" s="30"/>
      <c r="ME249" s="30"/>
      <c r="MF249" s="30"/>
      <c r="MG249" s="30"/>
      <c r="MH249" s="30"/>
      <c r="MI249" s="30"/>
      <c r="MJ249" s="30"/>
      <c r="MK249" s="30"/>
      <c r="ML249" s="30"/>
      <c r="MM249" s="30"/>
      <c r="MN249" s="30"/>
      <c r="MO249" s="30"/>
      <c r="MP249" s="30"/>
      <c r="MQ249" s="30"/>
      <c r="MR249" s="30"/>
      <c r="MS249" s="30"/>
      <c r="MT249" s="30"/>
      <c r="MU249" s="30"/>
      <c r="MV249" s="30"/>
      <c r="MW249" s="30"/>
      <c r="MX249" s="30"/>
      <c r="MY249" s="30"/>
      <c r="MZ249" s="30"/>
      <c r="NA249" s="30"/>
      <c r="NB249" s="30"/>
      <c r="NC249" s="30"/>
      <c r="ND249" s="30"/>
      <c r="NE249" s="30"/>
      <c r="NF249" s="30"/>
      <c r="NG249" s="30"/>
      <c r="NH249" s="30"/>
      <c r="NI249" s="30"/>
      <c r="NJ249" s="30"/>
      <c r="NK249" s="30"/>
      <c r="NL249" s="30"/>
      <c r="NM249" s="30"/>
      <c r="NN249" s="30"/>
      <c r="NO249" s="30"/>
      <c r="NP249" s="30"/>
      <c r="NQ249" s="30"/>
      <c r="NR249" s="30"/>
    </row>
    <row r="250" spans="1:382" s="3" customFormat="1" ht="20.100000000000001" customHeight="1" x14ac:dyDescent="0.4">
      <c r="A250" s="29">
        <v>1</v>
      </c>
      <c r="B250" s="5">
        <v>1059</v>
      </c>
      <c r="C250" s="5" t="s">
        <v>364</v>
      </c>
      <c r="D250" s="5" t="s">
        <v>365</v>
      </c>
      <c r="E250" s="5" t="s">
        <v>18</v>
      </c>
      <c r="F250" s="5" t="s">
        <v>32</v>
      </c>
      <c r="G250" s="5" t="s">
        <v>32</v>
      </c>
      <c r="H250" s="5" t="s">
        <v>32</v>
      </c>
      <c r="I250" s="8">
        <v>45959.625</v>
      </c>
      <c r="J250" s="8"/>
      <c r="K250" s="8" t="str">
        <f>IF(OR(J250="",E250=""),"",J250+IFERROR(VLOOKUP(E250,リードタイム!$A$2:$C$9,3,FALSE),0))</f>
        <v/>
      </c>
      <c r="L250" s="5" t="s">
        <v>531</v>
      </c>
      <c r="M250" s="8"/>
      <c r="N250" s="8" t="str">
        <f>IF(OR(M250="",E250=""),"",M250+IFERROR(VLOOKUP(E250,リードタイム!$A$2:$D$9,4,FALSE),0))</f>
        <v/>
      </c>
      <c r="O250" s="5" t="s">
        <v>531</v>
      </c>
      <c r="P250" s="5" t="s">
        <v>533</v>
      </c>
      <c r="Q250" s="5" t="s">
        <v>366</v>
      </c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  <c r="FS250" s="30"/>
      <c r="FT250" s="30"/>
      <c r="FU250" s="30"/>
      <c r="FV250" s="30"/>
      <c r="FW250" s="30"/>
      <c r="FX250" s="30"/>
      <c r="FY250" s="30"/>
      <c r="FZ250" s="30"/>
      <c r="GA250" s="30"/>
      <c r="GB250" s="30"/>
      <c r="GC250" s="30"/>
      <c r="GD250" s="30"/>
      <c r="GE250" s="30"/>
      <c r="GF250" s="30"/>
      <c r="GG250" s="30"/>
      <c r="GH250" s="30"/>
      <c r="GI250" s="30"/>
      <c r="GJ250" s="30"/>
      <c r="GK250" s="30"/>
      <c r="GL250" s="30"/>
      <c r="GM250" s="30"/>
      <c r="GN250" s="30"/>
      <c r="GO250" s="30"/>
      <c r="GP250" s="30"/>
      <c r="GQ250" s="30"/>
      <c r="GR250" s="30"/>
      <c r="GS250" s="30"/>
      <c r="GT250" s="30"/>
      <c r="GU250" s="30"/>
      <c r="GV250" s="30"/>
      <c r="GW250" s="30"/>
      <c r="GX250" s="30"/>
      <c r="GY250" s="30"/>
      <c r="GZ250" s="30"/>
      <c r="HA250" s="30"/>
      <c r="HB250" s="30"/>
      <c r="HC250" s="30"/>
      <c r="HD250" s="30"/>
      <c r="HE250" s="30"/>
      <c r="HF250" s="30"/>
      <c r="HG250" s="30"/>
      <c r="HH250" s="30"/>
      <c r="HI250" s="30"/>
      <c r="HJ250" s="30"/>
      <c r="HK250" s="30"/>
      <c r="HL250" s="30"/>
      <c r="HM250" s="30"/>
      <c r="HN250" s="30"/>
      <c r="HO250" s="30"/>
      <c r="HP250" s="30"/>
      <c r="HQ250" s="30"/>
      <c r="HR250" s="30"/>
      <c r="HS250" s="30"/>
      <c r="HT250" s="30"/>
      <c r="HU250" s="30"/>
      <c r="HV250" s="30"/>
      <c r="HW250" s="30"/>
      <c r="HX250" s="30"/>
      <c r="HY250" s="30"/>
      <c r="HZ250" s="30"/>
      <c r="IA250" s="30"/>
      <c r="IB250" s="30"/>
      <c r="IC250" s="30"/>
      <c r="ID250" s="30"/>
      <c r="IE250" s="30"/>
      <c r="IF250" s="30"/>
      <c r="IG250" s="30"/>
      <c r="IH250" s="30"/>
      <c r="II250" s="30"/>
      <c r="IJ250" s="30"/>
      <c r="IK250" s="30"/>
      <c r="IL250" s="30"/>
      <c r="IM250" s="30"/>
      <c r="IN250" s="30"/>
      <c r="IO250" s="30"/>
      <c r="IP250" s="30"/>
      <c r="IQ250" s="30"/>
      <c r="IR250" s="30"/>
      <c r="IS250" s="30"/>
      <c r="IT250" s="30"/>
      <c r="IU250" s="30"/>
      <c r="IV250" s="30"/>
      <c r="IW250" s="30"/>
      <c r="IX250" s="30"/>
      <c r="IY250" s="30"/>
      <c r="IZ250" s="30"/>
      <c r="JA250" s="30"/>
      <c r="JB250" s="30"/>
      <c r="JC250" s="30"/>
      <c r="JD250" s="30"/>
      <c r="JE250" s="30"/>
      <c r="JF250" s="30"/>
      <c r="JG250" s="30"/>
      <c r="JH250" s="30"/>
      <c r="JI250" s="30"/>
      <c r="JJ250" s="30"/>
      <c r="JK250" s="30"/>
      <c r="JL250" s="30"/>
      <c r="JM250" s="30"/>
      <c r="JN250" s="30"/>
      <c r="JO250" s="30"/>
      <c r="JP250" s="30"/>
      <c r="JQ250" s="30"/>
      <c r="JR250" s="30"/>
      <c r="JS250" s="30"/>
      <c r="JT250" s="30"/>
      <c r="JU250" s="30"/>
      <c r="JV250" s="30"/>
      <c r="JW250" s="30"/>
      <c r="JX250" s="30"/>
      <c r="JY250" s="30"/>
      <c r="JZ250" s="30"/>
      <c r="KA250" s="30"/>
      <c r="KB250" s="30"/>
      <c r="KC250" s="30"/>
      <c r="KD250" s="30"/>
      <c r="KE250" s="30"/>
      <c r="KF250" s="30"/>
      <c r="KG250" s="30"/>
      <c r="KH250" s="30"/>
      <c r="KI250" s="30"/>
      <c r="KJ250" s="30"/>
      <c r="KK250" s="30"/>
      <c r="KL250" s="30"/>
      <c r="KM250" s="30"/>
      <c r="KN250" s="30"/>
      <c r="KO250" s="30"/>
      <c r="KP250" s="30"/>
      <c r="KQ250" s="30"/>
      <c r="KR250" s="30"/>
      <c r="KS250" s="30"/>
      <c r="KT250" s="30"/>
      <c r="KU250" s="30"/>
      <c r="KV250" s="30"/>
      <c r="KW250" s="30"/>
      <c r="KX250" s="30"/>
      <c r="KY250" s="30"/>
      <c r="KZ250" s="30"/>
      <c r="LA250" s="30"/>
      <c r="LB250" s="30"/>
      <c r="LC250" s="30"/>
      <c r="LD250" s="30"/>
      <c r="LE250" s="30"/>
      <c r="LF250" s="30"/>
      <c r="LG250" s="30"/>
      <c r="LH250" s="30"/>
      <c r="LI250" s="30"/>
      <c r="LJ250" s="30"/>
      <c r="LK250" s="30"/>
      <c r="LL250" s="30"/>
      <c r="LM250" s="30"/>
      <c r="LN250" s="30"/>
      <c r="LO250" s="30"/>
      <c r="LP250" s="30"/>
      <c r="LQ250" s="30"/>
      <c r="LR250" s="30"/>
      <c r="LS250" s="30"/>
      <c r="LT250" s="30"/>
      <c r="LU250" s="30"/>
      <c r="LV250" s="30"/>
      <c r="LW250" s="30"/>
      <c r="LX250" s="30"/>
      <c r="LY250" s="30"/>
      <c r="LZ250" s="30"/>
      <c r="MA250" s="30"/>
      <c r="MB250" s="30"/>
      <c r="MC250" s="30"/>
      <c r="MD250" s="30"/>
      <c r="ME250" s="30"/>
      <c r="MF250" s="30"/>
      <c r="MG250" s="30"/>
      <c r="MH250" s="30"/>
      <c r="MI250" s="30"/>
      <c r="MJ250" s="30"/>
      <c r="MK250" s="30"/>
      <c r="ML250" s="30"/>
      <c r="MM250" s="30"/>
      <c r="MN250" s="30"/>
      <c r="MO250" s="30"/>
      <c r="MP250" s="30"/>
      <c r="MQ250" s="30"/>
      <c r="MR250" s="30"/>
      <c r="MS250" s="30"/>
      <c r="MT250" s="30"/>
      <c r="MU250" s="30"/>
      <c r="MV250" s="30"/>
      <c r="MW250" s="30"/>
      <c r="MX250" s="30"/>
      <c r="MY250" s="30"/>
      <c r="MZ250" s="30"/>
      <c r="NA250" s="30"/>
      <c r="NB250" s="30"/>
      <c r="NC250" s="30"/>
      <c r="ND250" s="30"/>
      <c r="NE250" s="30"/>
      <c r="NF250" s="30"/>
      <c r="NG250" s="30"/>
      <c r="NH250" s="30"/>
      <c r="NI250" s="30"/>
      <c r="NJ250" s="30"/>
      <c r="NK250" s="30"/>
      <c r="NL250" s="30"/>
      <c r="NM250" s="30"/>
      <c r="NN250" s="30"/>
      <c r="NO250" s="30"/>
      <c r="NP250" s="30"/>
      <c r="NQ250" s="30"/>
      <c r="NR250" s="30"/>
    </row>
    <row r="251" spans="1:382" s="3" customFormat="1" ht="20.100000000000001" customHeight="1" x14ac:dyDescent="0.4">
      <c r="A251" s="29">
        <v>1</v>
      </c>
      <c r="B251" s="5">
        <v>1927</v>
      </c>
      <c r="C251" s="5" t="s">
        <v>367</v>
      </c>
      <c r="D251" s="5" t="s">
        <v>368</v>
      </c>
      <c r="E251" s="5" t="s">
        <v>4</v>
      </c>
      <c r="F251" s="5" t="s">
        <v>32</v>
      </c>
      <c r="G251" s="5" t="s">
        <v>32</v>
      </c>
      <c r="H251" s="5" t="s">
        <v>32</v>
      </c>
      <c r="I251" s="8"/>
      <c r="J251" s="8"/>
      <c r="K251" s="8" t="str">
        <f>IF(OR(J251="",E251=""),"",J251+IFERROR(VLOOKUP(E251,リードタイム!$A$2:$C$9,3,FALSE),0))</f>
        <v/>
      </c>
      <c r="L251" s="5" t="s">
        <v>531</v>
      </c>
      <c r="M251" s="8"/>
      <c r="N251" s="8" t="str">
        <f>IF(OR(M251="",E251=""),"",M251+IFERROR(VLOOKUP(E251,リードタイム!$A$2:$D$9,4,FALSE),0))</f>
        <v/>
      </c>
      <c r="O251" s="5" t="s">
        <v>531</v>
      </c>
      <c r="P251" s="5" t="s">
        <v>533</v>
      </c>
      <c r="Q251" s="5" t="s">
        <v>70</v>
      </c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  <c r="FS251" s="30"/>
      <c r="FT251" s="30"/>
      <c r="FU251" s="30"/>
      <c r="FV251" s="30"/>
      <c r="FW251" s="30"/>
      <c r="FX251" s="30"/>
      <c r="FY251" s="30"/>
      <c r="FZ251" s="30"/>
      <c r="GA251" s="30"/>
      <c r="GB251" s="30"/>
      <c r="GC251" s="30"/>
      <c r="GD251" s="30"/>
      <c r="GE251" s="30"/>
      <c r="GF251" s="30"/>
      <c r="GG251" s="30"/>
      <c r="GH251" s="30"/>
      <c r="GI251" s="30"/>
      <c r="GJ251" s="30"/>
      <c r="GK251" s="30"/>
      <c r="GL251" s="30"/>
      <c r="GM251" s="30"/>
      <c r="GN251" s="30"/>
      <c r="GO251" s="30"/>
      <c r="GP251" s="30"/>
      <c r="GQ251" s="30"/>
      <c r="GR251" s="30"/>
      <c r="GS251" s="30"/>
      <c r="GT251" s="30"/>
      <c r="GU251" s="30"/>
      <c r="GV251" s="30"/>
      <c r="GW251" s="30"/>
      <c r="GX251" s="30"/>
      <c r="GY251" s="30"/>
      <c r="GZ251" s="30"/>
      <c r="HA251" s="30"/>
      <c r="HB251" s="30"/>
      <c r="HC251" s="30"/>
      <c r="HD251" s="30"/>
      <c r="HE251" s="30"/>
      <c r="HF251" s="30"/>
      <c r="HG251" s="30"/>
      <c r="HH251" s="30"/>
      <c r="HI251" s="30"/>
      <c r="HJ251" s="30"/>
      <c r="HK251" s="30"/>
      <c r="HL251" s="30"/>
      <c r="HM251" s="30"/>
      <c r="HN251" s="30"/>
      <c r="HO251" s="30"/>
      <c r="HP251" s="30"/>
      <c r="HQ251" s="30"/>
      <c r="HR251" s="30"/>
      <c r="HS251" s="30"/>
      <c r="HT251" s="30"/>
      <c r="HU251" s="30"/>
      <c r="HV251" s="30"/>
      <c r="HW251" s="30"/>
      <c r="HX251" s="30"/>
      <c r="HY251" s="30"/>
      <c r="HZ251" s="30"/>
      <c r="IA251" s="30"/>
      <c r="IB251" s="30"/>
      <c r="IC251" s="30"/>
      <c r="ID251" s="30"/>
      <c r="IE251" s="30"/>
      <c r="IF251" s="30"/>
      <c r="IG251" s="30"/>
      <c r="IH251" s="30"/>
      <c r="II251" s="30"/>
      <c r="IJ251" s="30"/>
      <c r="IK251" s="30"/>
      <c r="IL251" s="30"/>
      <c r="IM251" s="30"/>
      <c r="IN251" s="30"/>
      <c r="IO251" s="30"/>
      <c r="IP251" s="30"/>
      <c r="IQ251" s="30"/>
      <c r="IR251" s="30"/>
      <c r="IS251" s="30"/>
      <c r="IT251" s="30"/>
      <c r="IU251" s="30"/>
      <c r="IV251" s="30"/>
      <c r="IW251" s="30"/>
      <c r="IX251" s="30"/>
      <c r="IY251" s="30"/>
      <c r="IZ251" s="30"/>
      <c r="JA251" s="30"/>
      <c r="JB251" s="30"/>
      <c r="JC251" s="30"/>
      <c r="JD251" s="30"/>
      <c r="JE251" s="30"/>
      <c r="JF251" s="30"/>
      <c r="JG251" s="30"/>
      <c r="JH251" s="30"/>
      <c r="JI251" s="30"/>
      <c r="JJ251" s="30"/>
      <c r="JK251" s="30"/>
      <c r="JL251" s="30"/>
      <c r="JM251" s="30"/>
      <c r="JN251" s="30"/>
      <c r="JO251" s="30"/>
      <c r="JP251" s="30"/>
      <c r="JQ251" s="30"/>
      <c r="JR251" s="30"/>
      <c r="JS251" s="30"/>
      <c r="JT251" s="30"/>
      <c r="JU251" s="30"/>
      <c r="JV251" s="30"/>
      <c r="JW251" s="30"/>
      <c r="JX251" s="30"/>
      <c r="JY251" s="30"/>
      <c r="JZ251" s="30"/>
      <c r="KA251" s="30"/>
      <c r="KB251" s="30"/>
      <c r="KC251" s="30"/>
      <c r="KD251" s="30"/>
      <c r="KE251" s="30"/>
      <c r="KF251" s="30"/>
      <c r="KG251" s="30"/>
      <c r="KH251" s="30"/>
      <c r="KI251" s="30"/>
      <c r="KJ251" s="30"/>
      <c r="KK251" s="30"/>
      <c r="KL251" s="30"/>
      <c r="KM251" s="30"/>
      <c r="KN251" s="30"/>
      <c r="KO251" s="30"/>
      <c r="KP251" s="30"/>
      <c r="KQ251" s="30"/>
      <c r="KR251" s="30"/>
      <c r="KS251" s="30"/>
      <c r="KT251" s="30"/>
      <c r="KU251" s="30"/>
      <c r="KV251" s="30"/>
      <c r="KW251" s="30"/>
      <c r="KX251" s="30"/>
      <c r="KY251" s="30"/>
      <c r="KZ251" s="30"/>
      <c r="LA251" s="30"/>
      <c r="LB251" s="30"/>
      <c r="LC251" s="30"/>
      <c r="LD251" s="30"/>
      <c r="LE251" s="30"/>
      <c r="LF251" s="30"/>
      <c r="LG251" s="30"/>
      <c r="LH251" s="30"/>
      <c r="LI251" s="30"/>
      <c r="LJ251" s="30"/>
      <c r="LK251" s="30"/>
      <c r="LL251" s="30"/>
      <c r="LM251" s="30"/>
      <c r="LN251" s="30"/>
      <c r="LO251" s="30"/>
      <c r="LP251" s="30"/>
      <c r="LQ251" s="30"/>
      <c r="LR251" s="30"/>
      <c r="LS251" s="30"/>
      <c r="LT251" s="30"/>
      <c r="LU251" s="30"/>
      <c r="LV251" s="30"/>
      <c r="LW251" s="30"/>
      <c r="LX251" s="30"/>
      <c r="LY251" s="30"/>
      <c r="LZ251" s="30"/>
      <c r="MA251" s="30"/>
      <c r="MB251" s="30"/>
      <c r="MC251" s="30"/>
      <c r="MD251" s="30"/>
      <c r="ME251" s="30"/>
      <c r="MF251" s="30"/>
      <c r="MG251" s="30"/>
      <c r="MH251" s="30"/>
      <c r="MI251" s="30"/>
      <c r="MJ251" s="30"/>
      <c r="MK251" s="30"/>
      <c r="ML251" s="30"/>
      <c r="MM251" s="30"/>
      <c r="MN251" s="30"/>
      <c r="MO251" s="30"/>
      <c r="MP251" s="30"/>
      <c r="MQ251" s="30"/>
      <c r="MR251" s="30"/>
      <c r="MS251" s="30"/>
      <c r="MT251" s="30"/>
      <c r="MU251" s="30"/>
      <c r="MV251" s="30"/>
      <c r="MW251" s="30"/>
      <c r="MX251" s="30"/>
      <c r="MY251" s="30"/>
      <c r="MZ251" s="30"/>
      <c r="NA251" s="30"/>
      <c r="NB251" s="30"/>
      <c r="NC251" s="30"/>
      <c r="ND251" s="30"/>
      <c r="NE251" s="30"/>
      <c r="NF251" s="30"/>
      <c r="NG251" s="30"/>
      <c r="NH251" s="30"/>
      <c r="NI251" s="30"/>
      <c r="NJ251" s="30"/>
      <c r="NK251" s="30"/>
      <c r="NL251" s="30"/>
      <c r="NM251" s="30"/>
      <c r="NN251" s="30"/>
      <c r="NO251" s="30"/>
      <c r="NP251" s="30"/>
      <c r="NQ251" s="30"/>
      <c r="NR251" s="30"/>
    </row>
    <row r="252" spans="1:382" s="3" customFormat="1" ht="20.100000000000001" customHeight="1" x14ac:dyDescent="0.4">
      <c r="A252" s="29">
        <v>1</v>
      </c>
      <c r="B252" s="5">
        <v>1927</v>
      </c>
      <c r="C252" s="5" t="s">
        <v>369</v>
      </c>
      <c r="D252" s="5" t="s">
        <v>236</v>
      </c>
      <c r="E252" s="5" t="s">
        <v>4</v>
      </c>
      <c r="F252" s="5" t="s">
        <v>32</v>
      </c>
      <c r="G252" s="5" t="s">
        <v>32</v>
      </c>
      <c r="H252" s="5" t="s">
        <v>32</v>
      </c>
      <c r="I252" s="8"/>
      <c r="J252" s="8"/>
      <c r="K252" s="8" t="str">
        <f>IF(OR(J252="",E252=""),"",J252+IFERROR(VLOOKUP(E252,リードタイム!$A$2:$C$9,3,FALSE),0))</f>
        <v/>
      </c>
      <c r="L252" s="5" t="s">
        <v>531</v>
      </c>
      <c r="M252" s="8"/>
      <c r="N252" s="8" t="str">
        <f>IF(OR(M252="",E252=""),"",M252+IFERROR(VLOOKUP(E252,リードタイム!$A$2:$D$9,4,FALSE),0))</f>
        <v/>
      </c>
      <c r="O252" s="5" t="s">
        <v>531</v>
      </c>
      <c r="P252" s="5" t="s">
        <v>533</v>
      </c>
      <c r="Q252" s="5" t="s">
        <v>370</v>
      </c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  <c r="FS252" s="30"/>
      <c r="FT252" s="30"/>
      <c r="FU252" s="30"/>
      <c r="FV252" s="30"/>
      <c r="FW252" s="30"/>
      <c r="FX252" s="30"/>
      <c r="FY252" s="30"/>
      <c r="FZ252" s="30"/>
      <c r="GA252" s="30"/>
      <c r="GB252" s="30"/>
      <c r="GC252" s="30"/>
      <c r="GD252" s="30"/>
      <c r="GE252" s="30"/>
      <c r="GF252" s="30"/>
      <c r="GG252" s="30"/>
      <c r="GH252" s="30"/>
      <c r="GI252" s="30"/>
      <c r="GJ252" s="30"/>
      <c r="GK252" s="30"/>
      <c r="GL252" s="30"/>
      <c r="GM252" s="30"/>
      <c r="GN252" s="30"/>
      <c r="GO252" s="30"/>
      <c r="GP252" s="30"/>
      <c r="GQ252" s="30"/>
      <c r="GR252" s="30"/>
      <c r="GS252" s="30"/>
      <c r="GT252" s="30"/>
      <c r="GU252" s="30"/>
      <c r="GV252" s="30"/>
      <c r="GW252" s="30"/>
      <c r="GX252" s="30"/>
      <c r="GY252" s="30"/>
      <c r="GZ252" s="30"/>
      <c r="HA252" s="30"/>
      <c r="HB252" s="30"/>
      <c r="HC252" s="30"/>
      <c r="HD252" s="30"/>
      <c r="HE252" s="30"/>
      <c r="HF252" s="30"/>
      <c r="HG252" s="30"/>
      <c r="HH252" s="30"/>
      <c r="HI252" s="30"/>
      <c r="HJ252" s="30"/>
      <c r="HK252" s="30"/>
      <c r="HL252" s="30"/>
      <c r="HM252" s="30"/>
      <c r="HN252" s="30"/>
      <c r="HO252" s="30"/>
      <c r="HP252" s="30"/>
      <c r="HQ252" s="30"/>
      <c r="HR252" s="30"/>
      <c r="HS252" s="30"/>
      <c r="HT252" s="30"/>
      <c r="HU252" s="30"/>
      <c r="HV252" s="30"/>
      <c r="HW252" s="30"/>
      <c r="HX252" s="30"/>
      <c r="HY252" s="30"/>
      <c r="HZ252" s="30"/>
      <c r="IA252" s="30"/>
      <c r="IB252" s="30"/>
      <c r="IC252" s="30"/>
      <c r="ID252" s="30"/>
      <c r="IE252" s="30"/>
      <c r="IF252" s="30"/>
      <c r="IG252" s="30"/>
      <c r="IH252" s="30"/>
      <c r="II252" s="30"/>
      <c r="IJ252" s="30"/>
      <c r="IK252" s="30"/>
      <c r="IL252" s="30"/>
      <c r="IM252" s="30"/>
      <c r="IN252" s="30"/>
      <c r="IO252" s="30"/>
      <c r="IP252" s="30"/>
      <c r="IQ252" s="30"/>
      <c r="IR252" s="30"/>
      <c r="IS252" s="30"/>
      <c r="IT252" s="30"/>
      <c r="IU252" s="30"/>
      <c r="IV252" s="30"/>
      <c r="IW252" s="30"/>
      <c r="IX252" s="30"/>
      <c r="IY252" s="30"/>
      <c r="IZ252" s="30"/>
      <c r="JA252" s="30"/>
      <c r="JB252" s="30"/>
      <c r="JC252" s="30"/>
      <c r="JD252" s="30"/>
      <c r="JE252" s="30"/>
      <c r="JF252" s="30"/>
      <c r="JG252" s="30"/>
      <c r="JH252" s="30"/>
      <c r="JI252" s="30"/>
      <c r="JJ252" s="30"/>
      <c r="JK252" s="30"/>
      <c r="JL252" s="30"/>
      <c r="JM252" s="30"/>
      <c r="JN252" s="30"/>
      <c r="JO252" s="30"/>
      <c r="JP252" s="30"/>
      <c r="JQ252" s="30"/>
      <c r="JR252" s="30"/>
      <c r="JS252" s="30"/>
      <c r="JT252" s="30"/>
      <c r="JU252" s="30"/>
      <c r="JV252" s="30"/>
      <c r="JW252" s="30"/>
      <c r="JX252" s="30"/>
      <c r="JY252" s="30"/>
      <c r="JZ252" s="30"/>
      <c r="KA252" s="30"/>
      <c r="KB252" s="30"/>
      <c r="KC252" s="30"/>
      <c r="KD252" s="30"/>
      <c r="KE252" s="30"/>
      <c r="KF252" s="30"/>
      <c r="KG252" s="30"/>
      <c r="KH252" s="30"/>
      <c r="KI252" s="30"/>
      <c r="KJ252" s="30"/>
      <c r="KK252" s="30"/>
      <c r="KL252" s="30"/>
      <c r="KM252" s="30"/>
      <c r="KN252" s="30"/>
      <c r="KO252" s="30"/>
      <c r="KP252" s="30"/>
      <c r="KQ252" s="30"/>
      <c r="KR252" s="30"/>
      <c r="KS252" s="30"/>
      <c r="KT252" s="30"/>
      <c r="KU252" s="30"/>
      <c r="KV252" s="30"/>
      <c r="KW252" s="30"/>
      <c r="KX252" s="30"/>
      <c r="KY252" s="30"/>
      <c r="KZ252" s="30"/>
      <c r="LA252" s="30"/>
      <c r="LB252" s="30"/>
      <c r="LC252" s="30"/>
      <c r="LD252" s="30"/>
      <c r="LE252" s="30"/>
      <c r="LF252" s="30"/>
      <c r="LG252" s="30"/>
      <c r="LH252" s="30"/>
      <c r="LI252" s="30"/>
      <c r="LJ252" s="30"/>
      <c r="LK252" s="30"/>
      <c r="LL252" s="30"/>
      <c r="LM252" s="30"/>
      <c r="LN252" s="30"/>
      <c r="LO252" s="30"/>
      <c r="LP252" s="30"/>
      <c r="LQ252" s="30"/>
      <c r="LR252" s="30"/>
      <c r="LS252" s="30"/>
      <c r="LT252" s="30"/>
      <c r="LU252" s="30"/>
      <c r="LV252" s="30"/>
      <c r="LW252" s="30"/>
      <c r="LX252" s="30"/>
      <c r="LY252" s="30"/>
      <c r="LZ252" s="30"/>
      <c r="MA252" s="30"/>
      <c r="MB252" s="30"/>
      <c r="MC252" s="30"/>
      <c r="MD252" s="30"/>
      <c r="ME252" s="30"/>
      <c r="MF252" s="30"/>
      <c r="MG252" s="30"/>
      <c r="MH252" s="30"/>
      <c r="MI252" s="30"/>
      <c r="MJ252" s="30"/>
      <c r="MK252" s="30"/>
      <c r="ML252" s="30"/>
      <c r="MM252" s="30"/>
      <c r="MN252" s="30"/>
      <c r="MO252" s="30"/>
      <c r="MP252" s="30"/>
      <c r="MQ252" s="30"/>
      <c r="MR252" s="30"/>
      <c r="MS252" s="30"/>
      <c r="MT252" s="30"/>
      <c r="MU252" s="30"/>
      <c r="MV252" s="30"/>
      <c r="MW252" s="30"/>
      <c r="MX252" s="30"/>
      <c r="MY252" s="30"/>
      <c r="MZ252" s="30"/>
      <c r="NA252" s="30"/>
      <c r="NB252" s="30"/>
      <c r="NC252" s="30"/>
      <c r="ND252" s="30"/>
      <c r="NE252" s="30"/>
      <c r="NF252" s="30"/>
      <c r="NG252" s="30"/>
      <c r="NH252" s="30"/>
      <c r="NI252" s="30"/>
      <c r="NJ252" s="30"/>
      <c r="NK252" s="30"/>
      <c r="NL252" s="30"/>
      <c r="NM252" s="30"/>
      <c r="NN252" s="30"/>
      <c r="NO252" s="30"/>
      <c r="NP252" s="30"/>
      <c r="NQ252" s="30"/>
      <c r="NR252" s="30"/>
    </row>
    <row r="253" spans="1:382" s="3" customFormat="1" ht="20.100000000000001" customHeight="1" x14ac:dyDescent="0.4">
      <c r="A253" s="29">
        <v>1</v>
      </c>
      <c r="B253" s="5">
        <v>1927</v>
      </c>
      <c r="C253" s="5" t="s">
        <v>371</v>
      </c>
      <c r="D253" s="5" t="s">
        <v>88</v>
      </c>
      <c r="E253" s="5" t="s">
        <v>4</v>
      </c>
      <c r="F253" s="5" t="s">
        <v>32</v>
      </c>
      <c r="G253" s="5" t="s">
        <v>32</v>
      </c>
      <c r="H253" s="5" t="s">
        <v>32</v>
      </c>
      <c r="I253" s="8"/>
      <c r="J253" s="8"/>
      <c r="K253" s="8" t="str">
        <f>IF(OR(J253="",E253=""),"",J253+IFERROR(VLOOKUP(E253,リードタイム!$A$2:$C$9,3,FALSE),0))</f>
        <v/>
      </c>
      <c r="L253" s="5" t="s">
        <v>531</v>
      </c>
      <c r="M253" s="8"/>
      <c r="N253" s="8" t="str">
        <f>IF(OR(M253="",E253=""),"",M253+IFERROR(VLOOKUP(E253,リードタイム!$A$2:$D$9,4,FALSE),0))</f>
        <v/>
      </c>
      <c r="O253" s="5" t="s">
        <v>531</v>
      </c>
      <c r="P253" s="5" t="s">
        <v>533</v>
      </c>
      <c r="Q253" s="5" t="s">
        <v>70</v>
      </c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  <c r="FS253" s="30"/>
      <c r="FT253" s="30"/>
      <c r="FU253" s="30"/>
      <c r="FV253" s="30"/>
      <c r="FW253" s="30"/>
      <c r="FX253" s="30"/>
      <c r="FY253" s="30"/>
      <c r="FZ253" s="30"/>
      <c r="GA253" s="30"/>
      <c r="GB253" s="30"/>
      <c r="GC253" s="30"/>
      <c r="GD253" s="30"/>
      <c r="GE253" s="30"/>
      <c r="GF253" s="30"/>
      <c r="GG253" s="30"/>
      <c r="GH253" s="30"/>
      <c r="GI253" s="30"/>
      <c r="GJ253" s="30"/>
      <c r="GK253" s="30"/>
      <c r="GL253" s="30"/>
      <c r="GM253" s="30"/>
      <c r="GN253" s="30"/>
      <c r="GO253" s="30"/>
      <c r="GP253" s="30"/>
      <c r="GQ253" s="30"/>
      <c r="GR253" s="30"/>
      <c r="GS253" s="30"/>
      <c r="GT253" s="30"/>
      <c r="GU253" s="30"/>
      <c r="GV253" s="30"/>
      <c r="GW253" s="30"/>
      <c r="GX253" s="30"/>
      <c r="GY253" s="30"/>
      <c r="GZ253" s="30"/>
      <c r="HA253" s="30"/>
      <c r="HB253" s="30"/>
      <c r="HC253" s="30"/>
      <c r="HD253" s="30"/>
      <c r="HE253" s="30"/>
      <c r="HF253" s="30"/>
      <c r="HG253" s="30"/>
      <c r="HH253" s="30"/>
      <c r="HI253" s="30"/>
      <c r="HJ253" s="30"/>
      <c r="HK253" s="30"/>
      <c r="HL253" s="30"/>
      <c r="HM253" s="30"/>
      <c r="HN253" s="30"/>
      <c r="HO253" s="30"/>
      <c r="HP253" s="30"/>
      <c r="HQ253" s="30"/>
      <c r="HR253" s="30"/>
      <c r="HS253" s="30"/>
      <c r="HT253" s="30"/>
      <c r="HU253" s="30"/>
      <c r="HV253" s="30"/>
      <c r="HW253" s="30"/>
      <c r="HX253" s="30"/>
      <c r="HY253" s="30"/>
      <c r="HZ253" s="30"/>
      <c r="IA253" s="30"/>
      <c r="IB253" s="30"/>
      <c r="IC253" s="30"/>
      <c r="ID253" s="30"/>
      <c r="IE253" s="30"/>
      <c r="IF253" s="30"/>
      <c r="IG253" s="30"/>
      <c r="IH253" s="30"/>
      <c r="II253" s="30"/>
      <c r="IJ253" s="30"/>
      <c r="IK253" s="30"/>
      <c r="IL253" s="30"/>
      <c r="IM253" s="30"/>
      <c r="IN253" s="30"/>
      <c r="IO253" s="30"/>
      <c r="IP253" s="30"/>
      <c r="IQ253" s="30"/>
      <c r="IR253" s="30"/>
      <c r="IS253" s="30"/>
      <c r="IT253" s="30"/>
      <c r="IU253" s="30"/>
      <c r="IV253" s="30"/>
      <c r="IW253" s="30"/>
      <c r="IX253" s="30"/>
      <c r="IY253" s="30"/>
      <c r="IZ253" s="30"/>
      <c r="JA253" s="30"/>
      <c r="JB253" s="30"/>
      <c r="JC253" s="30"/>
      <c r="JD253" s="30"/>
      <c r="JE253" s="30"/>
      <c r="JF253" s="30"/>
      <c r="JG253" s="30"/>
      <c r="JH253" s="30"/>
      <c r="JI253" s="30"/>
      <c r="JJ253" s="30"/>
      <c r="JK253" s="30"/>
      <c r="JL253" s="30"/>
      <c r="JM253" s="30"/>
      <c r="JN253" s="30"/>
      <c r="JO253" s="30"/>
      <c r="JP253" s="30"/>
      <c r="JQ253" s="30"/>
      <c r="JR253" s="30"/>
      <c r="JS253" s="30"/>
      <c r="JT253" s="30"/>
      <c r="JU253" s="30"/>
      <c r="JV253" s="30"/>
      <c r="JW253" s="30"/>
      <c r="JX253" s="30"/>
      <c r="JY253" s="30"/>
      <c r="JZ253" s="30"/>
      <c r="KA253" s="30"/>
      <c r="KB253" s="30"/>
      <c r="KC253" s="30"/>
      <c r="KD253" s="30"/>
      <c r="KE253" s="30"/>
      <c r="KF253" s="30"/>
      <c r="KG253" s="30"/>
      <c r="KH253" s="30"/>
      <c r="KI253" s="30"/>
      <c r="KJ253" s="30"/>
      <c r="KK253" s="30"/>
      <c r="KL253" s="30"/>
      <c r="KM253" s="30"/>
      <c r="KN253" s="30"/>
      <c r="KO253" s="30"/>
      <c r="KP253" s="30"/>
      <c r="KQ253" s="30"/>
      <c r="KR253" s="30"/>
      <c r="KS253" s="30"/>
      <c r="KT253" s="30"/>
      <c r="KU253" s="30"/>
      <c r="KV253" s="30"/>
      <c r="KW253" s="30"/>
      <c r="KX253" s="30"/>
      <c r="KY253" s="30"/>
      <c r="KZ253" s="30"/>
      <c r="LA253" s="30"/>
      <c r="LB253" s="30"/>
      <c r="LC253" s="30"/>
      <c r="LD253" s="30"/>
      <c r="LE253" s="30"/>
      <c r="LF253" s="30"/>
      <c r="LG253" s="30"/>
      <c r="LH253" s="30"/>
      <c r="LI253" s="30"/>
      <c r="LJ253" s="30"/>
      <c r="LK253" s="30"/>
      <c r="LL253" s="30"/>
      <c r="LM253" s="30"/>
      <c r="LN253" s="30"/>
      <c r="LO253" s="30"/>
      <c r="LP253" s="30"/>
      <c r="LQ253" s="30"/>
      <c r="LR253" s="30"/>
      <c r="LS253" s="30"/>
      <c r="LT253" s="30"/>
      <c r="LU253" s="30"/>
      <c r="LV253" s="30"/>
      <c r="LW253" s="30"/>
      <c r="LX253" s="30"/>
      <c r="LY253" s="30"/>
      <c r="LZ253" s="30"/>
      <c r="MA253" s="30"/>
      <c r="MB253" s="30"/>
      <c r="MC253" s="30"/>
      <c r="MD253" s="30"/>
      <c r="ME253" s="30"/>
      <c r="MF253" s="30"/>
      <c r="MG253" s="30"/>
      <c r="MH253" s="30"/>
      <c r="MI253" s="30"/>
      <c r="MJ253" s="30"/>
      <c r="MK253" s="30"/>
      <c r="ML253" s="30"/>
      <c r="MM253" s="30"/>
      <c r="MN253" s="30"/>
      <c r="MO253" s="30"/>
      <c r="MP253" s="30"/>
      <c r="MQ253" s="30"/>
      <c r="MR253" s="30"/>
      <c r="MS253" s="30"/>
      <c r="MT253" s="30"/>
      <c r="MU253" s="30"/>
      <c r="MV253" s="30"/>
      <c r="MW253" s="30"/>
      <c r="MX253" s="30"/>
      <c r="MY253" s="30"/>
      <c r="MZ253" s="30"/>
      <c r="NA253" s="30"/>
      <c r="NB253" s="30"/>
      <c r="NC253" s="30"/>
      <c r="ND253" s="30"/>
      <c r="NE253" s="30"/>
      <c r="NF253" s="30"/>
      <c r="NG253" s="30"/>
      <c r="NH253" s="30"/>
      <c r="NI253" s="30"/>
      <c r="NJ253" s="30"/>
      <c r="NK253" s="30"/>
      <c r="NL253" s="30"/>
      <c r="NM253" s="30"/>
      <c r="NN253" s="30"/>
      <c r="NO253" s="30"/>
      <c r="NP253" s="30"/>
      <c r="NQ253" s="30"/>
      <c r="NR253" s="30"/>
    </row>
    <row r="254" spans="1:382" s="3" customFormat="1" ht="20.100000000000001" customHeight="1" x14ac:dyDescent="0.4">
      <c r="A254" s="29">
        <v>1</v>
      </c>
      <c r="B254" s="5">
        <v>1927</v>
      </c>
      <c r="C254" s="5" t="s">
        <v>372</v>
      </c>
      <c r="D254" s="5" t="s">
        <v>88</v>
      </c>
      <c r="E254" s="5" t="s">
        <v>4</v>
      </c>
      <c r="F254" s="5" t="s">
        <v>32</v>
      </c>
      <c r="G254" s="5" t="s">
        <v>32</v>
      </c>
      <c r="H254" s="5" t="s">
        <v>32</v>
      </c>
      <c r="I254" s="8"/>
      <c r="J254" s="8"/>
      <c r="K254" s="8" t="str">
        <f>IF(OR(J254="",E254=""),"",J254+IFERROR(VLOOKUP(E254,リードタイム!$A$2:$C$9,3,FALSE),0))</f>
        <v/>
      </c>
      <c r="L254" s="5" t="s">
        <v>531</v>
      </c>
      <c r="M254" s="8"/>
      <c r="N254" s="8" t="str">
        <f>IF(OR(M254="",E254=""),"",M254+IFERROR(VLOOKUP(E254,リードタイム!$A$2:$D$9,4,FALSE),0))</f>
        <v/>
      </c>
      <c r="O254" s="5" t="s">
        <v>531</v>
      </c>
      <c r="P254" s="5" t="s">
        <v>533</v>
      </c>
      <c r="Q254" s="5" t="s">
        <v>70</v>
      </c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  <c r="FS254" s="30"/>
      <c r="FT254" s="30"/>
      <c r="FU254" s="30"/>
      <c r="FV254" s="30"/>
      <c r="FW254" s="30"/>
      <c r="FX254" s="30"/>
      <c r="FY254" s="30"/>
      <c r="FZ254" s="30"/>
      <c r="GA254" s="30"/>
      <c r="GB254" s="30"/>
      <c r="GC254" s="30"/>
      <c r="GD254" s="30"/>
      <c r="GE254" s="30"/>
      <c r="GF254" s="30"/>
      <c r="GG254" s="30"/>
      <c r="GH254" s="30"/>
      <c r="GI254" s="30"/>
      <c r="GJ254" s="30"/>
      <c r="GK254" s="30"/>
      <c r="GL254" s="30"/>
      <c r="GM254" s="30"/>
      <c r="GN254" s="30"/>
      <c r="GO254" s="30"/>
      <c r="GP254" s="30"/>
      <c r="GQ254" s="30"/>
      <c r="GR254" s="30"/>
      <c r="GS254" s="30"/>
      <c r="GT254" s="30"/>
      <c r="GU254" s="30"/>
      <c r="GV254" s="30"/>
      <c r="GW254" s="30"/>
      <c r="GX254" s="30"/>
      <c r="GY254" s="30"/>
      <c r="GZ254" s="30"/>
      <c r="HA254" s="30"/>
      <c r="HB254" s="30"/>
      <c r="HC254" s="30"/>
      <c r="HD254" s="30"/>
      <c r="HE254" s="30"/>
      <c r="HF254" s="30"/>
      <c r="HG254" s="30"/>
      <c r="HH254" s="30"/>
      <c r="HI254" s="30"/>
      <c r="HJ254" s="30"/>
      <c r="HK254" s="30"/>
      <c r="HL254" s="30"/>
      <c r="HM254" s="30"/>
      <c r="HN254" s="30"/>
      <c r="HO254" s="30"/>
      <c r="HP254" s="30"/>
      <c r="HQ254" s="30"/>
      <c r="HR254" s="30"/>
      <c r="HS254" s="30"/>
      <c r="HT254" s="30"/>
      <c r="HU254" s="30"/>
      <c r="HV254" s="30"/>
      <c r="HW254" s="30"/>
      <c r="HX254" s="30"/>
      <c r="HY254" s="30"/>
      <c r="HZ254" s="30"/>
      <c r="IA254" s="30"/>
      <c r="IB254" s="30"/>
      <c r="IC254" s="30"/>
      <c r="ID254" s="30"/>
      <c r="IE254" s="30"/>
      <c r="IF254" s="30"/>
      <c r="IG254" s="30"/>
      <c r="IH254" s="30"/>
      <c r="II254" s="30"/>
      <c r="IJ254" s="30"/>
      <c r="IK254" s="30"/>
      <c r="IL254" s="30"/>
      <c r="IM254" s="30"/>
      <c r="IN254" s="30"/>
      <c r="IO254" s="30"/>
      <c r="IP254" s="30"/>
      <c r="IQ254" s="30"/>
      <c r="IR254" s="30"/>
      <c r="IS254" s="30"/>
      <c r="IT254" s="30"/>
      <c r="IU254" s="30"/>
      <c r="IV254" s="30"/>
      <c r="IW254" s="30"/>
      <c r="IX254" s="30"/>
      <c r="IY254" s="30"/>
      <c r="IZ254" s="30"/>
      <c r="JA254" s="30"/>
      <c r="JB254" s="30"/>
      <c r="JC254" s="30"/>
      <c r="JD254" s="30"/>
      <c r="JE254" s="30"/>
      <c r="JF254" s="30"/>
      <c r="JG254" s="30"/>
      <c r="JH254" s="30"/>
      <c r="JI254" s="30"/>
      <c r="JJ254" s="30"/>
      <c r="JK254" s="30"/>
      <c r="JL254" s="30"/>
      <c r="JM254" s="30"/>
      <c r="JN254" s="30"/>
      <c r="JO254" s="30"/>
      <c r="JP254" s="30"/>
      <c r="JQ254" s="30"/>
      <c r="JR254" s="30"/>
      <c r="JS254" s="30"/>
      <c r="JT254" s="30"/>
      <c r="JU254" s="30"/>
      <c r="JV254" s="30"/>
      <c r="JW254" s="30"/>
      <c r="JX254" s="30"/>
      <c r="JY254" s="30"/>
      <c r="JZ254" s="30"/>
      <c r="KA254" s="30"/>
      <c r="KB254" s="30"/>
      <c r="KC254" s="30"/>
      <c r="KD254" s="30"/>
      <c r="KE254" s="30"/>
      <c r="KF254" s="30"/>
      <c r="KG254" s="30"/>
      <c r="KH254" s="30"/>
      <c r="KI254" s="30"/>
      <c r="KJ254" s="30"/>
      <c r="KK254" s="30"/>
      <c r="KL254" s="30"/>
      <c r="KM254" s="30"/>
      <c r="KN254" s="30"/>
      <c r="KO254" s="30"/>
      <c r="KP254" s="30"/>
      <c r="KQ254" s="30"/>
      <c r="KR254" s="30"/>
      <c r="KS254" s="30"/>
      <c r="KT254" s="30"/>
      <c r="KU254" s="30"/>
      <c r="KV254" s="30"/>
      <c r="KW254" s="30"/>
      <c r="KX254" s="30"/>
      <c r="KY254" s="30"/>
      <c r="KZ254" s="30"/>
      <c r="LA254" s="30"/>
      <c r="LB254" s="30"/>
      <c r="LC254" s="30"/>
      <c r="LD254" s="30"/>
      <c r="LE254" s="30"/>
      <c r="LF254" s="30"/>
      <c r="LG254" s="30"/>
      <c r="LH254" s="30"/>
      <c r="LI254" s="30"/>
      <c r="LJ254" s="30"/>
      <c r="LK254" s="30"/>
      <c r="LL254" s="30"/>
      <c r="LM254" s="30"/>
      <c r="LN254" s="30"/>
      <c r="LO254" s="30"/>
      <c r="LP254" s="30"/>
      <c r="LQ254" s="30"/>
      <c r="LR254" s="30"/>
      <c r="LS254" s="30"/>
      <c r="LT254" s="30"/>
      <c r="LU254" s="30"/>
      <c r="LV254" s="30"/>
      <c r="LW254" s="30"/>
      <c r="LX254" s="30"/>
      <c r="LY254" s="30"/>
      <c r="LZ254" s="30"/>
      <c r="MA254" s="30"/>
      <c r="MB254" s="30"/>
      <c r="MC254" s="30"/>
      <c r="MD254" s="30"/>
      <c r="ME254" s="30"/>
      <c r="MF254" s="30"/>
      <c r="MG254" s="30"/>
      <c r="MH254" s="30"/>
      <c r="MI254" s="30"/>
      <c r="MJ254" s="30"/>
      <c r="MK254" s="30"/>
      <c r="ML254" s="30"/>
      <c r="MM254" s="30"/>
      <c r="MN254" s="30"/>
      <c r="MO254" s="30"/>
      <c r="MP254" s="30"/>
      <c r="MQ254" s="30"/>
      <c r="MR254" s="30"/>
      <c r="MS254" s="30"/>
      <c r="MT254" s="30"/>
      <c r="MU254" s="30"/>
      <c r="MV254" s="30"/>
      <c r="MW254" s="30"/>
      <c r="MX254" s="30"/>
      <c r="MY254" s="30"/>
      <c r="MZ254" s="30"/>
      <c r="NA254" s="30"/>
      <c r="NB254" s="30"/>
      <c r="NC254" s="30"/>
      <c r="ND254" s="30"/>
      <c r="NE254" s="30"/>
      <c r="NF254" s="30"/>
      <c r="NG254" s="30"/>
      <c r="NH254" s="30"/>
      <c r="NI254" s="30"/>
      <c r="NJ254" s="30"/>
      <c r="NK254" s="30"/>
      <c r="NL254" s="30"/>
      <c r="NM254" s="30"/>
      <c r="NN254" s="30"/>
      <c r="NO254" s="30"/>
      <c r="NP254" s="30"/>
      <c r="NQ254" s="30"/>
      <c r="NR254" s="30"/>
    </row>
    <row r="255" spans="1:382" s="3" customFormat="1" ht="20.100000000000001" customHeight="1" x14ac:dyDescent="0.4">
      <c r="A255" s="29">
        <v>1</v>
      </c>
      <c r="B255" s="5">
        <v>1927</v>
      </c>
      <c r="C255" s="5" t="s">
        <v>373</v>
      </c>
      <c r="D255" s="5" t="s">
        <v>139</v>
      </c>
      <c r="E255" s="5" t="s">
        <v>4</v>
      </c>
      <c r="F255" s="5" t="s">
        <v>32</v>
      </c>
      <c r="G255" s="5" t="s">
        <v>32</v>
      </c>
      <c r="H255" s="5" t="s">
        <v>32</v>
      </c>
      <c r="I255" s="8">
        <v>46047.625</v>
      </c>
      <c r="J255" s="8"/>
      <c r="K255" s="8" t="str">
        <f>IF(OR(J255="",E255=""),"",J255+IFERROR(VLOOKUP(E255,リードタイム!$A$2:$C$9,3,FALSE),0))</f>
        <v/>
      </c>
      <c r="L255" s="5" t="s">
        <v>531</v>
      </c>
      <c r="M255" s="8"/>
      <c r="N255" s="8" t="str">
        <f>IF(OR(M255="",E255=""),"",M255+IFERROR(VLOOKUP(E255,リードタイム!$A$2:$D$9,4,FALSE),0))</f>
        <v/>
      </c>
      <c r="O255" s="5" t="s">
        <v>531</v>
      </c>
      <c r="P255" s="5" t="s">
        <v>533</v>
      </c>
      <c r="Q255" s="5" t="s">
        <v>140</v>
      </c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  <c r="FS255" s="30"/>
      <c r="FT255" s="30"/>
      <c r="FU255" s="30"/>
      <c r="FV255" s="30"/>
      <c r="FW255" s="30"/>
      <c r="FX255" s="30"/>
      <c r="FY255" s="30"/>
      <c r="FZ255" s="30"/>
      <c r="GA255" s="30"/>
      <c r="GB255" s="30"/>
      <c r="GC255" s="30"/>
      <c r="GD255" s="30"/>
      <c r="GE255" s="30"/>
      <c r="GF255" s="30"/>
      <c r="GG255" s="30"/>
      <c r="GH255" s="30"/>
      <c r="GI255" s="30"/>
      <c r="GJ255" s="30"/>
      <c r="GK255" s="30"/>
      <c r="GL255" s="30"/>
      <c r="GM255" s="30"/>
      <c r="GN255" s="30"/>
      <c r="GO255" s="30"/>
      <c r="GP255" s="30"/>
      <c r="GQ255" s="30"/>
      <c r="GR255" s="30"/>
      <c r="GS255" s="30"/>
      <c r="GT255" s="30"/>
      <c r="GU255" s="30"/>
      <c r="GV255" s="30"/>
      <c r="GW255" s="30"/>
      <c r="GX255" s="30"/>
      <c r="GY255" s="30"/>
      <c r="GZ255" s="30"/>
      <c r="HA255" s="30"/>
      <c r="HB255" s="30"/>
      <c r="HC255" s="30"/>
      <c r="HD255" s="30"/>
      <c r="HE255" s="30"/>
      <c r="HF255" s="30"/>
      <c r="HG255" s="30"/>
      <c r="HH255" s="30"/>
      <c r="HI255" s="30"/>
      <c r="HJ255" s="30"/>
      <c r="HK255" s="30"/>
      <c r="HL255" s="30"/>
      <c r="HM255" s="30"/>
      <c r="HN255" s="30"/>
      <c r="HO255" s="30"/>
      <c r="HP255" s="30"/>
      <c r="HQ255" s="30"/>
      <c r="HR255" s="30"/>
      <c r="HS255" s="30"/>
      <c r="HT255" s="30"/>
      <c r="HU255" s="30"/>
      <c r="HV255" s="30"/>
      <c r="HW255" s="30"/>
      <c r="HX255" s="30"/>
      <c r="HY255" s="30"/>
      <c r="HZ255" s="30"/>
      <c r="IA255" s="30"/>
      <c r="IB255" s="30"/>
      <c r="IC255" s="30"/>
      <c r="ID255" s="30"/>
      <c r="IE255" s="30"/>
      <c r="IF255" s="30"/>
      <c r="IG255" s="30"/>
      <c r="IH255" s="30"/>
      <c r="II255" s="30"/>
      <c r="IJ255" s="30"/>
      <c r="IK255" s="30"/>
      <c r="IL255" s="30"/>
      <c r="IM255" s="30"/>
      <c r="IN255" s="30"/>
      <c r="IO255" s="30"/>
      <c r="IP255" s="30"/>
      <c r="IQ255" s="30"/>
      <c r="IR255" s="30"/>
      <c r="IS255" s="30"/>
      <c r="IT255" s="30"/>
      <c r="IU255" s="30"/>
      <c r="IV255" s="30"/>
      <c r="IW255" s="30"/>
      <c r="IX255" s="30"/>
      <c r="IY255" s="30"/>
      <c r="IZ255" s="30"/>
      <c r="JA255" s="30"/>
      <c r="JB255" s="30"/>
      <c r="JC255" s="30"/>
      <c r="JD255" s="30"/>
      <c r="JE255" s="30"/>
      <c r="JF255" s="30"/>
      <c r="JG255" s="30"/>
      <c r="JH255" s="30"/>
      <c r="JI255" s="30"/>
      <c r="JJ255" s="30"/>
      <c r="JK255" s="30"/>
      <c r="JL255" s="30"/>
      <c r="JM255" s="30"/>
      <c r="JN255" s="30"/>
      <c r="JO255" s="30"/>
      <c r="JP255" s="30"/>
      <c r="JQ255" s="30"/>
      <c r="JR255" s="30"/>
      <c r="JS255" s="30"/>
      <c r="JT255" s="30"/>
      <c r="JU255" s="30"/>
      <c r="JV255" s="30"/>
      <c r="JW255" s="30"/>
      <c r="JX255" s="30"/>
      <c r="JY255" s="30"/>
      <c r="JZ255" s="30"/>
      <c r="KA255" s="30"/>
      <c r="KB255" s="30"/>
      <c r="KC255" s="30"/>
      <c r="KD255" s="30"/>
      <c r="KE255" s="30"/>
      <c r="KF255" s="30"/>
      <c r="KG255" s="30"/>
      <c r="KH255" s="30"/>
      <c r="KI255" s="30"/>
      <c r="KJ255" s="30"/>
      <c r="KK255" s="30"/>
      <c r="KL255" s="30"/>
      <c r="KM255" s="30"/>
      <c r="KN255" s="30"/>
      <c r="KO255" s="30"/>
      <c r="KP255" s="30"/>
      <c r="KQ255" s="30"/>
      <c r="KR255" s="30"/>
      <c r="KS255" s="30"/>
      <c r="KT255" s="30"/>
      <c r="KU255" s="30"/>
      <c r="KV255" s="30"/>
      <c r="KW255" s="30"/>
      <c r="KX255" s="30"/>
      <c r="KY255" s="30"/>
      <c r="KZ255" s="30"/>
      <c r="LA255" s="30"/>
      <c r="LB255" s="30"/>
      <c r="LC255" s="30"/>
      <c r="LD255" s="30"/>
      <c r="LE255" s="30"/>
      <c r="LF255" s="30"/>
      <c r="LG255" s="30"/>
      <c r="LH255" s="30"/>
      <c r="LI255" s="30"/>
      <c r="LJ255" s="30"/>
      <c r="LK255" s="30"/>
      <c r="LL255" s="30"/>
      <c r="LM255" s="30"/>
      <c r="LN255" s="30"/>
      <c r="LO255" s="30"/>
      <c r="LP255" s="30"/>
      <c r="LQ255" s="30"/>
      <c r="LR255" s="30"/>
      <c r="LS255" s="30"/>
      <c r="LT255" s="30"/>
      <c r="LU255" s="30"/>
      <c r="LV255" s="30"/>
      <c r="LW255" s="30"/>
      <c r="LX255" s="30"/>
      <c r="LY255" s="30"/>
      <c r="LZ255" s="30"/>
      <c r="MA255" s="30"/>
      <c r="MB255" s="30"/>
      <c r="MC255" s="30"/>
      <c r="MD255" s="30"/>
      <c r="ME255" s="30"/>
      <c r="MF255" s="30"/>
      <c r="MG255" s="30"/>
      <c r="MH255" s="30"/>
      <c r="MI255" s="30"/>
      <c r="MJ255" s="30"/>
      <c r="MK255" s="30"/>
      <c r="ML255" s="30"/>
      <c r="MM255" s="30"/>
      <c r="MN255" s="30"/>
      <c r="MO255" s="30"/>
      <c r="MP255" s="30"/>
      <c r="MQ255" s="30"/>
      <c r="MR255" s="30"/>
      <c r="MS255" s="30"/>
      <c r="MT255" s="30"/>
      <c r="MU255" s="30"/>
      <c r="MV255" s="30"/>
      <c r="MW255" s="30"/>
      <c r="MX255" s="30"/>
      <c r="MY255" s="30"/>
      <c r="MZ255" s="30"/>
      <c r="NA255" s="30"/>
      <c r="NB255" s="30"/>
      <c r="NC255" s="30"/>
      <c r="ND255" s="30"/>
      <c r="NE255" s="30"/>
      <c r="NF255" s="30"/>
      <c r="NG255" s="30"/>
      <c r="NH255" s="30"/>
      <c r="NI255" s="30"/>
      <c r="NJ255" s="30"/>
      <c r="NK255" s="30"/>
      <c r="NL255" s="30"/>
      <c r="NM255" s="30"/>
      <c r="NN255" s="30"/>
      <c r="NO255" s="30"/>
      <c r="NP255" s="30"/>
      <c r="NQ255" s="30"/>
      <c r="NR255" s="30"/>
    </row>
    <row r="256" spans="1:382" s="3" customFormat="1" ht="20.100000000000001" customHeight="1" x14ac:dyDescent="0.4">
      <c r="A256" s="29">
        <v>1</v>
      </c>
      <c r="B256" s="5">
        <v>1927</v>
      </c>
      <c r="C256" s="5" t="s">
        <v>374</v>
      </c>
      <c r="D256" s="5" t="s">
        <v>236</v>
      </c>
      <c r="E256" s="5" t="s">
        <v>4</v>
      </c>
      <c r="F256" s="5" t="s">
        <v>32</v>
      </c>
      <c r="G256" s="5" t="s">
        <v>32</v>
      </c>
      <c r="H256" s="5" t="s">
        <v>32</v>
      </c>
      <c r="I256" s="8"/>
      <c r="J256" s="8"/>
      <c r="K256" s="8" t="str">
        <f>IF(OR(J256="",E256=""),"",J256+IFERROR(VLOOKUP(E256,リードタイム!$A$2:$C$9,3,FALSE),0))</f>
        <v/>
      </c>
      <c r="L256" s="5" t="s">
        <v>530</v>
      </c>
      <c r="M256" s="8"/>
      <c r="N256" s="8" t="str">
        <f>IF(OR(M256="",E256=""),"",M256+IFERROR(VLOOKUP(E256,リードタイム!$A$2:$D$9,4,FALSE),0))</f>
        <v/>
      </c>
      <c r="O256" s="5" t="s">
        <v>530</v>
      </c>
      <c r="P256" s="5" t="s">
        <v>530</v>
      </c>
      <c r="Q256" s="5" t="s">
        <v>375</v>
      </c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  <c r="FS256" s="30"/>
      <c r="FT256" s="30"/>
      <c r="FU256" s="30"/>
      <c r="FV256" s="30"/>
      <c r="FW256" s="30"/>
      <c r="FX256" s="30"/>
      <c r="FY256" s="30"/>
      <c r="FZ256" s="30"/>
      <c r="GA256" s="30"/>
      <c r="GB256" s="30"/>
      <c r="GC256" s="30"/>
      <c r="GD256" s="30"/>
      <c r="GE256" s="30"/>
      <c r="GF256" s="30"/>
      <c r="GG256" s="30"/>
      <c r="GH256" s="30"/>
      <c r="GI256" s="30"/>
      <c r="GJ256" s="30"/>
      <c r="GK256" s="30"/>
      <c r="GL256" s="30"/>
      <c r="GM256" s="30"/>
      <c r="GN256" s="30"/>
      <c r="GO256" s="30"/>
      <c r="GP256" s="30"/>
      <c r="GQ256" s="30"/>
      <c r="GR256" s="30"/>
      <c r="GS256" s="30"/>
      <c r="GT256" s="30"/>
      <c r="GU256" s="30"/>
      <c r="GV256" s="30"/>
      <c r="GW256" s="30"/>
      <c r="GX256" s="30"/>
      <c r="GY256" s="30"/>
      <c r="GZ256" s="30"/>
      <c r="HA256" s="30"/>
      <c r="HB256" s="30"/>
      <c r="HC256" s="30"/>
      <c r="HD256" s="30"/>
      <c r="HE256" s="30"/>
      <c r="HF256" s="30"/>
      <c r="HG256" s="30"/>
      <c r="HH256" s="30"/>
      <c r="HI256" s="30"/>
      <c r="HJ256" s="30"/>
      <c r="HK256" s="30"/>
      <c r="HL256" s="30"/>
      <c r="HM256" s="30"/>
      <c r="HN256" s="30"/>
      <c r="HO256" s="30"/>
      <c r="HP256" s="30"/>
      <c r="HQ256" s="30"/>
      <c r="HR256" s="30"/>
      <c r="HS256" s="30"/>
      <c r="HT256" s="30"/>
      <c r="HU256" s="30"/>
      <c r="HV256" s="30"/>
      <c r="HW256" s="30"/>
      <c r="HX256" s="30"/>
      <c r="HY256" s="30"/>
      <c r="HZ256" s="30"/>
      <c r="IA256" s="30"/>
      <c r="IB256" s="30"/>
      <c r="IC256" s="30"/>
      <c r="ID256" s="30"/>
      <c r="IE256" s="30"/>
      <c r="IF256" s="30"/>
      <c r="IG256" s="30"/>
      <c r="IH256" s="30"/>
      <c r="II256" s="30"/>
      <c r="IJ256" s="30"/>
      <c r="IK256" s="30"/>
      <c r="IL256" s="30"/>
      <c r="IM256" s="30"/>
      <c r="IN256" s="30"/>
      <c r="IO256" s="30"/>
      <c r="IP256" s="30"/>
      <c r="IQ256" s="30"/>
      <c r="IR256" s="30"/>
      <c r="IS256" s="30"/>
      <c r="IT256" s="30"/>
      <c r="IU256" s="30"/>
      <c r="IV256" s="30"/>
      <c r="IW256" s="30"/>
      <c r="IX256" s="30"/>
      <c r="IY256" s="30"/>
      <c r="IZ256" s="30"/>
      <c r="JA256" s="30"/>
      <c r="JB256" s="30"/>
      <c r="JC256" s="30"/>
      <c r="JD256" s="30"/>
      <c r="JE256" s="30"/>
      <c r="JF256" s="30"/>
      <c r="JG256" s="30"/>
      <c r="JH256" s="30"/>
      <c r="JI256" s="30"/>
      <c r="JJ256" s="30"/>
      <c r="JK256" s="30"/>
      <c r="JL256" s="30"/>
      <c r="JM256" s="30"/>
      <c r="JN256" s="30"/>
      <c r="JO256" s="30"/>
      <c r="JP256" s="30"/>
      <c r="JQ256" s="30"/>
      <c r="JR256" s="30"/>
      <c r="JS256" s="30"/>
      <c r="JT256" s="30"/>
      <c r="JU256" s="30"/>
      <c r="JV256" s="30"/>
      <c r="JW256" s="30"/>
      <c r="JX256" s="30"/>
      <c r="JY256" s="30"/>
      <c r="JZ256" s="30"/>
      <c r="KA256" s="30"/>
      <c r="KB256" s="30"/>
      <c r="KC256" s="30"/>
      <c r="KD256" s="30"/>
      <c r="KE256" s="30"/>
      <c r="KF256" s="30"/>
      <c r="KG256" s="30"/>
      <c r="KH256" s="30"/>
      <c r="KI256" s="30"/>
      <c r="KJ256" s="30"/>
      <c r="KK256" s="30"/>
      <c r="KL256" s="30"/>
      <c r="KM256" s="30"/>
      <c r="KN256" s="30"/>
      <c r="KO256" s="30"/>
      <c r="KP256" s="30"/>
      <c r="KQ256" s="30"/>
      <c r="KR256" s="30"/>
      <c r="KS256" s="30"/>
      <c r="KT256" s="30"/>
      <c r="KU256" s="30"/>
      <c r="KV256" s="30"/>
      <c r="KW256" s="30"/>
      <c r="KX256" s="30"/>
      <c r="KY256" s="30"/>
      <c r="KZ256" s="30"/>
      <c r="LA256" s="30"/>
      <c r="LB256" s="30"/>
      <c r="LC256" s="30"/>
      <c r="LD256" s="30"/>
      <c r="LE256" s="30"/>
      <c r="LF256" s="30"/>
      <c r="LG256" s="30"/>
      <c r="LH256" s="30"/>
      <c r="LI256" s="30"/>
      <c r="LJ256" s="30"/>
      <c r="LK256" s="30"/>
      <c r="LL256" s="30"/>
      <c r="LM256" s="30"/>
      <c r="LN256" s="30"/>
      <c r="LO256" s="30"/>
      <c r="LP256" s="30"/>
      <c r="LQ256" s="30"/>
      <c r="LR256" s="30"/>
      <c r="LS256" s="30"/>
      <c r="LT256" s="30"/>
      <c r="LU256" s="30"/>
      <c r="LV256" s="30"/>
      <c r="LW256" s="30"/>
      <c r="LX256" s="30"/>
      <c r="LY256" s="30"/>
      <c r="LZ256" s="30"/>
      <c r="MA256" s="30"/>
      <c r="MB256" s="30"/>
      <c r="MC256" s="30"/>
      <c r="MD256" s="30"/>
      <c r="ME256" s="30"/>
      <c r="MF256" s="30"/>
      <c r="MG256" s="30"/>
      <c r="MH256" s="30"/>
      <c r="MI256" s="30"/>
      <c r="MJ256" s="30"/>
      <c r="MK256" s="30"/>
      <c r="ML256" s="30"/>
      <c r="MM256" s="30"/>
      <c r="MN256" s="30"/>
      <c r="MO256" s="30"/>
      <c r="MP256" s="30"/>
      <c r="MQ256" s="30"/>
      <c r="MR256" s="30"/>
      <c r="MS256" s="30"/>
      <c r="MT256" s="30"/>
      <c r="MU256" s="30"/>
      <c r="MV256" s="30"/>
      <c r="MW256" s="30"/>
      <c r="MX256" s="30"/>
      <c r="MY256" s="30"/>
      <c r="MZ256" s="30"/>
      <c r="NA256" s="30"/>
      <c r="NB256" s="30"/>
      <c r="NC256" s="30"/>
      <c r="ND256" s="30"/>
      <c r="NE256" s="30"/>
      <c r="NF256" s="30"/>
      <c r="NG256" s="30"/>
      <c r="NH256" s="30"/>
      <c r="NI256" s="30"/>
      <c r="NJ256" s="30"/>
      <c r="NK256" s="30"/>
      <c r="NL256" s="30"/>
      <c r="NM256" s="30"/>
      <c r="NN256" s="30"/>
      <c r="NO256" s="30"/>
      <c r="NP256" s="30"/>
      <c r="NQ256" s="30"/>
      <c r="NR256" s="30"/>
    </row>
    <row r="257" spans="1:382" s="3" customFormat="1" ht="20.100000000000001" customHeight="1" x14ac:dyDescent="0.4">
      <c r="A257" s="29">
        <v>1</v>
      </c>
      <c r="B257" s="5">
        <v>1927</v>
      </c>
      <c r="C257" s="5" t="s">
        <v>376</v>
      </c>
      <c r="D257" s="5" t="s">
        <v>236</v>
      </c>
      <c r="E257" s="5" t="s">
        <v>4</v>
      </c>
      <c r="F257" s="5" t="s">
        <v>32</v>
      </c>
      <c r="G257" s="5" t="s">
        <v>32</v>
      </c>
      <c r="H257" s="5" t="s">
        <v>32</v>
      </c>
      <c r="I257" s="8"/>
      <c r="J257" s="8"/>
      <c r="K257" s="8" t="str">
        <f>IF(OR(J257="",E257=""),"",J257+IFERROR(VLOOKUP(E257,リードタイム!$A$2:$C$9,3,FALSE),0))</f>
        <v/>
      </c>
      <c r="L257" s="5" t="s">
        <v>531</v>
      </c>
      <c r="M257" s="8"/>
      <c r="N257" s="8" t="str">
        <f>IF(OR(M257="",E257=""),"",M257+IFERROR(VLOOKUP(E257,リードタイム!$A$2:$D$9,4,FALSE),0))</f>
        <v/>
      </c>
      <c r="O257" s="5" t="s">
        <v>531</v>
      </c>
      <c r="P257" s="5" t="s">
        <v>533</v>
      </c>
      <c r="Q257" s="5" t="s">
        <v>70</v>
      </c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  <c r="FS257" s="30"/>
      <c r="FT257" s="30"/>
      <c r="FU257" s="30"/>
      <c r="FV257" s="30"/>
      <c r="FW257" s="30"/>
      <c r="FX257" s="30"/>
      <c r="FY257" s="30"/>
      <c r="FZ257" s="30"/>
      <c r="GA257" s="30"/>
      <c r="GB257" s="30"/>
      <c r="GC257" s="30"/>
      <c r="GD257" s="30"/>
      <c r="GE257" s="30"/>
      <c r="GF257" s="30"/>
      <c r="GG257" s="30"/>
      <c r="GH257" s="30"/>
      <c r="GI257" s="30"/>
      <c r="GJ257" s="30"/>
      <c r="GK257" s="30"/>
      <c r="GL257" s="30"/>
      <c r="GM257" s="30"/>
      <c r="GN257" s="30"/>
      <c r="GO257" s="30"/>
      <c r="GP257" s="30"/>
      <c r="GQ257" s="30"/>
      <c r="GR257" s="30"/>
      <c r="GS257" s="30"/>
      <c r="GT257" s="30"/>
      <c r="GU257" s="30"/>
      <c r="GV257" s="30"/>
      <c r="GW257" s="30"/>
      <c r="GX257" s="30"/>
      <c r="GY257" s="30"/>
      <c r="GZ257" s="30"/>
      <c r="HA257" s="30"/>
      <c r="HB257" s="30"/>
      <c r="HC257" s="30"/>
      <c r="HD257" s="30"/>
      <c r="HE257" s="30"/>
      <c r="HF257" s="30"/>
      <c r="HG257" s="30"/>
      <c r="HH257" s="30"/>
      <c r="HI257" s="30"/>
      <c r="HJ257" s="30"/>
      <c r="HK257" s="30"/>
      <c r="HL257" s="30"/>
      <c r="HM257" s="30"/>
      <c r="HN257" s="30"/>
      <c r="HO257" s="30"/>
      <c r="HP257" s="30"/>
      <c r="HQ257" s="30"/>
      <c r="HR257" s="30"/>
      <c r="HS257" s="30"/>
      <c r="HT257" s="30"/>
      <c r="HU257" s="30"/>
      <c r="HV257" s="30"/>
      <c r="HW257" s="30"/>
      <c r="HX257" s="30"/>
      <c r="HY257" s="30"/>
      <c r="HZ257" s="30"/>
      <c r="IA257" s="30"/>
      <c r="IB257" s="30"/>
      <c r="IC257" s="30"/>
      <c r="ID257" s="30"/>
      <c r="IE257" s="30"/>
      <c r="IF257" s="30"/>
      <c r="IG257" s="30"/>
      <c r="IH257" s="30"/>
      <c r="II257" s="30"/>
      <c r="IJ257" s="30"/>
      <c r="IK257" s="30"/>
      <c r="IL257" s="30"/>
      <c r="IM257" s="30"/>
      <c r="IN257" s="30"/>
      <c r="IO257" s="30"/>
      <c r="IP257" s="30"/>
      <c r="IQ257" s="30"/>
      <c r="IR257" s="30"/>
      <c r="IS257" s="30"/>
      <c r="IT257" s="30"/>
      <c r="IU257" s="30"/>
      <c r="IV257" s="30"/>
      <c r="IW257" s="30"/>
      <c r="IX257" s="30"/>
      <c r="IY257" s="30"/>
      <c r="IZ257" s="30"/>
      <c r="JA257" s="30"/>
      <c r="JB257" s="30"/>
      <c r="JC257" s="30"/>
      <c r="JD257" s="30"/>
      <c r="JE257" s="30"/>
      <c r="JF257" s="30"/>
      <c r="JG257" s="30"/>
      <c r="JH257" s="30"/>
      <c r="JI257" s="30"/>
      <c r="JJ257" s="30"/>
      <c r="JK257" s="30"/>
      <c r="JL257" s="30"/>
      <c r="JM257" s="30"/>
      <c r="JN257" s="30"/>
      <c r="JO257" s="30"/>
      <c r="JP257" s="30"/>
      <c r="JQ257" s="30"/>
      <c r="JR257" s="30"/>
      <c r="JS257" s="30"/>
      <c r="JT257" s="30"/>
      <c r="JU257" s="30"/>
      <c r="JV257" s="30"/>
      <c r="JW257" s="30"/>
      <c r="JX257" s="30"/>
      <c r="JY257" s="30"/>
      <c r="JZ257" s="30"/>
      <c r="KA257" s="30"/>
      <c r="KB257" s="30"/>
      <c r="KC257" s="30"/>
      <c r="KD257" s="30"/>
      <c r="KE257" s="30"/>
      <c r="KF257" s="30"/>
      <c r="KG257" s="30"/>
      <c r="KH257" s="30"/>
      <c r="KI257" s="30"/>
      <c r="KJ257" s="30"/>
      <c r="KK257" s="30"/>
      <c r="KL257" s="30"/>
      <c r="KM257" s="30"/>
      <c r="KN257" s="30"/>
      <c r="KO257" s="30"/>
      <c r="KP257" s="30"/>
      <c r="KQ257" s="30"/>
      <c r="KR257" s="30"/>
      <c r="KS257" s="30"/>
      <c r="KT257" s="30"/>
      <c r="KU257" s="30"/>
      <c r="KV257" s="30"/>
      <c r="KW257" s="30"/>
      <c r="KX257" s="30"/>
      <c r="KY257" s="30"/>
      <c r="KZ257" s="30"/>
      <c r="LA257" s="30"/>
      <c r="LB257" s="30"/>
      <c r="LC257" s="30"/>
      <c r="LD257" s="30"/>
      <c r="LE257" s="30"/>
      <c r="LF257" s="30"/>
      <c r="LG257" s="30"/>
      <c r="LH257" s="30"/>
      <c r="LI257" s="30"/>
      <c r="LJ257" s="30"/>
      <c r="LK257" s="30"/>
      <c r="LL257" s="30"/>
      <c r="LM257" s="30"/>
      <c r="LN257" s="30"/>
      <c r="LO257" s="30"/>
      <c r="LP257" s="30"/>
      <c r="LQ257" s="30"/>
      <c r="LR257" s="30"/>
      <c r="LS257" s="30"/>
      <c r="LT257" s="30"/>
      <c r="LU257" s="30"/>
      <c r="LV257" s="30"/>
      <c r="LW257" s="30"/>
      <c r="LX257" s="30"/>
      <c r="LY257" s="30"/>
      <c r="LZ257" s="30"/>
      <c r="MA257" s="30"/>
      <c r="MB257" s="30"/>
      <c r="MC257" s="30"/>
      <c r="MD257" s="30"/>
      <c r="ME257" s="30"/>
      <c r="MF257" s="30"/>
      <c r="MG257" s="30"/>
      <c r="MH257" s="30"/>
      <c r="MI257" s="30"/>
      <c r="MJ257" s="30"/>
      <c r="MK257" s="30"/>
      <c r="ML257" s="30"/>
      <c r="MM257" s="30"/>
      <c r="MN257" s="30"/>
      <c r="MO257" s="30"/>
      <c r="MP257" s="30"/>
      <c r="MQ257" s="30"/>
      <c r="MR257" s="30"/>
      <c r="MS257" s="30"/>
      <c r="MT257" s="30"/>
      <c r="MU257" s="30"/>
      <c r="MV257" s="30"/>
      <c r="MW257" s="30"/>
      <c r="MX257" s="30"/>
      <c r="MY257" s="30"/>
      <c r="MZ257" s="30"/>
      <c r="NA257" s="30"/>
      <c r="NB257" s="30"/>
      <c r="NC257" s="30"/>
      <c r="ND257" s="30"/>
      <c r="NE257" s="30"/>
      <c r="NF257" s="30"/>
      <c r="NG257" s="30"/>
      <c r="NH257" s="30"/>
      <c r="NI257" s="30"/>
      <c r="NJ257" s="30"/>
      <c r="NK257" s="30"/>
      <c r="NL257" s="30"/>
      <c r="NM257" s="30"/>
      <c r="NN257" s="30"/>
      <c r="NO257" s="30"/>
      <c r="NP257" s="30"/>
      <c r="NQ257" s="30"/>
      <c r="NR257" s="30"/>
    </row>
    <row r="258" spans="1:382" s="3" customFormat="1" ht="20.100000000000001" customHeight="1" x14ac:dyDescent="0.4">
      <c r="A258" s="29">
        <v>1</v>
      </c>
      <c r="B258" s="5">
        <v>1502</v>
      </c>
      <c r="C258" s="5" t="s">
        <v>377</v>
      </c>
      <c r="D258" s="5" t="s">
        <v>114</v>
      </c>
      <c r="E258" s="5" t="s">
        <v>6</v>
      </c>
      <c r="F258" s="5" t="s">
        <v>32</v>
      </c>
      <c r="G258" s="5" t="s">
        <v>32</v>
      </c>
      <c r="H258" s="5" t="s">
        <v>32</v>
      </c>
      <c r="I258" s="8">
        <v>45959.625</v>
      </c>
      <c r="J258" s="8"/>
      <c r="K258" s="8" t="str">
        <f>IF(OR(J258="",E258=""),"",J258+IFERROR(VLOOKUP(E258,リードタイム!$A$2:$C$9,3,FALSE),0))</f>
        <v/>
      </c>
      <c r="L258" s="5" t="s">
        <v>531</v>
      </c>
      <c r="M258" s="8"/>
      <c r="N258" s="8" t="str">
        <f>IF(OR(M258="",E258=""),"",M258+IFERROR(VLOOKUP(E258,リードタイム!$A$2:$D$9,4,FALSE),0))</f>
        <v/>
      </c>
      <c r="O258" s="5" t="s">
        <v>531</v>
      </c>
      <c r="P258" s="5" t="s">
        <v>533</v>
      </c>
      <c r="Q258" s="5" t="s">
        <v>378</v>
      </c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  <c r="FS258" s="30"/>
      <c r="FT258" s="30"/>
      <c r="FU258" s="30"/>
      <c r="FV258" s="30"/>
      <c r="FW258" s="30"/>
      <c r="FX258" s="30"/>
      <c r="FY258" s="30"/>
      <c r="FZ258" s="30"/>
      <c r="GA258" s="30"/>
      <c r="GB258" s="30"/>
      <c r="GC258" s="30"/>
      <c r="GD258" s="30"/>
      <c r="GE258" s="30"/>
      <c r="GF258" s="30"/>
      <c r="GG258" s="30"/>
      <c r="GH258" s="30"/>
      <c r="GI258" s="30"/>
      <c r="GJ258" s="30"/>
      <c r="GK258" s="30"/>
      <c r="GL258" s="30"/>
      <c r="GM258" s="30"/>
      <c r="GN258" s="30"/>
      <c r="GO258" s="30"/>
      <c r="GP258" s="30"/>
      <c r="GQ258" s="30"/>
      <c r="GR258" s="30"/>
      <c r="GS258" s="30"/>
      <c r="GT258" s="30"/>
      <c r="GU258" s="30"/>
      <c r="GV258" s="30"/>
      <c r="GW258" s="30"/>
      <c r="GX258" s="30"/>
      <c r="GY258" s="30"/>
      <c r="GZ258" s="30"/>
      <c r="HA258" s="30"/>
      <c r="HB258" s="30"/>
      <c r="HC258" s="30"/>
      <c r="HD258" s="30"/>
      <c r="HE258" s="30"/>
      <c r="HF258" s="30"/>
      <c r="HG258" s="30"/>
      <c r="HH258" s="30"/>
      <c r="HI258" s="30"/>
      <c r="HJ258" s="30"/>
      <c r="HK258" s="30"/>
      <c r="HL258" s="30"/>
      <c r="HM258" s="30"/>
      <c r="HN258" s="30"/>
      <c r="HO258" s="30"/>
      <c r="HP258" s="30"/>
      <c r="HQ258" s="30"/>
      <c r="HR258" s="30"/>
      <c r="HS258" s="30"/>
      <c r="HT258" s="30"/>
      <c r="HU258" s="30"/>
      <c r="HV258" s="30"/>
      <c r="HW258" s="30"/>
      <c r="HX258" s="30"/>
      <c r="HY258" s="30"/>
      <c r="HZ258" s="30"/>
      <c r="IA258" s="30"/>
      <c r="IB258" s="30"/>
      <c r="IC258" s="30"/>
      <c r="ID258" s="30"/>
      <c r="IE258" s="30"/>
      <c r="IF258" s="30"/>
      <c r="IG258" s="30"/>
      <c r="IH258" s="30"/>
      <c r="II258" s="30"/>
      <c r="IJ258" s="30"/>
      <c r="IK258" s="30"/>
      <c r="IL258" s="30"/>
      <c r="IM258" s="30"/>
      <c r="IN258" s="30"/>
      <c r="IO258" s="30"/>
      <c r="IP258" s="30"/>
      <c r="IQ258" s="30"/>
      <c r="IR258" s="30"/>
      <c r="IS258" s="30"/>
      <c r="IT258" s="30"/>
      <c r="IU258" s="30"/>
      <c r="IV258" s="30"/>
      <c r="IW258" s="30"/>
      <c r="IX258" s="30"/>
      <c r="IY258" s="30"/>
      <c r="IZ258" s="30"/>
      <c r="JA258" s="30"/>
      <c r="JB258" s="30"/>
      <c r="JC258" s="30"/>
      <c r="JD258" s="30"/>
      <c r="JE258" s="30"/>
      <c r="JF258" s="30"/>
      <c r="JG258" s="30"/>
      <c r="JH258" s="30"/>
      <c r="JI258" s="30"/>
      <c r="JJ258" s="30"/>
      <c r="JK258" s="30"/>
      <c r="JL258" s="30"/>
      <c r="JM258" s="30"/>
      <c r="JN258" s="30"/>
      <c r="JO258" s="30"/>
      <c r="JP258" s="30"/>
      <c r="JQ258" s="30"/>
      <c r="JR258" s="30"/>
      <c r="JS258" s="30"/>
      <c r="JT258" s="30"/>
      <c r="JU258" s="30"/>
      <c r="JV258" s="30"/>
      <c r="JW258" s="30"/>
      <c r="JX258" s="30"/>
      <c r="JY258" s="30"/>
      <c r="JZ258" s="30"/>
      <c r="KA258" s="30"/>
      <c r="KB258" s="30"/>
      <c r="KC258" s="30"/>
      <c r="KD258" s="30"/>
      <c r="KE258" s="30"/>
      <c r="KF258" s="30"/>
      <c r="KG258" s="30"/>
      <c r="KH258" s="30"/>
      <c r="KI258" s="30"/>
      <c r="KJ258" s="30"/>
      <c r="KK258" s="30"/>
      <c r="KL258" s="30"/>
      <c r="KM258" s="30"/>
      <c r="KN258" s="30"/>
      <c r="KO258" s="30"/>
      <c r="KP258" s="30"/>
      <c r="KQ258" s="30"/>
      <c r="KR258" s="30"/>
      <c r="KS258" s="30"/>
      <c r="KT258" s="30"/>
      <c r="KU258" s="30"/>
      <c r="KV258" s="30"/>
      <c r="KW258" s="30"/>
      <c r="KX258" s="30"/>
      <c r="KY258" s="30"/>
      <c r="KZ258" s="30"/>
      <c r="LA258" s="30"/>
      <c r="LB258" s="30"/>
      <c r="LC258" s="30"/>
      <c r="LD258" s="30"/>
      <c r="LE258" s="30"/>
      <c r="LF258" s="30"/>
      <c r="LG258" s="30"/>
      <c r="LH258" s="30"/>
      <c r="LI258" s="30"/>
      <c r="LJ258" s="30"/>
      <c r="LK258" s="30"/>
      <c r="LL258" s="30"/>
      <c r="LM258" s="30"/>
      <c r="LN258" s="30"/>
      <c r="LO258" s="30"/>
      <c r="LP258" s="30"/>
      <c r="LQ258" s="30"/>
      <c r="LR258" s="30"/>
      <c r="LS258" s="30"/>
      <c r="LT258" s="30"/>
      <c r="LU258" s="30"/>
      <c r="LV258" s="30"/>
      <c r="LW258" s="30"/>
      <c r="LX258" s="30"/>
      <c r="LY258" s="30"/>
      <c r="LZ258" s="30"/>
      <c r="MA258" s="30"/>
      <c r="MB258" s="30"/>
      <c r="MC258" s="30"/>
      <c r="MD258" s="30"/>
      <c r="ME258" s="30"/>
      <c r="MF258" s="30"/>
      <c r="MG258" s="30"/>
      <c r="MH258" s="30"/>
      <c r="MI258" s="30"/>
      <c r="MJ258" s="30"/>
      <c r="MK258" s="30"/>
      <c r="ML258" s="30"/>
      <c r="MM258" s="30"/>
      <c r="MN258" s="30"/>
      <c r="MO258" s="30"/>
      <c r="MP258" s="30"/>
      <c r="MQ258" s="30"/>
      <c r="MR258" s="30"/>
      <c r="MS258" s="30"/>
      <c r="MT258" s="30"/>
      <c r="MU258" s="30"/>
      <c r="MV258" s="30"/>
      <c r="MW258" s="30"/>
      <c r="MX258" s="30"/>
      <c r="MY258" s="30"/>
      <c r="MZ258" s="30"/>
      <c r="NA258" s="30"/>
      <c r="NB258" s="30"/>
      <c r="NC258" s="30"/>
      <c r="ND258" s="30"/>
      <c r="NE258" s="30"/>
      <c r="NF258" s="30"/>
      <c r="NG258" s="30"/>
      <c r="NH258" s="30"/>
      <c r="NI258" s="30"/>
      <c r="NJ258" s="30"/>
      <c r="NK258" s="30"/>
      <c r="NL258" s="30"/>
      <c r="NM258" s="30"/>
      <c r="NN258" s="30"/>
      <c r="NO258" s="30"/>
      <c r="NP258" s="30"/>
      <c r="NQ258" s="30"/>
      <c r="NR258" s="30"/>
    </row>
    <row r="259" spans="1:382" s="3" customFormat="1" ht="20.100000000000001" customHeight="1" x14ac:dyDescent="0.4">
      <c r="A259" s="29">
        <v>1</v>
      </c>
      <c r="B259" s="5">
        <v>1654</v>
      </c>
      <c r="C259" s="5" t="s">
        <v>379</v>
      </c>
      <c r="D259" s="5" t="s">
        <v>193</v>
      </c>
      <c r="E259" s="5" t="s">
        <v>6</v>
      </c>
      <c r="F259" s="5" t="s">
        <v>32</v>
      </c>
      <c r="G259" s="5" t="s">
        <v>32</v>
      </c>
      <c r="H259" s="5" t="s">
        <v>32</v>
      </c>
      <c r="I259" s="8"/>
      <c r="J259" s="8"/>
      <c r="K259" s="8" t="str">
        <f>IF(OR(J259="",E259=""),"",J259+IFERROR(VLOOKUP(E259,リードタイム!$A$2:$C$9,3,FALSE),0))</f>
        <v/>
      </c>
      <c r="L259" s="5" t="s">
        <v>531</v>
      </c>
      <c r="M259" s="8"/>
      <c r="N259" s="8" t="str">
        <f>IF(OR(M259="",E259=""),"",M259+IFERROR(VLOOKUP(E259,リードタイム!$A$2:$D$9,4,FALSE),0))</f>
        <v/>
      </c>
      <c r="O259" s="5" t="s">
        <v>531</v>
      </c>
      <c r="P259" s="5" t="s">
        <v>533</v>
      </c>
      <c r="Q259" s="5" t="s">
        <v>32</v>
      </c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  <c r="FS259" s="30"/>
      <c r="FT259" s="30"/>
      <c r="FU259" s="30"/>
      <c r="FV259" s="30"/>
      <c r="FW259" s="30"/>
      <c r="FX259" s="30"/>
      <c r="FY259" s="30"/>
      <c r="FZ259" s="30"/>
      <c r="GA259" s="30"/>
      <c r="GB259" s="30"/>
      <c r="GC259" s="30"/>
      <c r="GD259" s="30"/>
      <c r="GE259" s="30"/>
      <c r="GF259" s="30"/>
      <c r="GG259" s="30"/>
      <c r="GH259" s="30"/>
      <c r="GI259" s="30"/>
      <c r="GJ259" s="30"/>
      <c r="GK259" s="30"/>
      <c r="GL259" s="30"/>
      <c r="GM259" s="30"/>
      <c r="GN259" s="30"/>
      <c r="GO259" s="30"/>
      <c r="GP259" s="30"/>
      <c r="GQ259" s="30"/>
      <c r="GR259" s="30"/>
      <c r="GS259" s="30"/>
      <c r="GT259" s="30"/>
      <c r="GU259" s="30"/>
      <c r="GV259" s="30"/>
      <c r="GW259" s="30"/>
      <c r="GX259" s="30"/>
      <c r="GY259" s="30"/>
      <c r="GZ259" s="30"/>
      <c r="HA259" s="30"/>
      <c r="HB259" s="30"/>
      <c r="HC259" s="30"/>
      <c r="HD259" s="30"/>
      <c r="HE259" s="30"/>
      <c r="HF259" s="30"/>
      <c r="HG259" s="30"/>
      <c r="HH259" s="30"/>
      <c r="HI259" s="30"/>
      <c r="HJ259" s="30"/>
      <c r="HK259" s="30"/>
      <c r="HL259" s="30"/>
      <c r="HM259" s="30"/>
      <c r="HN259" s="30"/>
      <c r="HO259" s="30"/>
      <c r="HP259" s="30"/>
      <c r="HQ259" s="30"/>
      <c r="HR259" s="30"/>
      <c r="HS259" s="30"/>
      <c r="HT259" s="30"/>
      <c r="HU259" s="30"/>
      <c r="HV259" s="30"/>
      <c r="HW259" s="30"/>
      <c r="HX259" s="30"/>
      <c r="HY259" s="30"/>
      <c r="HZ259" s="30"/>
      <c r="IA259" s="30"/>
      <c r="IB259" s="30"/>
      <c r="IC259" s="30"/>
      <c r="ID259" s="30"/>
      <c r="IE259" s="30"/>
      <c r="IF259" s="30"/>
      <c r="IG259" s="30"/>
      <c r="IH259" s="30"/>
      <c r="II259" s="30"/>
      <c r="IJ259" s="30"/>
      <c r="IK259" s="30"/>
      <c r="IL259" s="30"/>
      <c r="IM259" s="30"/>
      <c r="IN259" s="30"/>
      <c r="IO259" s="30"/>
      <c r="IP259" s="30"/>
      <c r="IQ259" s="30"/>
      <c r="IR259" s="30"/>
      <c r="IS259" s="30"/>
      <c r="IT259" s="30"/>
      <c r="IU259" s="30"/>
      <c r="IV259" s="30"/>
      <c r="IW259" s="30"/>
      <c r="IX259" s="30"/>
      <c r="IY259" s="30"/>
      <c r="IZ259" s="30"/>
      <c r="JA259" s="30"/>
      <c r="JB259" s="30"/>
      <c r="JC259" s="30"/>
      <c r="JD259" s="30"/>
      <c r="JE259" s="30"/>
      <c r="JF259" s="30"/>
      <c r="JG259" s="30"/>
      <c r="JH259" s="30"/>
      <c r="JI259" s="30"/>
      <c r="JJ259" s="30"/>
      <c r="JK259" s="30"/>
      <c r="JL259" s="30"/>
      <c r="JM259" s="30"/>
      <c r="JN259" s="30"/>
      <c r="JO259" s="30"/>
      <c r="JP259" s="30"/>
      <c r="JQ259" s="30"/>
      <c r="JR259" s="30"/>
      <c r="JS259" s="30"/>
      <c r="JT259" s="30"/>
      <c r="JU259" s="30"/>
      <c r="JV259" s="30"/>
      <c r="JW259" s="30"/>
      <c r="JX259" s="30"/>
      <c r="JY259" s="30"/>
      <c r="JZ259" s="30"/>
      <c r="KA259" s="30"/>
      <c r="KB259" s="30"/>
      <c r="KC259" s="30"/>
      <c r="KD259" s="30"/>
      <c r="KE259" s="30"/>
      <c r="KF259" s="30"/>
      <c r="KG259" s="30"/>
      <c r="KH259" s="30"/>
      <c r="KI259" s="30"/>
      <c r="KJ259" s="30"/>
      <c r="KK259" s="30"/>
      <c r="KL259" s="30"/>
      <c r="KM259" s="30"/>
      <c r="KN259" s="30"/>
      <c r="KO259" s="30"/>
      <c r="KP259" s="30"/>
      <c r="KQ259" s="30"/>
      <c r="KR259" s="30"/>
      <c r="KS259" s="30"/>
      <c r="KT259" s="30"/>
      <c r="KU259" s="30"/>
      <c r="KV259" s="30"/>
      <c r="KW259" s="30"/>
      <c r="KX259" s="30"/>
      <c r="KY259" s="30"/>
      <c r="KZ259" s="30"/>
      <c r="LA259" s="30"/>
      <c r="LB259" s="30"/>
      <c r="LC259" s="30"/>
      <c r="LD259" s="30"/>
      <c r="LE259" s="30"/>
      <c r="LF259" s="30"/>
      <c r="LG259" s="30"/>
      <c r="LH259" s="30"/>
      <c r="LI259" s="30"/>
      <c r="LJ259" s="30"/>
      <c r="LK259" s="30"/>
      <c r="LL259" s="30"/>
      <c r="LM259" s="30"/>
      <c r="LN259" s="30"/>
      <c r="LO259" s="30"/>
      <c r="LP259" s="30"/>
      <c r="LQ259" s="30"/>
      <c r="LR259" s="30"/>
      <c r="LS259" s="30"/>
      <c r="LT259" s="30"/>
      <c r="LU259" s="30"/>
      <c r="LV259" s="30"/>
      <c r="LW259" s="30"/>
      <c r="LX259" s="30"/>
      <c r="LY259" s="30"/>
      <c r="LZ259" s="30"/>
      <c r="MA259" s="30"/>
      <c r="MB259" s="30"/>
      <c r="MC259" s="30"/>
      <c r="MD259" s="30"/>
      <c r="ME259" s="30"/>
      <c r="MF259" s="30"/>
      <c r="MG259" s="30"/>
      <c r="MH259" s="30"/>
      <c r="MI259" s="30"/>
      <c r="MJ259" s="30"/>
      <c r="MK259" s="30"/>
      <c r="ML259" s="30"/>
      <c r="MM259" s="30"/>
      <c r="MN259" s="30"/>
      <c r="MO259" s="30"/>
      <c r="MP259" s="30"/>
      <c r="MQ259" s="30"/>
      <c r="MR259" s="30"/>
      <c r="MS259" s="30"/>
      <c r="MT259" s="30"/>
      <c r="MU259" s="30"/>
      <c r="MV259" s="30"/>
      <c r="MW259" s="30"/>
      <c r="MX259" s="30"/>
      <c r="MY259" s="30"/>
      <c r="MZ259" s="30"/>
      <c r="NA259" s="30"/>
      <c r="NB259" s="30"/>
      <c r="NC259" s="30"/>
      <c r="ND259" s="30"/>
      <c r="NE259" s="30"/>
      <c r="NF259" s="30"/>
      <c r="NG259" s="30"/>
      <c r="NH259" s="30"/>
      <c r="NI259" s="30"/>
      <c r="NJ259" s="30"/>
      <c r="NK259" s="30"/>
      <c r="NL259" s="30"/>
      <c r="NM259" s="30"/>
      <c r="NN259" s="30"/>
      <c r="NO259" s="30"/>
      <c r="NP259" s="30"/>
      <c r="NQ259" s="30"/>
      <c r="NR259" s="30"/>
    </row>
    <row r="260" spans="1:382" s="3" customFormat="1" ht="20.100000000000001" customHeight="1" x14ac:dyDescent="0.4">
      <c r="A260" s="29">
        <v>1</v>
      </c>
      <c r="B260" s="5">
        <v>1927</v>
      </c>
      <c r="C260" s="5" t="s">
        <v>380</v>
      </c>
      <c r="D260" s="5" t="s">
        <v>236</v>
      </c>
      <c r="E260" s="5" t="s">
        <v>4</v>
      </c>
      <c r="F260" s="5" t="s">
        <v>32</v>
      </c>
      <c r="G260" s="5" t="s">
        <v>32</v>
      </c>
      <c r="H260" s="5" t="s">
        <v>32</v>
      </c>
      <c r="I260" s="8"/>
      <c r="J260" s="8"/>
      <c r="K260" s="8" t="str">
        <f>IF(OR(J260="",E260=""),"",J260+IFERROR(VLOOKUP(E260,リードタイム!$A$2:$C$9,3,FALSE),0))</f>
        <v/>
      </c>
      <c r="L260" s="5" t="s">
        <v>530</v>
      </c>
      <c r="M260" s="8"/>
      <c r="N260" s="8" t="str">
        <f>IF(OR(M260="",E260=""),"",M260+IFERROR(VLOOKUP(E260,リードタイム!$A$2:$D$9,4,FALSE),0))</f>
        <v/>
      </c>
      <c r="O260" s="5" t="s">
        <v>530</v>
      </c>
      <c r="P260" s="5" t="s">
        <v>530</v>
      </c>
      <c r="Q260" s="5" t="s">
        <v>70</v>
      </c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  <c r="FS260" s="30"/>
      <c r="FT260" s="30"/>
      <c r="FU260" s="30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0"/>
      <c r="GS260" s="30"/>
      <c r="GT260" s="30"/>
      <c r="GU260" s="30"/>
      <c r="GV260" s="30"/>
      <c r="GW260" s="30"/>
      <c r="GX260" s="30"/>
      <c r="GY260" s="30"/>
      <c r="GZ260" s="30"/>
      <c r="HA260" s="30"/>
      <c r="HB260" s="30"/>
      <c r="HC260" s="30"/>
      <c r="HD260" s="30"/>
      <c r="HE260" s="30"/>
      <c r="HF260" s="30"/>
      <c r="HG260" s="30"/>
      <c r="HH260" s="30"/>
      <c r="HI260" s="30"/>
      <c r="HJ260" s="30"/>
      <c r="HK260" s="30"/>
      <c r="HL260" s="30"/>
      <c r="HM260" s="30"/>
      <c r="HN260" s="30"/>
      <c r="HO260" s="30"/>
      <c r="HP260" s="30"/>
      <c r="HQ260" s="30"/>
      <c r="HR260" s="30"/>
      <c r="HS260" s="30"/>
      <c r="HT260" s="30"/>
      <c r="HU260" s="30"/>
      <c r="HV260" s="30"/>
      <c r="HW260" s="30"/>
      <c r="HX260" s="30"/>
      <c r="HY260" s="30"/>
      <c r="HZ260" s="30"/>
      <c r="IA260" s="30"/>
      <c r="IB260" s="30"/>
      <c r="IC260" s="30"/>
      <c r="ID260" s="30"/>
      <c r="IE260" s="30"/>
      <c r="IF260" s="30"/>
      <c r="IG260" s="30"/>
      <c r="IH260" s="30"/>
      <c r="II260" s="30"/>
      <c r="IJ260" s="30"/>
      <c r="IK260" s="30"/>
      <c r="IL260" s="30"/>
      <c r="IM260" s="30"/>
      <c r="IN260" s="30"/>
      <c r="IO260" s="30"/>
      <c r="IP260" s="30"/>
      <c r="IQ260" s="30"/>
      <c r="IR260" s="30"/>
      <c r="IS260" s="30"/>
      <c r="IT260" s="30"/>
      <c r="IU260" s="30"/>
      <c r="IV260" s="30"/>
      <c r="IW260" s="30"/>
      <c r="IX260" s="30"/>
      <c r="IY260" s="30"/>
      <c r="IZ260" s="30"/>
      <c r="JA260" s="30"/>
      <c r="JB260" s="30"/>
      <c r="JC260" s="30"/>
      <c r="JD260" s="30"/>
      <c r="JE260" s="30"/>
      <c r="JF260" s="30"/>
      <c r="JG260" s="30"/>
      <c r="JH260" s="30"/>
      <c r="JI260" s="30"/>
      <c r="JJ260" s="30"/>
      <c r="JK260" s="30"/>
      <c r="JL260" s="30"/>
      <c r="JM260" s="30"/>
      <c r="JN260" s="30"/>
      <c r="JO260" s="30"/>
      <c r="JP260" s="30"/>
      <c r="JQ260" s="30"/>
      <c r="JR260" s="30"/>
      <c r="JS260" s="30"/>
      <c r="JT260" s="30"/>
      <c r="JU260" s="30"/>
      <c r="JV260" s="30"/>
      <c r="JW260" s="30"/>
      <c r="JX260" s="30"/>
      <c r="JY260" s="30"/>
      <c r="JZ260" s="30"/>
      <c r="KA260" s="30"/>
      <c r="KB260" s="30"/>
      <c r="KC260" s="30"/>
      <c r="KD260" s="30"/>
      <c r="KE260" s="30"/>
      <c r="KF260" s="30"/>
      <c r="KG260" s="30"/>
      <c r="KH260" s="30"/>
      <c r="KI260" s="30"/>
      <c r="KJ260" s="30"/>
      <c r="KK260" s="30"/>
      <c r="KL260" s="30"/>
      <c r="KM260" s="30"/>
      <c r="KN260" s="30"/>
      <c r="KO260" s="30"/>
      <c r="KP260" s="30"/>
      <c r="KQ260" s="30"/>
      <c r="KR260" s="30"/>
      <c r="KS260" s="30"/>
      <c r="KT260" s="30"/>
      <c r="KU260" s="30"/>
      <c r="KV260" s="30"/>
      <c r="KW260" s="30"/>
      <c r="KX260" s="30"/>
      <c r="KY260" s="30"/>
      <c r="KZ260" s="30"/>
      <c r="LA260" s="30"/>
      <c r="LB260" s="30"/>
      <c r="LC260" s="30"/>
      <c r="LD260" s="30"/>
      <c r="LE260" s="30"/>
      <c r="LF260" s="30"/>
      <c r="LG260" s="30"/>
      <c r="LH260" s="30"/>
      <c r="LI260" s="30"/>
      <c r="LJ260" s="30"/>
      <c r="LK260" s="30"/>
      <c r="LL260" s="30"/>
      <c r="LM260" s="30"/>
      <c r="LN260" s="30"/>
      <c r="LO260" s="30"/>
      <c r="LP260" s="30"/>
      <c r="LQ260" s="30"/>
      <c r="LR260" s="30"/>
      <c r="LS260" s="30"/>
      <c r="LT260" s="30"/>
      <c r="LU260" s="30"/>
      <c r="LV260" s="30"/>
      <c r="LW260" s="30"/>
      <c r="LX260" s="30"/>
      <c r="LY260" s="30"/>
      <c r="LZ260" s="30"/>
      <c r="MA260" s="30"/>
      <c r="MB260" s="30"/>
      <c r="MC260" s="30"/>
      <c r="MD260" s="30"/>
      <c r="ME260" s="30"/>
      <c r="MF260" s="30"/>
      <c r="MG260" s="30"/>
      <c r="MH260" s="30"/>
      <c r="MI260" s="30"/>
      <c r="MJ260" s="30"/>
      <c r="MK260" s="30"/>
      <c r="ML260" s="30"/>
      <c r="MM260" s="30"/>
      <c r="MN260" s="30"/>
      <c r="MO260" s="30"/>
      <c r="MP260" s="30"/>
      <c r="MQ260" s="30"/>
      <c r="MR260" s="30"/>
      <c r="MS260" s="30"/>
      <c r="MT260" s="30"/>
      <c r="MU260" s="30"/>
      <c r="MV260" s="30"/>
      <c r="MW260" s="30"/>
      <c r="MX260" s="30"/>
      <c r="MY260" s="30"/>
      <c r="MZ260" s="30"/>
      <c r="NA260" s="30"/>
      <c r="NB260" s="30"/>
      <c r="NC260" s="30"/>
      <c r="ND260" s="30"/>
      <c r="NE260" s="30"/>
      <c r="NF260" s="30"/>
      <c r="NG260" s="30"/>
      <c r="NH260" s="30"/>
      <c r="NI260" s="30"/>
      <c r="NJ260" s="30"/>
      <c r="NK260" s="30"/>
      <c r="NL260" s="30"/>
      <c r="NM260" s="30"/>
      <c r="NN260" s="30"/>
      <c r="NO260" s="30"/>
      <c r="NP260" s="30"/>
      <c r="NQ260" s="30"/>
      <c r="NR260" s="30"/>
    </row>
    <row r="261" spans="1:382" s="3" customFormat="1" ht="20.100000000000001" customHeight="1" x14ac:dyDescent="0.4">
      <c r="A261" s="29">
        <v>1</v>
      </c>
      <c r="B261" s="5">
        <v>1927</v>
      </c>
      <c r="C261" s="5" t="s">
        <v>381</v>
      </c>
      <c r="D261" s="5" t="s">
        <v>236</v>
      </c>
      <c r="E261" s="5" t="s">
        <v>4</v>
      </c>
      <c r="F261" s="5" t="s">
        <v>32</v>
      </c>
      <c r="G261" s="5" t="s">
        <v>32</v>
      </c>
      <c r="H261" s="5" t="s">
        <v>32</v>
      </c>
      <c r="I261" s="8"/>
      <c r="J261" s="8"/>
      <c r="K261" s="8" t="str">
        <f>IF(OR(J261="",E261=""),"",J261+IFERROR(VLOOKUP(E261,リードタイム!$A$2:$C$9,3,FALSE),0))</f>
        <v/>
      </c>
      <c r="L261" s="5" t="s">
        <v>531</v>
      </c>
      <c r="M261" s="8"/>
      <c r="N261" s="8" t="str">
        <f>IF(OR(M261="",E261=""),"",M261+IFERROR(VLOOKUP(E261,リードタイム!$A$2:$D$9,4,FALSE),0))</f>
        <v/>
      </c>
      <c r="O261" s="5" t="s">
        <v>531</v>
      </c>
      <c r="P261" s="5" t="s">
        <v>532</v>
      </c>
      <c r="Q261" s="5" t="s">
        <v>32</v>
      </c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  <c r="FS261" s="30"/>
      <c r="FT261" s="30"/>
      <c r="FU261" s="30"/>
      <c r="FV261" s="30"/>
      <c r="FW261" s="30"/>
      <c r="FX261" s="30"/>
      <c r="FY261" s="30"/>
      <c r="FZ261" s="30"/>
      <c r="GA261" s="30"/>
      <c r="GB261" s="30"/>
      <c r="GC261" s="30"/>
      <c r="GD261" s="30"/>
      <c r="GE261" s="30"/>
      <c r="GF261" s="30"/>
      <c r="GG261" s="30"/>
      <c r="GH261" s="30"/>
      <c r="GI261" s="30"/>
      <c r="GJ261" s="30"/>
      <c r="GK261" s="30"/>
      <c r="GL261" s="30"/>
      <c r="GM261" s="30"/>
      <c r="GN261" s="30"/>
      <c r="GO261" s="30"/>
      <c r="GP261" s="30"/>
      <c r="GQ261" s="30"/>
      <c r="GR261" s="30"/>
      <c r="GS261" s="30"/>
      <c r="GT261" s="30"/>
      <c r="GU261" s="30"/>
      <c r="GV261" s="30"/>
      <c r="GW261" s="30"/>
      <c r="GX261" s="30"/>
      <c r="GY261" s="30"/>
      <c r="GZ261" s="30"/>
      <c r="HA261" s="30"/>
      <c r="HB261" s="30"/>
      <c r="HC261" s="30"/>
      <c r="HD261" s="30"/>
      <c r="HE261" s="30"/>
      <c r="HF261" s="30"/>
      <c r="HG261" s="30"/>
      <c r="HH261" s="30"/>
      <c r="HI261" s="30"/>
      <c r="HJ261" s="30"/>
      <c r="HK261" s="30"/>
      <c r="HL261" s="30"/>
      <c r="HM261" s="30"/>
      <c r="HN261" s="30"/>
      <c r="HO261" s="30"/>
      <c r="HP261" s="30"/>
      <c r="HQ261" s="30"/>
      <c r="HR261" s="30"/>
      <c r="HS261" s="30"/>
      <c r="HT261" s="30"/>
      <c r="HU261" s="30"/>
      <c r="HV261" s="30"/>
      <c r="HW261" s="30"/>
      <c r="HX261" s="30"/>
      <c r="HY261" s="30"/>
      <c r="HZ261" s="30"/>
      <c r="IA261" s="30"/>
      <c r="IB261" s="30"/>
      <c r="IC261" s="30"/>
      <c r="ID261" s="30"/>
      <c r="IE261" s="30"/>
      <c r="IF261" s="30"/>
      <c r="IG261" s="30"/>
      <c r="IH261" s="30"/>
      <c r="II261" s="30"/>
      <c r="IJ261" s="30"/>
      <c r="IK261" s="30"/>
      <c r="IL261" s="30"/>
      <c r="IM261" s="30"/>
      <c r="IN261" s="30"/>
      <c r="IO261" s="30"/>
      <c r="IP261" s="30"/>
      <c r="IQ261" s="30"/>
      <c r="IR261" s="30"/>
      <c r="IS261" s="30"/>
      <c r="IT261" s="30"/>
      <c r="IU261" s="30"/>
      <c r="IV261" s="30"/>
      <c r="IW261" s="30"/>
      <c r="IX261" s="30"/>
      <c r="IY261" s="30"/>
      <c r="IZ261" s="30"/>
      <c r="JA261" s="30"/>
      <c r="JB261" s="30"/>
      <c r="JC261" s="30"/>
      <c r="JD261" s="30"/>
      <c r="JE261" s="30"/>
      <c r="JF261" s="30"/>
      <c r="JG261" s="30"/>
      <c r="JH261" s="30"/>
      <c r="JI261" s="30"/>
      <c r="JJ261" s="30"/>
      <c r="JK261" s="30"/>
      <c r="JL261" s="30"/>
      <c r="JM261" s="30"/>
      <c r="JN261" s="30"/>
      <c r="JO261" s="30"/>
      <c r="JP261" s="30"/>
      <c r="JQ261" s="30"/>
      <c r="JR261" s="30"/>
      <c r="JS261" s="30"/>
      <c r="JT261" s="30"/>
      <c r="JU261" s="30"/>
      <c r="JV261" s="30"/>
      <c r="JW261" s="30"/>
      <c r="JX261" s="30"/>
      <c r="JY261" s="30"/>
      <c r="JZ261" s="30"/>
      <c r="KA261" s="30"/>
      <c r="KB261" s="30"/>
      <c r="KC261" s="30"/>
      <c r="KD261" s="30"/>
      <c r="KE261" s="30"/>
      <c r="KF261" s="30"/>
      <c r="KG261" s="30"/>
      <c r="KH261" s="30"/>
      <c r="KI261" s="30"/>
      <c r="KJ261" s="30"/>
      <c r="KK261" s="30"/>
      <c r="KL261" s="30"/>
      <c r="KM261" s="30"/>
      <c r="KN261" s="30"/>
      <c r="KO261" s="30"/>
      <c r="KP261" s="30"/>
      <c r="KQ261" s="30"/>
      <c r="KR261" s="30"/>
      <c r="KS261" s="30"/>
      <c r="KT261" s="30"/>
      <c r="KU261" s="30"/>
      <c r="KV261" s="30"/>
      <c r="KW261" s="30"/>
      <c r="KX261" s="30"/>
      <c r="KY261" s="30"/>
      <c r="KZ261" s="30"/>
      <c r="LA261" s="30"/>
      <c r="LB261" s="30"/>
      <c r="LC261" s="30"/>
      <c r="LD261" s="30"/>
      <c r="LE261" s="30"/>
      <c r="LF261" s="30"/>
      <c r="LG261" s="30"/>
      <c r="LH261" s="30"/>
      <c r="LI261" s="30"/>
      <c r="LJ261" s="30"/>
      <c r="LK261" s="30"/>
      <c r="LL261" s="30"/>
      <c r="LM261" s="30"/>
      <c r="LN261" s="30"/>
      <c r="LO261" s="30"/>
      <c r="LP261" s="30"/>
      <c r="LQ261" s="30"/>
      <c r="LR261" s="30"/>
      <c r="LS261" s="30"/>
      <c r="LT261" s="30"/>
      <c r="LU261" s="30"/>
      <c r="LV261" s="30"/>
      <c r="LW261" s="30"/>
      <c r="LX261" s="30"/>
      <c r="LY261" s="30"/>
      <c r="LZ261" s="30"/>
      <c r="MA261" s="30"/>
      <c r="MB261" s="30"/>
      <c r="MC261" s="30"/>
      <c r="MD261" s="30"/>
      <c r="ME261" s="30"/>
      <c r="MF261" s="30"/>
      <c r="MG261" s="30"/>
      <c r="MH261" s="30"/>
      <c r="MI261" s="30"/>
      <c r="MJ261" s="30"/>
      <c r="MK261" s="30"/>
      <c r="ML261" s="30"/>
      <c r="MM261" s="30"/>
      <c r="MN261" s="30"/>
      <c r="MO261" s="30"/>
      <c r="MP261" s="30"/>
      <c r="MQ261" s="30"/>
      <c r="MR261" s="30"/>
      <c r="MS261" s="30"/>
      <c r="MT261" s="30"/>
      <c r="MU261" s="30"/>
      <c r="MV261" s="30"/>
      <c r="MW261" s="30"/>
      <c r="MX261" s="30"/>
      <c r="MY261" s="30"/>
      <c r="MZ261" s="30"/>
      <c r="NA261" s="30"/>
      <c r="NB261" s="30"/>
      <c r="NC261" s="30"/>
      <c r="ND261" s="30"/>
      <c r="NE261" s="30"/>
      <c r="NF261" s="30"/>
      <c r="NG261" s="30"/>
      <c r="NH261" s="30"/>
      <c r="NI261" s="30"/>
      <c r="NJ261" s="30"/>
      <c r="NK261" s="30"/>
      <c r="NL261" s="30"/>
      <c r="NM261" s="30"/>
      <c r="NN261" s="30"/>
      <c r="NO261" s="30"/>
      <c r="NP261" s="30"/>
      <c r="NQ261" s="30"/>
      <c r="NR261" s="30"/>
    </row>
    <row r="262" spans="1:382" s="3" customFormat="1" ht="20.100000000000001" customHeight="1" x14ac:dyDescent="0.4">
      <c r="A262" s="29">
        <v>1</v>
      </c>
      <c r="B262" s="5">
        <v>1927</v>
      </c>
      <c r="C262" s="5" t="s">
        <v>382</v>
      </c>
      <c r="D262" s="5" t="s">
        <v>383</v>
      </c>
      <c r="E262" s="5" t="s">
        <v>4</v>
      </c>
      <c r="F262" s="5" t="s">
        <v>32</v>
      </c>
      <c r="G262" s="5" t="s">
        <v>32</v>
      </c>
      <c r="H262" s="5" t="s">
        <v>32</v>
      </c>
      <c r="I262" s="8"/>
      <c r="J262" s="8"/>
      <c r="K262" s="8" t="str">
        <f>IF(OR(J262="",E262=""),"",J262+IFERROR(VLOOKUP(E262,リードタイム!$A$2:$C$9,3,FALSE),0))</f>
        <v/>
      </c>
      <c r="L262" s="5" t="s">
        <v>530</v>
      </c>
      <c r="M262" s="8"/>
      <c r="N262" s="8" t="str">
        <f>IF(OR(M262="",E262=""),"",M262+IFERROR(VLOOKUP(E262,リードタイム!$A$2:$D$9,4,FALSE),0))</f>
        <v/>
      </c>
      <c r="O262" s="5" t="s">
        <v>530</v>
      </c>
      <c r="P262" s="5" t="s">
        <v>530</v>
      </c>
      <c r="Q262" s="5" t="s">
        <v>384</v>
      </c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  <c r="FS262" s="30"/>
      <c r="FT262" s="30"/>
      <c r="FU262" s="30"/>
      <c r="FV262" s="30"/>
      <c r="FW262" s="30"/>
      <c r="FX262" s="30"/>
      <c r="FY262" s="30"/>
      <c r="FZ262" s="30"/>
      <c r="GA262" s="30"/>
      <c r="GB262" s="30"/>
      <c r="GC262" s="30"/>
      <c r="GD262" s="30"/>
      <c r="GE262" s="30"/>
      <c r="GF262" s="30"/>
      <c r="GG262" s="30"/>
      <c r="GH262" s="30"/>
      <c r="GI262" s="30"/>
      <c r="GJ262" s="30"/>
      <c r="GK262" s="30"/>
      <c r="GL262" s="30"/>
      <c r="GM262" s="30"/>
      <c r="GN262" s="30"/>
      <c r="GO262" s="30"/>
      <c r="GP262" s="30"/>
      <c r="GQ262" s="30"/>
      <c r="GR262" s="30"/>
      <c r="GS262" s="30"/>
      <c r="GT262" s="30"/>
      <c r="GU262" s="30"/>
      <c r="GV262" s="30"/>
      <c r="GW262" s="30"/>
      <c r="GX262" s="30"/>
      <c r="GY262" s="30"/>
      <c r="GZ262" s="30"/>
      <c r="HA262" s="30"/>
      <c r="HB262" s="30"/>
      <c r="HC262" s="30"/>
      <c r="HD262" s="30"/>
      <c r="HE262" s="30"/>
      <c r="HF262" s="30"/>
      <c r="HG262" s="30"/>
      <c r="HH262" s="30"/>
      <c r="HI262" s="30"/>
      <c r="HJ262" s="30"/>
      <c r="HK262" s="30"/>
      <c r="HL262" s="30"/>
      <c r="HM262" s="30"/>
      <c r="HN262" s="30"/>
      <c r="HO262" s="30"/>
      <c r="HP262" s="30"/>
      <c r="HQ262" s="30"/>
      <c r="HR262" s="30"/>
      <c r="HS262" s="30"/>
      <c r="HT262" s="30"/>
      <c r="HU262" s="30"/>
      <c r="HV262" s="30"/>
      <c r="HW262" s="30"/>
      <c r="HX262" s="30"/>
      <c r="HY262" s="30"/>
      <c r="HZ262" s="30"/>
      <c r="IA262" s="30"/>
      <c r="IB262" s="30"/>
      <c r="IC262" s="30"/>
      <c r="ID262" s="30"/>
      <c r="IE262" s="30"/>
      <c r="IF262" s="30"/>
      <c r="IG262" s="30"/>
      <c r="IH262" s="30"/>
      <c r="II262" s="30"/>
      <c r="IJ262" s="30"/>
      <c r="IK262" s="30"/>
      <c r="IL262" s="30"/>
      <c r="IM262" s="30"/>
      <c r="IN262" s="30"/>
      <c r="IO262" s="30"/>
      <c r="IP262" s="30"/>
      <c r="IQ262" s="30"/>
      <c r="IR262" s="30"/>
      <c r="IS262" s="30"/>
      <c r="IT262" s="30"/>
      <c r="IU262" s="30"/>
      <c r="IV262" s="30"/>
      <c r="IW262" s="30"/>
      <c r="IX262" s="30"/>
      <c r="IY262" s="30"/>
      <c r="IZ262" s="30"/>
      <c r="JA262" s="30"/>
      <c r="JB262" s="30"/>
      <c r="JC262" s="30"/>
      <c r="JD262" s="30"/>
      <c r="JE262" s="30"/>
      <c r="JF262" s="30"/>
      <c r="JG262" s="30"/>
      <c r="JH262" s="30"/>
      <c r="JI262" s="30"/>
      <c r="JJ262" s="30"/>
      <c r="JK262" s="30"/>
      <c r="JL262" s="30"/>
      <c r="JM262" s="30"/>
      <c r="JN262" s="30"/>
      <c r="JO262" s="30"/>
      <c r="JP262" s="30"/>
      <c r="JQ262" s="30"/>
      <c r="JR262" s="30"/>
      <c r="JS262" s="30"/>
      <c r="JT262" s="30"/>
      <c r="JU262" s="30"/>
      <c r="JV262" s="30"/>
      <c r="JW262" s="30"/>
      <c r="JX262" s="30"/>
      <c r="JY262" s="30"/>
      <c r="JZ262" s="30"/>
      <c r="KA262" s="30"/>
      <c r="KB262" s="30"/>
      <c r="KC262" s="30"/>
      <c r="KD262" s="30"/>
      <c r="KE262" s="30"/>
      <c r="KF262" s="30"/>
      <c r="KG262" s="30"/>
      <c r="KH262" s="30"/>
      <c r="KI262" s="30"/>
      <c r="KJ262" s="30"/>
      <c r="KK262" s="30"/>
      <c r="KL262" s="30"/>
      <c r="KM262" s="30"/>
      <c r="KN262" s="30"/>
      <c r="KO262" s="30"/>
      <c r="KP262" s="30"/>
      <c r="KQ262" s="30"/>
      <c r="KR262" s="30"/>
      <c r="KS262" s="30"/>
      <c r="KT262" s="30"/>
      <c r="KU262" s="30"/>
      <c r="KV262" s="30"/>
      <c r="KW262" s="30"/>
      <c r="KX262" s="30"/>
      <c r="KY262" s="30"/>
      <c r="KZ262" s="30"/>
      <c r="LA262" s="30"/>
      <c r="LB262" s="30"/>
      <c r="LC262" s="30"/>
      <c r="LD262" s="30"/>
      <c r="LE262" s="30"/>
      <c r="LF262" s="30"/>
      <c r="LG262" s="30"/>
      <c r="LH262" s="30"/>
      <c r="LI262" s="30"/>
      <c r="LJ262" s="30"/>
      <c r="LK262" s="30"/>
      <c r="LL262" s="30"/>
      <c r="LM262" s="30"/>
      <c r="LN262" s="30"/>
      <c r="LO262" s="30"/>
      <c r="LP262" s="30"/>
      <c r="LQ262" s="30"/>
      <c r="LR262" s="30"/>
      <c r="LS262" s="30"/>
      <c r="LT262" s="30"/>
      <c r="LU262" s="30"/>
      <c r="LV262" s="30"/>
      <c r="LW262" s="30"/>
      <c r="LX262" s="30"/>
      <c r="LY262" s="30"/>
      <c r="LZ262" s="30"/>
      <c r="MA262" s="30"/>
      <c r="MB262" s="30"/>
      <c r="MC262" s="30"/>
      <c r="MD262" s="30"/>
      <c r="ME262" s="30"/>
      <c r="MF262" s="30"/>
      <c r="MG262" s="30"/>
      <c r="MH262" s="30"/>
      <c r="MI262" s="30"/>
      <c r="MJ262" s="30"/>
      <c r="MK262" s="30"/>
      <c r="ML262" s="30"/>
      <c r="MM262" s="30"/>
      <c r="MN262" s="30"/>
      <c r="MO262" s="30"/>
      <c r="MP262" s="30"/>
      <c r="MQ262" s="30"/>
      <c r="MR262" s="30"/>
      <c r="MS262" s="30"/>
      <c r="MT262" s="30"/>
      <c r="MU262" s="30"/>
      <c r="MV262" s="30"/>
      <c r="MW262" s="30"/>
      <c r="MX262" s="30"/>
      <c r="MY262" s="30"/>
      <c r="MZ262" s="30"/>
      <c r="NA262" s="30"/>
      <c r="NB262" s="30"/>
      <c r="NC262" s="30"/>
      <c r="ND262" s="30"/>
      <c r="NE262" s="30"/>
      <c r="NF262" s="30"/>
      <c r="NG262" s="30"/>
      <c r="NH262" s="30"/>
      <c r="NI262" s="30"/>
      <c r="NJ262" s="30"/>
      <c r="NK262" s="30"/>
      <c r="NL262" s="30"/>
      <c r="NM262" s="30"/>
      <c r="NN262" s="30"/>
      <c r="NO262" s="30"/>
      <c r="NP262" s="30"/>
      <c r="NQ262" s="30"/>
      <c r="NR262" s="30"/>
    </row>
    <row r="263" spans="1:382" s="3" customFormat="1" ht="20.100000000000001" customHeight="1" x14ac:dyDescent="0.4">
      <c r="A263" s="29">
        <v>1</v>
      </c>
      <c r="B263" s="5">
        <v>1717</v>
      </c>
      <c r="C263" s="5" t="s">
        <v>385</v>
      </c>
      <c r="D263" s="5" t="s">
        <v>193</v>
      </c>
      <c r="E263" s="5" t="s">
        <v>6</v>
      </c>
      <c r="F263" s="5" t="s">
        <v>32</v>
      </c>
      <c r="G263" s="5" t="s">
        <v>32</v>
      </c>
      <c r="H263" s="5" t="s">
        <v>32</v>
      </c>
      <c r="I263" s="8">
        <v>45939.625</v>
      </c>
      <c r="J263" s="8"/>
      <c r="K263" s="8" t="str">
        <f>IF(OR(J263="",E263=""),"",J263+IFERROR(VLOOKUP(E263,リードタイム!$A$2:$C$9,3,FALSE),0))</f>
        <v/>
      </c>
      <c r="L263" s="5" t="s">
        <v>531</v>
      </c>
      <c r="M263" s="8"/>
      <c r="N263" s="8" t="str">
        <f>IF(OR(M263="",E263=""),"",M263+IFERROR(VLOOKUP(E263,リードタイム!$A$2:$D$9,4,FALSE),0))</f>
        <v/>
      </c>
      <c r="O263" s="5" t="s">
        <v>531</v>
      </c>
      <c r="P263" s="5" t="s">
        <v>532</v>
      </c>
      <c r="Q263" s="5" t="s">
        <v>386</v>
      </c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  <c r="FS263" s="30"/>
      <c r="FT263" s="30"/>
      <c r="FU263" s="30"/>
      <c r="FV263" s="30"/>
      <c r="FW263" s="30"/>
      <c r="FX263" s="30"/>
      <c r="FY263" s="30"/>
      <c r="FZ263" s="30"/>
      <c r="GA263" s="30"/>
      <c r="GB263" s="30"/>
      <c r="GC263" s="30"/>
      <c r="GD263" s="30"/>
      <c r="GE263" s="30"/>
      <c r="GF263" s="30"/>
      <c r="GG263" s="30"/>
      <c r="GH263" s="30"/>
      <c r="GI263" s="30"/>
      <c r="GJ263" s="30"/>
      <c r="GK263" s="30"/>
      <c r="GL263" s="30"/>
      <c r="GM263" s="30"/>
      <c r="GN263" s="30"/>
      <c r="GO263" s="30"/>
      <c r="GP263" s="30"/>
      <c r="GQ263" s="30"/>
      <c r="GR263" s="30"/>
      <c r="GS263" s="30"/>
      <c r="GT263" s="30"/>
      <c r="GU263" s="30"/>
      <c r="GV263" s="30"/>
      <c r="GW263" s="30"/>
      <c r="GX263" s="30"/>
      <c r="GY263" s="30"/>
      <c r="GZ263" s="30"/>
      <c r="HA263" s="30"/>
      <c r="HB263" s="30"/>
      <c r="HC263" s="30"/>
      <c r="HD263" s="30"/>
      <c r="HE263" s="30"/>
      <c r="HF263" s="30"/>
      <c r="HG263" s="30"/>
      <c r="HH263" s="30"/>
      <c r="HI263" s="30"/>
      <c r="HJ263" s="30"/>
      <c r="HK263" s="30"/>
      <c r="HL263" s="30"/>
      <c r="HM263" s="30"/>
      <c r="HN263" s="30"/>
      <c r="HO263" s="30"/>
      <c r="HP263" s="30"/>
      <c r="HQ263" s="30"/>
      <c r="HR263" s="30"/>
      <c r="HS263" s="30"/>
      <c r="HT263" s="30"/>
      <c r="HU263" s="30"/>
      <c r="HV263" s="30"/>
      <c r="HW263" s="30"/>
      <c r="HX263" s="30"/>
      <c r="HY263" s="30"/>
      <c r="HZ263" s="30"/>
      <c r="IA263" s="30"/>
      <c r="IB263" s="30"/>
      <c r="IC263" s="30"/>
      <c r="ID263" s="30"/>
      <c r="IE263" s="30"/>
      <c r="IF263" s="30"/>
      <c r="IG263" s="30"/>
      <c r="IH263" s="30"/>
      <c r="II263" s="30"/>
      <c r="IJ263" s="30"/>
      <c r="IK263" s="30"/>
      <c r="IL263" s="30"/>
      <c r="IM263" s="30"/>
      <c r="IN263" s="30"/>
      <c r="IO263" s="30"/>
      <c r="IP263" s="30"/>
      <c r="IQ263" s="30"/>
      <c r="IR263" s="30"/>
      <c r="IS263" s="30"/>
      <c r="IT263" s="30"/>
      <c r="IU263" s="30"/>
      <c r="IV263" s="30"/>
      <c r="IW263" s="30"/>
      <c r="IX263" s="30"/>
      <c r="IY263" s="30"/>
      <c r="IZ263" s="30"/>
      <c r="JA263" s="30"/>
      <c r="JB263" s="30"/>
      <c r="JC263" s="30"/>
      <c r="JD263" s="30"/>
      <c r="JE263" s="30"/>
      <c r="JF263" s="30"/>
      <c r="JG263" s="30"/>
      <c r="JH263" s="30"/>
      <c r="JI263" s="30"/>
      <c r="JJ263" s="30"/>
      <c r="JK263" s="30"/>
      <c r="JL263" s="30"/>
      <c r="JM263" s="30"/>
      <c r="JN263" s="30"/>
      <c r="JO263" s="30"/>
      <c r="JP263" s="30"/>
      <c r="JQ263" s="30"/>
      <c r="JR263" s="30"/>
      <c r="JS263" s="30"/>
      <c r="JT263" s="30"/>
      <c r="JU263" s="30"/>
      <c r="JV263" s="30"/>
      <c r="JW263" s="30"/>
      <c r="JX263" s="30"/>
      <c r="JY263" s="30"/>
      <c r="JZ263" s="30"/>
      <c r="KA263" s="30"/>
      <c r="KB263" s="30"/>
      <c r="KC263" s="30"/>
      <c r="KD263" s="30"/>
      <c r="KE263" s="30"/>
      <c r="KF263" s="30"/>
      <c r="KG263" s="30"/>
      <c r="KH263" s="30"/>
      <c r="KI263" s="30"/>
      <c r="KJ263" s="30"/>
      <c r="KK263" s="30"/>
      <c r="KL263" s="30"/>
      <c r="KM263" s="30"/>
      <c r="KN263" s="30"/>
      <c r="KO263" s="30"/>
      <c r="KP263" s="30"/>
      <c r="KQ263" s="30"/>
      <c r="KR263" s="30"/>
      <c r="KS263" s="30"/>
      <c r="KT263" s="30"/>
      <c r="KU263" s="30"/>
      <c r="KV263" s="30"/>
      <c r="KW263" s="30"/>
      <c r="KX263" s="30"/>
      <c r="KY263" s="30"/>
      <c r="KZ263" s="30"/>
      <c r="LA263" s="30"/>
      <c r="LB263" s="30"/>
      <c r="LC263" s="30"/>
      <c r="LD263" s="30"/>
      <c r="LE263" s="30"/>
      <c r="LF263" s="30"/>
      <c r="LG263" s="30"/>
      <c r="LH263" s="30"/>
      <c r="LI263" s="30"/>
      <c r="LJ263" s="30"/>
      <c r="LK263" s="30"/>
      <c r="LL263" s="30"/>
      <c r="LM263" s="30"/>
      <c r="LN263" s="30"/>
      <c r="LO263" s="30"/>
      <c r="LP263" s="30"/>
      <c r="LQ263" s="30"/>
      <c r="LR263" s="30"/>
      <c r="LS263" s="30"/>
      <c r="LT263" s="30"/>
      <c r="LU263" s="30"/>
      <c r="LV263" s="30"/>
      <c r="LW263" s="30"/>
      <c r="LX263" s="30"/>
      <c r="LY263" s="30"/>
      <c r="LZ263" s="30"/>
      <c r="MA263" s="30"/>
      <c r="MB263" s="30"/>
      <c r="MC263" s="30"/>
      <c r="MD263" s="30"/>
      <c r="ME263" s="30"/>
      <c r="MF263" s="30"/>
      <c r="MG263" s="30"/>
      <c r="MH263" s="30"/>
      <c r="MI263" s="30"/>
      <c r="MJ263" s="30"/>
      <c r="MK263" s="30"/>
      <c r="ML263" s="30"/>
      <c r="MM263" s="30"/>
      <c r="MN263" s="30"/>
      <c r="MO263" s="30"/>
      <c r="MP263" s="30"/>
      <c r="MQ263" s="30"/>
      <c r="MR263" s="30"/>
      <c r="MS263" s="30"/>
      <c r="MT263" s="30"/>
      <c r="MU263" s="30"/>
      <c r="MV263" s="30"/>
      <c r="MW263" s="30"/>
      <c r="MX263" s="30"/>
      <c r="MY263" s="30"/>
      <c r="MZ263" s="30"/>
      <c r="NA263" s="30"/>
      <c r="NB263" s="30"/>
      <c r="NC263" s="30"/>
      <c r="ND263" s="30"/>
      <c r="NE263" s="30"/>
      <c r="NF263" s="30"/>
      <c r="NG263" s="30"/>
      <c r="NH263" s="30"/>
      <c r="NI263" s="30"/>
      <c r="NJ263" s="30"/>
      <c r="NK263" s="30"/>
      <c r="NL263" s="30"/>
      <c r="NM263" s="30"/>
      <c r="NN263" s="30"/>
      <c r="NO263" s="30"/>
      <c r="NP263" s="30"/>
      <c r="NQ263" s="30"/>
      <c r="NR263" s="30"/>
    </row>
    <row r="264" spans="1:382" s="3" customFormat="1" ht="20.100000000000001" customHeight="1" x14ac:dyDescent="0.4">
      <c r="A264" s="29">
        <v>2</v>
      </c>
      <c r="B264" s="5">
        <v>1730</v>
      </c>
      <c r="C264" s="5" t="s">
        <v>385</v>
      </c>
      <c r="D264" s="5" t="s">
        <v>387</v>
      </c>
      <c r="E264" s="5" t="s">
        <v>18</v>
      </c>
      <c r="F264" s="5" t="s">
        <v>32</v>
      </c>
      <c r="G264" s="5" t="s">
        <v>32</v>
      </c>
      <c r="H264" s="5" t="s">
        <v>32</v>
      </c>
      <c r="I264" s="8">
        <v>45960.625</v>
      </c>
      <c r="J264" s="8"/>
      <c r="K264" s="8" t="str">
        <f>IF(OR(J264="",E264=""),"",J264+IFERROR(VLOOKUP(E264,リードタイム!$A$2:$C$9,3,FALSE),0))</f>
        <v/>
      </c>
      <c r="L264" s="5" t="s">
        <v>531</v>
      </c>
      <c r="M264" s="8"/>
      <c r="N264" s="8" t="str">
        <f>IF(OR(M264="",E264=""),"",M264+IFERROR(VLOOKUP(E264,リードタイム!$A$2:$D$9,4,FALSE),0))</f>
        <v/>
      </c>
      <c r="O264" s="5" t="s">
        <v>531</v>
      </c>
      <c r="P264" s="5" t="s">
        <v>532</v>
      </c>
      <c r="Q264" s="5" t="s">
        <v>32</v>
      </c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  <c r="FS264" s="30"/>
      <c r="FT264" s="30"/>
      <c r="FU264" s="30"/>
      <c r="FV264" s="30"/>
      <c r="FW264" s="30"/>
      <c r="FX264" s="30"/>
      <c r="FY264" s="30"/>
      <c r="FZ264" s="30"/>
      <c r="GA264" s="30"/>
      <c r="GB264" s="30"/>
      <c r="GC264" s="30"/>
      <c r="GD264" s="30"/>
      <c r="GE264" s="30"/>
      <c r="GF264" s="30"/>
      <c r="GG264" s="30"/>
      <c r="GH264" s="30"/>
      <c r="GI264" s="30"/>
      <c r="GJ264" s="30"/>
      <c r="GK264" s="30"/>
      <c r="GL264" s="30"/>
      <c r="GM264" s="30"/>
      <c r="GN264" s="30"/>
      <c r="GO264" s="30"/>
      <c r="GP264" s="30"/>
      <c r="GQ264" s="30"/>
      <c r="GR264" s="30"/>
      <c r="GS264" s="30"/>
      <c r="GT264" s="30"/>
      <c r="GU264" s="30"/>
      <c r="GV264" s="30"/>
      <c r="GW264" s="30"/>
      <c r="GX264" s="30"/>
      <c r="GY264" s="30"/>
      <c r="GZ264" s="30"/>
      <c r="HA264" s="30"/>
      <c r="HB264" s="30"/>
      <c r="HC264" s="30"/>
      <c r="HD264" s="30"/>
      <c r="HE264" s="30"/>
      <c r="HF264" s="30"/>
      <c r="HG264" s="30"/>
      <c r="HH264" s="30"/>
      <c r="HI264" s="30"/>
      <c r="HJ264" s="30"/>
      <c r="HK264" s="30"/>
      <c r="HL264" s="30"/>
      <c r="HM264" s="30"/>
      <c r="HN264" s="30"/>
      <c r="HO264" s="30"/>
      <c r="HP264" s="30"/>
      <c r="HQ264" s="30"/>
      <c r="HR264" s="30"/>
      <c r="HS264" s="30"/>
      <c r="HT264" s="30"/>
      <c r="HU264" s="30"/>
      <c r="HV264" s="30"/>
      <c r="HW264" s="30"/>
      <c r="HX264" s="30"/>
      <c r="HY264" s="30"/>
      <c r="HZ264" s="30"/>
      <c r="IA264" s="30"/>
      <c r="IB264" s="30"/>
      <c r="IC264" s="30"/>
      <c r="ID264" s="30"/>
      <c r="IE264" s="30"/>
      <c r="IF264" s="30"/>
      <c r="IG264" s="30"/>
      <c r="IH264" s="30"/>
      <c r="II264" s="30"/>
      <c r="IJ264" s="30"/>
      <c r="IK264" s="30"/>
      <c r="IL264" s="30"/>
      <c r="IM264" s="30"/>
      <c r="IN264" s="30"/>
      <c r="IO264" s="30"/>
      <c r="IP264" s="30"/>
      <c r="IQ264" s="30"/>
      <c r="IR264" s="30"/>
      <c r="IS264" s="30"/>
      <c r="IT264" s="30"/>
      <c r="IU264" s="30"/>
      <c r="IV264" s="30"/>
      <c r="IW264" s="30"/>
      <c r="IX264" s="30"/>
      <c r="IY264" s="30"/>
      <c r="IZ264" s="30"/>
      <c r="JA264" s="30"/>
      <c r="JB264" s="30"/>
      <c r="JC264" s="30"/>
      <c r="JD264" s="30"/>
      <c r="JE264" s="30"/>
      <c r="JF264" s="30"/>
      <c r="JG264" s="30"/>
      <c r="JH264" s="30"/>
      <c r="JI264" s="30"/>
      <c r="JJ264" s="30"/>
      <c r="JK264" s="30"/>
      <c r="JL264" s="30"/>
      <c r="JM264" s="30"/>
      <c r="JN264" s="30"/>
      <c r="JO264" s="30"/>
      <c r="JP264" s="30"/>
      <c r="JQ264" s="30"/>
      <c r="JR264" s="30"/>
      <c r="JS264" s="30"/>
      <c r="JT264" s="30"/>
      <c r="JU264" s="30"/>
      <c r="JV264" s="30"/>
      <c r="JW264" s="30"/>
      <c r="JX264" s="30"/>
      <c r="JY264" s="30"/>
      <c r="JZ264" s="30"/>
      <c r="KA264" s="30"/>
      <c r="KB264" s="30"/>
      <c r="KC264" s="30"/>
      <c r="KD264" s="30"/>
      <c r="KE264" s="30"/>
      <c r="KF264" s="30"/>
      <c r="KG264" s="30"/>
      <c r="KH264" s="30"/>
      <c r="KI264" s="30"/>
      <c r="KJ264" s="30"/>
      <c r="KK264" s="30"/>
      <c r="KL264" s="30"/>
      <c r="KM264" s="30"/>
      <c r="KN264" s="30"/>
      <c r="KO264" s="30"/>
      <c r="KP264" s="30"/>
      <c r="KQ264" s="30"/>
      <c r="KR264" s="30"/>
      <c r="KS264" s="30"/>
      <c r="KT264" s="30"/>
      <c r="KU264" s="30"/>
      <c r="KV264" s="30"/>
      <c r="KW264" s="30"/>
      <c r="KX264" s="30"/>
      <c r="KY264" s="30"/>
      <c r="KZ264" s="30"/>
      <c r="LA264" s="30"/>
      <c r="LB264" s="30"/>
      <c r="LC264" s="30"/>
      <c r="LD264" s="30"/>
      <c r="LE264" s="30"/>
      <c r="LF264" s="30"/>
      <c r="LG264" s="30"/>
      <c r="LH264" s="30"/>
      <c r="LI264" s="30"/>
      <c r="LJ264" s="30"/>
      <c r="LK264" s="30"/>
      <c r="LL264" s="30"/>
      <c r="LM264" s="30"/>
      <c r="LN264" s="30"/>
      <c r="LO264" s="30"/>
      <c r="LP264" s="30"/>
      <c r="LQ264" s="30"/>
      <c r="LR264" s="30"/>
      <c r="LS264" s="30"/>
      <c r="LT264" s="30"/>
      <c r="LU264" s="30"/>
      <c r="LV264" s="30"/>
      <c r="LW264" s="30"/>
      <c r="LX264" s="30"/>
      <c r="LY264" s="30"/>
      <c r="LZ264" s="30"/>
      <c r="MA264" s="30"/>
      <c r="MB264" s="30"/>
      <c r="MC264" s="30"/>
      <c r="MD264" s="30"/>
      <c r="ME264" s="30"/>
      <c r="MF264" s="30"/>
      <c r="MG264" s="30"/>
      <c r="MH264" s="30"/>
      <c r="MI264" s="30"/>
      <c r="MJ264" s="30"/>
      <c r="MK264" s="30"/>
      <c r="ML264" s="30"/>
      <c r="MM264" s="30"/>
      <c r="MN264" s="30"/>
      <c r="MO264" s="30"/>
      <c r="MP264" s="30"/>
      <c r="MQ264" s="30"/>
      <c r="MR264" s="30"/>
      <c r="MS264" s="30"/>
      <c r="MT264" s="30"/>
      <c r="MU264" s="30"/>
      <c r="MV264" s="30"/>
      <c r="MW264" s="30"/>
      <c r="MX264" s="30"/>
      <c r="MY264" s="30"/>
      <c r="MZ264" s="30"/>
      <c r="NA264" s="30"/>
      <c r="NB264" s="30"/>
      <c r="NC264" s="30"/>
      <c r="ND264" s="30"/>
      <c r="NE264" s="30"/>
      <c r="NF264" s="30"/>
      <c r="NG264" s="30"/>
      <c r="NH264" s="30"/>
      <c r="NI264" s="30"/>
      <c r="NJ264" s="30"/>
      <c r="NK264" s="30"/>
      <c r="NL264" s="30"/>
      <c r="NM264" s="30"/>
      <c r="NN264" s="30"/>
      <c r="NO264" s="30"/>
      <c r="NP264" s="30"/>
      <c r="NQ264" s="30"/>
      <c r="NR264" s="30"/>
    </row>
    <row r="265" spans="1:382" s="3" customFormat="1" ht="20.100000000000001" customHeight="1" x14ac:dyDescent="0.4">
      <c r="A265" s="29">
        <v>3</v>
      </c>
      <c r="B265" s="5">
        <v>1759</v>
      </c>
      <c r="C265" s="5" t="s">
        <v>385</v>
      </c>
      <c r="D265" s="5" t="s">
        <v>388</v>
      </c>
      <c r="E265" s="5" t="s">
        <v>6</v>
      </c>
      <c r="F265" s="5" t="s">
        <v>32</v>
      </c>
      <c r="G265" s="5" t="s">
        <v>32</v>
      </c>
      <c r="H265" s="5" t="s">
        <v>32</v>
      </c>
      <c r="I265" s="8"/>
      <c r="J265" s="8"/>
      <c r="K265" s="8" t="str">
        <f>IF(OR(J265="",E265=""),"",J265+IFERROR(VLOOKUP(E265,リードタイム!$A$2:$C$9,3,FALSE),0))</f>
        <v/>
      </c>
      <c r="L265" s="5" t="s">
        <v>530</v>
      </c>
      <c r="M265" s="8"/>
      <c r="N265" s="8" t="str">
        <f>IF(OR(M265="",E265=""),"",M265+IFERROR(VLOOKUP(E265,リードタイム!$A$2:$D$9,4,FALSE),0))</f>
        <v/>
      </c>
      <c r="O265" s="5" t="s">
        <v>530</v>
      </c>
      <c r="P265" s="5" t="s">
        <v>530</v>
      </c>
      <c r="Q265" s="5" t="s">
        <v>389</v>
      </c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  <c r="FS265" s="30"/>
      <c r="FT265" s="30"/>
      <c r="FU265" s="30"/>
      <c r="FV265" s="30"/>
      <c r="FW265" s="30"/>
      <c r="FX265" s="30"/>
      <c r="FY265" s="30"/>
      <c r="FZ265" s="30"/>
      <c r="GA265" s="30"/>
      <c r="GB265" s="30"/>
      <c r="GC265" s="30"/>
      <c r="GD265" s="30"/>
      <c r="GE265" s="30"/>
      <c r="GF265" s="30"/>
      <c r="GG265" s="30"/>
      <c r="GH265" s="30"/>
      <c r="GI265" s="30"/>
      <c r="GJ265" s="30"/>
      <c r="GK265" s="30"/>
      <c r="GL265" s="30"/>
      <c r="GM265" s="30"/>
      <c r="GN265" s="30"/>
      <c r="GO265" s="30"/>
      <c r="GP265" s="30"/>
      <c r="GQ265" s="30"/>
      <c r="GR265" s="30"/>
      <c r="GS265" s="30"/>
      <c r="GT265" s="30"/>
      <c r="GU265" s="30"/>
      <c r="GV265" s="30"/>
      <c r="GW265" s="30"/>
      <c r="GX265" s="30"/>
      <c r="GY265" s="30"/>
      <c r="GZ265" s="30"/>
      <c r="HA265" s="30"/>
      <c r="HB265" s="30"/>
      <c r="HC265" s="30"/>
      <c r="HD265" s="30"/>
      <c r="HE265" s="30"/>
      <c r="HF265" s="30"/>
      <c r="HG265" s="30"/>
      <c r="HH265" s="30"/>
      <c r="HI265" s="30"/>
      <c r="HJ265" s="30"/>
      <c r="HK265" s="30"/>
      <c r="HL265" s="30"/>
      <c r="HM265" s="30"/>
      <c r="HN265" s="30"/>
      <c r="HO265" s="30"/>
      <c r="HP265" s="30"/>
      <c r="HQ265" s="30"/>
      <c r="HR265" s="30"/>
      <c r="HS265" s="30"/>
      <c r="HT265" s="30"/>
      <c r="HU265" s="30"/>
      <c r="HV265" s="30"/>
      <c r="HW265" s="30"/>
      <c r="HX265" s="30"/>
      <c r="HY265" s="30"/>
      <c r="HZ265" s="30"/>
      <c r="IA265" s="30"/>
      <c r="IB265" s="30"/>
      <c r="IC265" s="30"/>
      <c r="ID265" s="30"/>
      <c r="IE265" s="30"/>
      <c r="IF265" s="30"/>
      <c r="IG265" s="30"/>
      <c r="IH265" s="30"/>
      <c r="II265" s="30"/>
      <c r="IJ265" s="30"/>
      <c r="IK265" s="30"/>
      <c r="IL265" s="30"/>
      <c r="IM265" s="30"/>
      <c r="IN265" s="30"/>
      <c r="IO265" s="30"/>
      <c r="IP265" s="30"/>
      <c r="IQ265" s="30"/>
      <c r="IR265" s="30"/>
      <c r="IS265" s="30"/>
      <c r="IT265" s="30"/>
      <c r="IU265" s="30"/>
      <c r="IV265" s="30"/>
      <c r="IW265" s="30"/>
      <c r="IX265" s="30"/>
      <c r="IY265" s="30"/>
      <c r="IZ265" s="30"/>
      <c r="JA265" s="30"/>
      <c r="JB265" s="30"/>
      <c r="JC265" s="30"/>
      <c r="JD265" s="30"/>
      <c r="JE265" s="30"/>
      <c r="JF265" s="30"/>
      <c r="JG265" s="30"/>
      <c r="JH265" s="30"/>
      <c r="JI265" s="30"/>
      <c r="JJ265" s="30"/>
      <c r="JK265" s="30"/>
      <c r="JL265" s="30"/>
      <c r="JM265" s="30"/>
      <c r="JN265" s="30"/>
      <c r="JO265" s="30"/>
      <c r="JP265" s="30"/>
      <c r="JQ265" s="30"/>
      <c r="JR265" s="30"/>
      <c r="JS265" s="30"/>
      <c r="JT265" s="30"/>
      <c r="JU265" s="30"/>
      <c r="JV265" s="30"/>
      <c r="JW265" s="30"/>
      <c r="JX265" s="30"/>
      <c r="JY265" s="30"/>
      <c r="JZ265" s="30"/>
      <c r="KA265" s="30"/>
      <c r="KB265" s="30"/>
      <c r="KC265" s="30"/>
      <c r="KD265" s="30"/>
      <c r="KE265" s="30"/>
      <c r="KF265" s="30"/>
      <c r="KG265" s="30"/>
      <c r="KH265" s="30"/>
      <c r="KI265" s="30"/>
      <c r="KJ265" s="30"/>
      <c r="KK265" s="30"/>
      <c r="KL265" s="30"/>
      <c r="KM265" s="30"/>
      <c r="KN265" s="30"/>
      <c r="KO265" s="30"/>
      <c r="KP265" s="30"/>
      <c r="KQ265" s="30"/>
      <c r="KR265" s="30"/>
      <c r="KS265" s="30"/>
      <c r="KT265" s="30"/>
      <c r="KU265" s="30"/>
      <c r="KV265" s="30"/>
      <c r="KW265" s="30"/>
      <c r="KX265" s="30"/>
      <c r="KY265" s="30"/>
      <c r="KZ265" s="30"/>
      <c r="LA265" s="30"/>
      <c r="LB265" s="30"/>
      <c r="LC265" s="30"/>
      <c r="LD265" s="30"/>
      <c r="LE265" s="30"/>
      <c r="LF265" s="30"/>
      <c r="LG265" s="30"/>
      <c r="LH265" s="30"/>
      <c r="LI265" s="30"/>
      <c r="LJ265" s="30"/>
      <c r="LK265" s="30"/>
      <c r="LL265" s="30"/>
      <c r="LM265" s="30"/>
      <c r="LN265" s="30"/>
      <c r="LO265" s="30"/>
      <c r="LP265" s="30"/>
      <c r="LQ265" s="30"/>
      <c r="LR265" s="30"/>
      <c r="LS265" s="30"/>
      <c r="LT265" s="30"/>
      <c r="LU265" s="30"/>
      <c r="LV265" s="30"/>
      <c r="LW265" s="30"/>
      <c r="LX265" s="30"/>
      <c r="LY265" s="30"/>
      <c r="LZ265" s="30"/>
      <c r="MA265" s="30"/>
      <c r="MB265" s="30"/>
      <c r="MC265" s="30"/>
      <c r="MD265" s="30"/>
      <c r="ME265" s="30"/>
      <c r="MF265" s="30"/>
      <c r="MG265" s="30"/>
      <c r="MH265" s="30"/>
      <c r="MI265" s="30"/>
      <c r="MJ265" s="30"/>
      <c r="MK265" s="30"/>
      <c r="ML265" s="30"/>
      <c r="MM265" s="30"/>
      <c r="MN265" s="30"/>
      <c r="MO265" s="30"/>
      <c r="MP265" s="30"/>
      <c r="MQ265" s="30"/>
      <c r="MR265" s="30"/>
      <c r="MS265" s="30"/>
      <c r="MT265" s="30"/>
      <c r="MU265" s="30"/>
      <c r="MV265" s="30"/>
      <c r="MW265" s="30"/>
      <c r="MX265" s="30"/>
      <c r="MY265" s="30"/>
      <c r="MZ265" s="30"/>
      <c r="NA265" s="30"/>
      <c r="NB265" s="30"/>
      <c r="NC265" s="30"/>
      <c r="ND265" s="30"/>
      <c r="NE265" s="30"/>
      <c r="NF265" s="30"/>
      <c r="NG265" s="30"/>
      <c r="NH265" s="30"/>
      <c r="NI265" s="30"/>
      <c r="NJ265" s="30"/>
      <c r="NK265" s="30"/>
      <c r="NL265" s="30"/>
      <c r="NM265" s="30"/>
      <c r="NN265" s="30"/>
      <c r="NO265" s="30"/>
      <c r="NP265" s="30"/>
      <c r="NQ265" s="30"/>
      <c r="NR265" s="30"/>
    </row>
    <row r="266" spans="1:382" s="3" customFormat="1" ht="20.100000000000001" customHeight="1" x14ac:dyDescent="0.4">
      <c r="A266" s="29">
        <v>4</v>
      </c>
      <c r="B266" s="5">
        <v>1717</v>
      </c>
      <c r="C266" s="5" t="s">
        <v>385</v>
      </c>
      <c r="D266" s="5" t="s">
        <v>193</v>
      </c>
      <c r="E266" s="5" t="s">
        <v>6</v>
      </c>
      <c r="F266" s="5" t="s">
        <v>32</v>
      </c>
      <c r="G266" s="5" t="s">
        <v>32</v>
      </c>
      <c r="H266" s="5" t="s">
        <v>32</v>
      </c>
      <c r="I266" s="8"/>
      <c r="J266" s="8"/>
      <c r="K266" s="8" t="str">
        <f>IF(OR(J266="",E266=""),"",J266+IFERROR(VLOOKUP(E266,リードタイム!$A$2:$C$9,3,FALSE),0))</f>
        <v/>
      </c>
      <c r="L266" s="5" t="s">
        <v>531</v>
      </c>
      <c r="M266" s="8"/>
      <c r="N266" s="8" t="str">
        <f>IF(OR(M266="",E266=""),"",M266+IFERROR(VLOOKUP(E266,リードタイム!$A$2:$D$9,4,FALSE),0))</f>
        <v/>
      </c>
      <c r="O266" s="5" t="s">
        <v>531</v>
      </c>
      <c r="P266" s="5" t="s">
        <v>533</v>
      </c>
      <c r="Q266" s="5" t="s">
        <v>32</v>
      </c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  <c r="FS266" s="30"/>
      <c r="FT266" s="30"/>
      <c r="FU266" s="30"/>
      <c r="FV266" s="30"/>
      <c r="FW266" s="30"/>
      <c r="FX266" s="30"/>
      <c r="FY266" s="30"/>
      <c r="FZ266" s="30"/>
      <c r="GA266" s="30"/>
      <c r="GB266" s="30"/>
      <c r="GC266" s="30"/>
      <c r="GD266" s="30"/>
      <c r="GE266" s="30"/>
      <c r="GF266" s="30"/>
      <c r="GG266" s="30"/>
      <c r="GH266" s="30"/>
      <c r="GI266" s="30"/>
      <c r="GJ266" s="30"/>
      <c r="GK266" s="30"/>
      <c r="GL266" s="30"/>
      <c r="GM266" s="30"/>
      <c r="GN266" s="30"/>
      <c r="GO266" s="30"/>
      <c r="GP266" s="30"/>
      <c r="GQ266" s="30"/>
      <c r="GR266" s="30"/>
      <c r="GS266" s="30"/>
      <c r="GT266" s="30"/>
      <c r="GU266" s="30"/>
      <c r="GV266" s="30"/>
      <c r="GW266" s="30"/>
      <c r="GX266" s="30"/>
      <c r="GY266" s="30"/>
      <c r="GZ266" s="30"/>
      <c r="HA266" s="30"/>
      <c r="HB266" s="30"/>
      <c r="HC266" s="30"/>
      <c r="HD266" s="30"/>
      <c r="HE266" s="30"/>
      <c r="HF266" s="30"/>
      <c r="HG266" s="30"/>
      <c r="HH266" s="30"/>
      <c r="HI266" s="30"/>
      <c r="HJ266" s="30"/>
      <c r="HK266" s="30"/>
      <c r="HL266" s="30"/>
      <c r="HM266" s="30"/>
      <c r="HN266" s="30"/>
      <c r="HO266" s="30"/>
      <c r="HP266" s="30"/>
      <c r="HQ266" s="30"/>
      <c r="HR266" s="30"/>
      <c r="HS266" s="30"/>
      <c r="HT266" s="30"/>
      <c r="HU266" s="30"/>
      <c r="HV266" s="30"/>
      <c r="HW266" s="30"/>
      <c r="HX266" s="30"/>
      <c r="HY266" s="30"/>
      <c r="HZ266" s="30"/>
      <c r="IA266" s="30"/>
      <c r="IB266" s="30"/>
      <c r="IC266" s="30"/>
      <c r="ID266" s="30"/>
      <c r="IE266" s="30"/>
      <c r="IF266" s="30"/>
      <c r="IG266" s="30"/>
      <c r="IH266" s="30"/>
      <c r="II266" s="30"/>
      <c r="IJ266" s="30"/>
      <c r="IK266" s="30"/>
      <c r="IL266" s="30"/>
      <c r="IM266" s="30"/>
      <c r="IN266" s="30"/>
      <c r="IO266" s="30"/>
      <c r="IP266" s="30"/>
      <c r="IQ266" s="30"/>
      <c r="IR266" s="30"/>
      <c r="IS266" s="30"/>
      <c r="IT266" s="30"/>
      <c r="IU266" s="30"/>
      <c r="IV266" s="30"/>
      <c r="IW266" s="30"/>
      <c r="IX266" s="30"/>
      <c r="IY266" s="30"/>
      <c r="IZ266" s="30"/>
      <c r="JA266" s="30"/>
      <c r="JB266" s="30"/>
      <c r="JC266" s="30"/>
      <c r="JD266" s="30"/>
      <c r="JE266" s="30"/>
      <c r="JF266" s="30"/>
      <c r="JG266" s="30"/>
      <c r="JH266" s="30"/>
      <c r="JI266" s="30"/>
      <c r="JJ266" s="30"/>
      <c r="JK266" s="30"/>
      <c r="JL266" s="30"/>
      <c r="JM266" s="30"/>
      <c r="JN266" s="30"/>
      <c r="JO266" s="30"/>
      <c r="JP266" s="30"/>
      <c r="JQ266" s="30"/>
      <c r="JR266" s="30"/>
      <c r="JS266" s="30"/>
      <c r="JT266" s="30"/>
      <c r="JU266" s="30"/>
      <c r="JV266" s="30"/>
      <c r="JW266" s="30"/>
      <c r="JX266" s="30"/>
      <c r="JY266" s="30"/>
      <c r="JZ266" s="30"/>
      <c r="KA266" s="30"/>
      <c r="KB266" s="30"/>
      <c r="KC266" s="30"/>
      <c r="KD266" s="30"/>
      <c r="KE266" s="30"/>
      <c r="KF266" s="30"/>
      <c r="KG266" s="30"/>
      <c r="KH266" s="30"/>
      <c r="KI266" s="30"/>
      <c r="KJ266" s="30"/>
      <c r="KK266" s="30"/>
      <c r="KL266" s="30"/>
      <c r="KM266" s="30"/>
      <c r="KN266" s="30"/>
      <c r="KO266" s="30"/>
      <c r="KP266" s="30"/>
      <c r="KQ266" s="30"/>
      <c r="KR266" s="30"/>
      <c r="KS266" s="30"/>
      <c r="KT266" s="30"/>
      <c r="KU266" s="30"/>
      <c r="KV266" s="30"/>
      <c r="KW266" s="30"/>
      <c r="KX266" s="30"/>
      <c r="KY266" s="30"/>
      <c r="KZ266" s="30"/>
      <c r="LA266" s="30"/>
      <c r="LB266" s="30"/>
      <c r="LC266" s="30"/>
      <c r="LD266" s="30"/>
      <c r="LE266" s="30"/>
      <c r="LF266" s="30"/>
      <c r="LG266" s="30"/>
      <c r="LH266" s="30"/>
      <c r="LI266" s="30"/>
      <c r="LJ266" s="30"/>
      <c r="LK266" s="30"/>
      <c r="LL266" s="30"/>
      <c r="LM266" s="30"/>
      <c r="LN266" s="30"/>
      <c r="LO266" s="30"/>
      <c r="LP266" s="30"/>
      <c r="LQ266" s="30"/>
      <c r="LR266" s="30"/>
      <c r="LS266" s="30"/>
      <c r="LT266" s="30"/>
      <c r="LU266" s="30"/>
      <c r="LV266" s="30"/>
      <c r="LW266" s="30"/>
      <c r="LX266" s="30"/>
      <c r="LY266" s="30"/>
      <c r="LZ266" s="30"/>
      <c r="MA266" s="30"/>
      <c r="MB266" s="30"/>
      <c r="MC266" s="30"/>
      <c r="MD266" s="30"/>
      <c r="ME266" s="30"/>
      <c r="MF266" s="30"/>
      <c r="MG266" s="30"/>
      <c r="MH266" s="30"/>
      <c r="MI266" s="30"/>
      <c r="MJ266" s="30"/>
      <c r="MK266" s="30"/>
      <c r="ML266" s="30"/>
      <c r="MM266" s="30"/>
      <c r="MN266" s="30"/>
      <c r="MO266" s="30"/>
      <c r="MP266" s="30"/>
      <c r="MQ266" s="30"/>
      <c r="MR266" s="30"/>
      <c r="MS266" s="30"/>
      <c r="MT266" s="30"/>
      <c r="MU266" s="30"/>
      <c r="MV266" s="30"/>
      <c r="MW266" s="30"/>
      <c r="MX266" s="30"/>
      <c r="MY266" s="30"/>
      <c r="MZ266" s="30"/>
      <c r="NA266" s="30"/>
      <c r="NB266" s="30"/>
      <c r="NC266" s="30"/>
      <c r="ND266" s="30"/>
      <c r="NE266" s="30"/>
      <c r="NF266" s="30"/>
      <c r="NG266" s="30"/>
      <c r="NH266" s="30"/>
      <c r="NI266" s="30"/>
      <c r="NJ266" s="30"/>
      <c r="NK266" s="30"/>
      <c r="NL266" s="30"/>
      <c r="NM266" s="30"/>
      <c r="NN266" s="30"/>
      <c r="NO266" s="30"/>
      <c r="NP266" s="30"/>
      <c r="NQ266" s="30"/>
      <c r="NR266" s="30"/>
    </row>
    <row r="267" spans="1:382" s="3" customFormat="1" ht="20.100000000000001" customHeight="1" x14ac:dyDescent="0.4">
      <c r="A267" s="29">
        <v>5</v>
      </c>
      <c r="B267" s="5">
        <v>1718</v>
      </c>
      <c r="C267" s="5" t="s">
        <v>385</v>
      </c>
      <c r="D267" s="5" t="s">
        <v>220</v>
      </c>
      <c r="E267" s="5" t="s">
        <v>8</v>
      </c>
      <c r="F267" s="5" t="s">
        <v>32</v>
      </c>
      <c r="G267" s="5" t="s">
        <v>32</v>
      </c>
      <c r="H267" s="5" t="s">
        <v>32</v>
      </c>
      <c r="I267" s="8"/>
      <c r="J267" s="8"/>
      <c r="K267" s="8" t="str">
        <f>IF(OR(J267="",E267=""),"",J267+IFERROR(VLOOKUP(E267,リードタイム!$A$2:$C$9,3,FALSE),0))</f>
        <v/>
      </c>
      <c r="L267" s="5" t="s">
        <v>530</v>
      </c>
      <c r="M267" s="8"/>
      <c r="N267" s="8" t="str">
        <f>IF(OR(M267="",E267=""),"",M267+IFERROR(VLOOKUP(E267,リードタイム!$A$2:$D$9,4,FALSE),0))</f>
        <v/>
      </c>
      <c r="O267" s="5" t="s">
        <v>530</v>
      </c>
      <c r="P267" s="5" t="s">
        <v>530</v>
      </c>
      <c r="Q267" s="5" t="s">
        <v>32</v>
      </c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  <c r="FS267" s="30"/>
      <c r="FT267" s="30"/>
      <c r="FU267" s="30"/>
      <c r="FV267" s="30"/>
      <c r="FW267" s="30"/>
      <c r="FX267" s="30"/>
      <c r="FY267" s="30"/>
      <c r="FZ267" s="30"/>
      <c r="GA267" s="30"/>
      <c r="GB267" s="30"/>
      <c r="GC267" s="30"/>
      <c r="GD267" s="30"/>
      <c r="GE267" s="30"/>
      <c r="GF267" s="30"/>
      <c r="GG267" s="30"/>
      <c r="GH267" s="30"/>
      <c r="GI267" s="30"/>
      <c r="GJ267" s="30"/>
      <c r="GK267" s="30"/>
      <c r="GL267" s="30"/>
      <c r="GM267" s="30"/>
      <c r="GN267" s="30"/>
      <c r="GO267" s="30"/>
      <c r="GP267" s="30"/>
      <c r="GQ267" s="30"/>
      <c r="GR267" s="30"/>
      <c r="GS267" s="30"/>
      <c r="GT267" s="30"/>
      <c r="GU267" s="30"/>
      <c r="GV267" s="30"/>
      <c r="GW267" s="30"/>
      <c r="GX267" s="30"/>
      <c r="GY267" s="30"/>
      <c r="GZ267" s="30"/>
      <c r="HA267" s="30"/>
      <c r="HB267" s="30"/>
      <c r="HC267" s="30"/>
      <c r="HD267" s="30"/>
      <c r="HE267" s="30"/>
      <c r="HF267" s="30"/>
      <c r="HG267" s="30"/>
      <c r="HH267" s="30"/>
      <c r="HI267" s="30"/>
      <c r="HJ267" s="30"/>
      <c r="HK267" s="30"/>
      <c r="HL267" s="30"/>
      <c r="HM267" s="30"/>
      <c r="HN267" s="30"/>
      <c r="HO267" s="30"/>
      <c r="HP267" s="30"/>
      <c r="HQ267" s="30"/>
      <c r="HR267" s="30"/>
      <c r="HS267" s="30"/>
      <c r="HT267" s="30"/>
      <c r="HU267" s="30"/>
      <c r="HV267" s="30"/>
      <c r="HW267" s="30"/>
      <c r="HX267" s="30"/>
      <c r="HY267" s="30"/>
      <c r="HZ267" s="30"/>
      <c r="IA267" s="30"/>
      <c r="IB267" s="30"/>
      <c r="IC267" s="30"/>
      <c r="ID267" s="30"/>
      <c r="IE267" s="30"/>
      <c r="IF267" s="30"/>
      <c r="IG267" s="30"/>
      <c r="IH267" s="30"/>
      <c r="II267" s="30"/>
      <c r="IJ267" s="30"/>
      <c r="IK267" s="30"/>
      <c r="IL267" s="30"/>
      <c r="IM267" s="30"/>
      <c r="IN267" s="30"/>
      <c r="IO267" s="30"/>
      <c r="IP267" s="30"/>
      <c r="IQ267" s="30"/>
      <c r="IR267" s="30"/>
      <c r="IS267" s="30"/>
      <c r="IT267" s="30"/>
      <c r="IU267" s="30"/>
      <c r="IV267" s="30"/>
      <c r="IW267" s="30"/>
      <c r="IX267" s="30"/>
      <c r="IY267" s="30"/>
      <c r="IZ267" s="30"/>
      <c r="JA267" s="30"/>
      <c r="JB267" s="30"/>
      <c r="JC267" s="30"/>
      <c r="JD267" s="30"/>
      <c r="JE267" s="30"/>
      <c r="JF267" s="30"/>
      <c r="JG267" s="30"/>
      <c r="JH267" s="30"/>
      <c r="JI267" s="30"/>
      <c r="JJ267" s="30"/>
      <c r="JK267" s="30"/>
      <c r="JL267" s="30"/>
      <c r="JM267" s="30"/>
      <c r="JN267" s="30"/>
      <c r="JO267" s="30"/>
      <c r="JP267" s="30"/>
      <c r="JQ267" s="30"/>
      <c r="JR267" s="30"/>
      <c r="JS267" s="30"/>
      <c r="JT267" s="30"/>
      <c r="JU267" s="30"/>
      <c r="JV267" s="30"/>
      <c r="JW267" s="30"/>
      <c r="JX267" s="30"/>
      <c r="JY267" s="30"/>
      <c r="JZ267" s="30"/>
      <c r="KA267" s="30"/>
      <c r="KB267" s="30"/>
      <c r="KC267" s="30"/>
      <c r="KD267" s="30"/>
      <c r="KE267" s="30"/>
      <c r="KF267" s="30"/>
      <c r="KG267" s="30"/>
      <c r="KH267" s="30"/>
      <c r="KI267" s="30"/>
      <c r="KJ267" s="30"/>
      <c r="KK267" s="30"/>
      <c r="KL267" s="30"/>
      <c r="KM267" s="30"/>
      <c r="KN267" s="30"/>
      <c r="KO267" s="30"/>
      <c r="KP267" s="30"/>
      <c r="KQ267" s="30"/>
      <c r="KR267" s="30"/>
      <c r="KS267" s="30"/>
      <c r="KT267" s="30"/>
      <c r="KU267" s="30"/>
      <c r="KV267" s="30"/>
      <c r="KW267" s="30"/>
      <c r="KX267" s="30"/>
      <c r="KY267" s="30"/>
      <c r="KZ267" s="30"/>
      <c r="LA267" s="30"/>
      <c r="LB267" s="30"/>
      <c r="LC267" s="30"/>
      <c r="LD267" s="30"/>
      <c r="LE267" s="30"/>
      <c r="LF267" s="30"/>
      <c r="LG267" s="30"/>
      <c r="LH267" s="30"/>
      <c r="LI267" s="30"/>
      <c r="LJ267" s="30"/>
      <c r="LK267" s="30"/>
      <c r="LL267" s="30"/>
      <c r="LM267" s="30"/>
      <c r="LN267" s="30"/>
      <c r="LO267" s="30"/>
      <c r="LP267" s="30"/>
      <c r="LQ267" s="30"/>
      <c r="LR267" s="30"/>
      <c r="LS267" s="30"/>
      <c r="LT267" s="30"/>
      <c r="LU267" s="30"/>
      <c r="LV267" s="30"/>
      <c r="LW267" s="30"/>
      <c r="LX267" s="30"/>
      <c r="LY267" s="30"/>
      <c r="LZ267" s="30"/>
      <c r="MA267" s="30"/>
      <c r="MB267" s="30"/>
      <c r="MC267" s="30"/>
      <c r="MD267" s="30"/>
      <c r="ME267" s="30"/>
      <c r="MF267" s="30"/>
      <c r="MG267" s="30"/>
      <c r="MH267" s="30"/>
      <c r="MI267" s="30"/>
      <c r="MJ267" s="30"/>
      <c r="MK267" s="30"/>
      <c r="ML267" s="30"/>
      <c r="MM267" s="30"/>
      <c r="MN267" s="30"/>
      <c r="MO267" s="30"/>
      <c r="MP267" s="30"/>
      <c r="MQ267" s="30"/>
      <c r="MR267" s="30"/>
      <c r="MS267" s="30"/>
      <c r="MT267" s="30"/>
      <c r="MU267" s="30"/>
      <c r="MV267" s="30"/>
      <c r="MW267" s="30"/>
      <c r="MX267" s="30"/>
      <c r="MY267" s="30"/>
      <c r="MZ267" s="30"/>
      <c r="NA267" s="30"/>
      <c r="NB267" s="30"/>
      <c r="NC267" s="30"/>
      <c r="ND267" s="30"/>
      <c r="NE267" s="30"/>
      <c r="NF267" s="30"/>
      <c r="NG267" s="30"/>
      <c r="NH267" s="30"/>
      <c r="NI267" s="30"/>
      <c r="NJ267" s="30"/>
      <c r="NK267" s="30"/>
      <c r="NL267" s="30"/>
      <c r="NM267" s="30"/>
      <c r="NN267" s="30"/>
      <c r="NO267" s="30"/>
      <c r="NP267" s="30"/>
      <c r="NQ267" s="30"/>
      <c r="NR267" s="30"/>
    </row>
    <row r="268" spans="1:382" s="3" customFormat="1" ht="20.100000000000001" customHeight="1" x14ac:dyDescent="0.4">
      <c r="A268" s="29">
        <v>6</v>
      </c>
      <c r="B268" s="5">
        <v>1717</v>
      </c>
      <c r="C268" s="5" t="s">
        <v>385</v>
      </c>
      <c r="D268" s="5" t="s">
        <v>201</v>
      </c>
      <c r="E268" s="5" t="s">
        <v>6</v>
      </c>
      <c r="F268" s="5" t="s">
        <v>32</v>
      </c>
      <c r="G268" s="5" t="s">
        <v>32</v>
      </c>
      <c r="H268" s="5" t="s">
        <v>32</v>
      </c>
      <c r="I268" s="8">
        <v>46047.625</v>
      </c>
      <c r="J268" s="8"/>
      <c r="K268" s="8" t="str">
        <f>IF(OR(J268="",E268=""),"",J268+IFERROR(VLOOKUP(E268,リードタイム!$A$2:$C$9,3,FALSE),0))</f>
        <v/>
      </c>
      <c r="L268" s="5" t="s">
        <v>531</v>
      </c>
      <c r="M268" s="8"/>
      <c r="N268" s="8" t="str">
        <f>IF(OR(M268="",E268=""),"",M268+IFERROR(VLOOKUP(E268,リードタイム!$A$2:$D$9,4,FALSE),0))</f>
        <v/>
      </c>
      <c r="O268" s="5" t="s">
        <v>531</v>
      </c>
      <c r="P268" s="5" t="s">
        <v>533</v>
      </c>
      <c r="Q268" s="5" t="s">
        <v>390</v>
      </c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  <c r="FS268" s="30"/>
      <c r="FT268" s="30"/>
      <c r="FU268" s="30"/>
      <c r="FV268" s="30"/>
      <c r="FW268" s="30"/>
      <c r="FX268" s="30"/>
      <c r="FY268" s="30"/>
      <c r="FZ268" s="30"/>
      <c r="GA268" s="30"/>
      <c r="GB268" s="30"/>
      <c r="GC268" s="30"/>
      <c r="GD268" s="30"/>
      <c r="GE268" s="30"/>
      <c r="GF268" s="30"/>
      <c r="GG268" s="30"/>
      <c r="GH268" s="30"/>
      <c r="GI268" s="30"/>
      <c r="GJ268" s="30"/>
      <c r="GK268" s="30"/>
      <c r="GL268" s="30"/>
      <c r="GM268" s="30"/>
      <c r="GN268" s="30"/>
      <c r="GO268" s="30"/>
      <c r="GP268" s="30"/>
      <c r="GQ268" s="30"/>
      <c r="GR268" s="30"/>
      <c r="GS268" s="30"/>
      <c r="GT268" s="30"/>
      <c r="GU268" s="30"/>
      <c r="GV268" s="30"/>
      <c r="GW268" s="30"/>
      <c r="GX268" s="30"/>
      <c r="GY268" s="30"/>
      <c r="GZ268" s="30"/>
      <c r="HA268" s="30"/>
      <c r="HB268" s="30"/>
      <c r="HC268" s="30"/>
      <c r="HD268" s="30"/>
      <c r="HE268" s="30"/>
      <c r="HF268" s="30"/>
      <c r="HG268" s="30"/>
      <c r="HH268" s="30"/>
      <c r="HI268" s="30"/>
      <c r="HJ268" s="30"/>
      <c r="HK268" s="30"/>
      <c r="HL268" s="30"/>
      <c r="HM268" s="30"/>
      <c r="HN268" s="30"/>
      <c r="HO268" s="30"/>
      <c r="HP268" s="30"/>
      <c r="HQ268" s="30"/>
      <c r="HR268" s="30"/>
      <c r="HS268" s="30"/>
      <c r="HT268" s="30"/>
      <c r="HU268" s="30"/>
      <c r="HV268" s="30"/>
      <c r="HW268" s="30"/>
      <c r="HX268" s="30"/>
      <c r="HY268" s="30"/>
      <c r="HZ268" s="30"/>
      <c r="IA268" s="30"/>
      <c r="IB268" s="30"/>
      <c r="IC268" s="30"/>
      <c r="ID268" s="30"/>
      <c r="IE268" s="30"/>
      <c r="IF268" s="30"/>
      <c r="IG268" s="30"/>
      <c r="IH268" s="30"/>
      <c r="II268" s="30"/>
      <c r="IJ268" s="30"/>
      <c r="IK268" s="30"/>
      <c r="IL268" s="30"/>
      <c r="IM268" s="30"/>
      <c r="IN268" s="30"/>
      <c r="IO268" s="30"/>
      <c r="IP268" s="30"/>
      <c r="IQ268" s="30"/>
      <c r="IR268" s="30"/>
      <c r="IS268" s="30"/>
      <c r="IT268" s="30"/>
      <c r="IU268" s="30"/>
      <c r="IV268" s="30"/>
      <c r="IW268" s="30"/>
      <c r="IX268" s="30"/>
      <c r="IY268" s="30"/>
      <c r="IZ268" s="30"/>
      <c r="JA268" s="30"/>
      <c r="JB268" s="30"/>
      <c r="JC268" s="30"/>
      <c r="JD268" s="30"/>
      <c r="JE268" s="30"/>
      <c r="JF268" s="30"/>
      <c r="JG268" s="30"/>
      <c r="JH268" s="30"/>
      <c r="JI268" s="30"/>
      <c r="JJ268" s="30"/>
      <c r="JK268" s="30"/>
      <c r="JL268" s="30"/>
      <c r="JM268" s="30"/>
      <c r="JN268" s="30"/>
      <c r="JO268" s="30"/>
      <c r="JP268" s="30"/>
      <c r="JQ268" s="30"/>
      <c r="JR268" s="30"/>
      <c r="JS268" s="30"/>
      <c r="JT268" s="30"/>
      <c r="JU268" s="30"/>
      <c r="JV268" s="30"/>
      <c r="JW268" s="30"/>
      <c r="JX268" s="30"/>
      <c r="JY268" s="30"/>
      <c r="JZ268" s="30"/>
      <c r="KA268" s="30"/>
      <c r="KB268" s="30"/>
      <c r="KC268" s="30"/>
      <c r="KD268" s="30"/>
      <c r="KE268" s="30"/>
      <c r="KF268" s="30"/>
      <c r="KG268" s="30"/>
      <c r="KH268" s="30"/>
      <c r="KI268" s="30"/>
      <c r="KJ268" s="30"/>
      <c r="KK268" s="30"/>
      <c r="KL268" s="30"/>
      <c r="KM268" s="30"/>
      <c r="KN268" s="30"/>
      <c r="KO268" s="30"/>
      <c r="KP268" s="30"/>
      <c r="KQ268" s="30"/>
      <c r="KR268" s="30"/>
      <c r="KS268" s="30"/>
      <c r="KT268" s="30"/>
      <c r="KU268" s="30"/>
      <c r="KV268" s="30"/>
      <c r="KW268" s="30"/>
      <c r="KX268" s="30"/>
      <c r="KY268" s="30"/>
      <c r="KZ268" s="30"/>
      <c r="LA268" s="30"/>
      <c r="LB268" s="30"/>
      <c r="LC268" s="30"/>
      <c r="LD268" s="30"/>
      <c r="LE268" s="30"/>
      <c r="LF268" s="30"/>
      <c r="LG268" s="30"/>
      <c r="LH268" s="30"/>
      <c r="LI268" s="30"/>
      <c r="LJ268" s="30"/>
      <c r="LK268" s="30"/>
      <c r="LL268" s="30"/>
      <c r="LM268" s="30"/>
      <c r="LN268" s="30"/>
      <c r="LO268" s="30"/>
      <c r="LP268" s="30"/>
      <c r="LQ268" s="30"/>
      <c r="LR268" s="30"/>
      <c r="LS268" s="30"/>
      <c r="LT268" s="30"/>
      <c r="LU268" s="30"/>
      <c r="LV268" s="30"/>
      <c r="LW268" s="30"/>
      <c r="LX268" s="30"/>
      <c r="LY268" s="30"/>
      <c r="LZ268" s="30"/>
      <c r="MA268" s="30"/>
      <c r="MB268" s="30"/>
      <c r="MC268" s="30"/>
      <c r="MD268" s="30"/>
      <c r="ME268" s="30"/>
      <c r="MF268" s="30"/>
      <c r="MG268" s="30"/>
      <c r="MH268" s="30"/>
      <c r="MI268" s="30"/>
      <c r="MJ268" s="30"/>
      <c r="MK268" s="30"/>
      <c r="ML268" s="30"/>
      <c r="MM268" s="30"/>
      <c r="MN268" s="30"/>
      <c r="MO268" s="30"/>
      <c r="MP268" s="30"/>
      <c r="MQ268" s="30"/>
      <c r="MR268" s="30"/>
      <c r="MS268" s="30"/>
      <c r="MT268" s="30"/>
      <c r="MU268" s="30"/>
      <c r="MV268" s="30"/>
      <c r="MW268" s="30"/>
      <c r="MX268" s="30"/>
      <c r="MY268" s="30"/>
      <c r="MZ268" s="30"/>
      <c r="NA268" s="30"/>
      <c r="NB268" s="30"/>
      <c r="NC268" s="30"/>
      <c r="ND268" s="30"/>
      <c r="NE268" s="30"/>
      <c r="NF268" s="30"/>
      <c r="NG268" s="30"/>
      <c r="NH268" s="30"/>
      <c r="NI268" s="30"/>
      <c r="NJ268" s="30"/>
      <c r="NK268" s="30"/>
      <c r="NL268" s="30"/>
      <c r="NM268" s="30"/>
      <c r="NN268" s="30"/>
      <c r="NO268" s="30"/>
      <c r="NP268" s="30"/>
      <c r="NQ268" s="30"/>
      <c r="NR268" s="30"/>
    </row>
    <row r="269" spans="1:382" s="3" customFormat="1" ht="20.100000000000001" customHeight="1" x14ac:dyDescent="0.4">
      <c r="A269" s="29">
        <v>7</v>
      </c>
      <c r="B269" s="5">
        <v>1717</v>
      </c>
      <c r="C269" s="5" t="s">
        <v>385</v>
      </c>
      <c r="D269" s="5" t="s">
        <v>193</v>
      </c>
      <c r="E269" s="5" t="s">
        <v>6</v>
      </c>
      <c r="F269" s="5" t="s">
        <v>32</v>
      </c>
      <c r="G269" s="5" t="s">
        <v>32</v>
      </c>
      <c r="H269" s="5" t="s">
        <v>32</v>
      </c>
      <c r="I269" s="8"/>
      <c r="J269" s="8"/>
      <c r="K269" s="8" t="str">
        <f>IF(OR(J269="",E269=""),"",J269+IFERROR(VLOOKUP(E269,リードタイム!$A$2:$C$9,3,FALSE),0))</f>
        <v/>
      </c>
      <c r="L269" s="5" t="s">
        <v>530</v>
      </c>
      <c r="M269" s="8"/>
      <c r="N269" s="8" t="str">
        <f>IF(OR(M269="",E269=""),"",M269+IFERROR(VLOOKUP(E269,リードタイム!$A$2:$D$9,4,FALSE),0))</f>
        <v/>
      </c>
      <c r="O269" s="5" t="s">
        <v>530</v>
      </c>
      <c r="P269" s="5" t="s">
        <v>530</v>
      </c>
      <c r="Q269" s="5" t="s">
        <v>391</v>
      </c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  <c r="FS269" s="30"/>
      <c r="FT269" s="30"/>
      <c r="FU269" s="30"/>
      <c r="FV269" s="30"/>
      <c r="FW269" s="30"/>
      <c r="FX269" s="30"/>
      <c r="FY269" s="30"/>
      <c r="FZ269" s="30"/>
      <c r="GA269" s="30"/>
      <c r="GB269" s="30"/>
      <c r="GC269" s="30"/>
      <c r="GD269" s="30"/>
      <c r="GE269" s="30"/>
      <c r="GF269" s="30"/>
      <c r="GG269" s="30"/>
      <c r="GH269" s="30"/>
      <c r="GI269" s="30"/>
      <c r="GJ269" s="30"/>
      <c r="GK269" s="30"/>
      <c r="GL269" s="30"/>
      <c r="GM269" s="30"/>
      <c r="GN269" s="30"/>
      <c r="GO269" s="30"/>
      <c r="GP269" s="30"/>
      <c r="GQ269" s="30"/>
      <c r="GR269" s="30"/>
      <c r="GS269" s="30"/>
      <c r="GT269" s="30"/>
      <c r="GU269" s="30"/>
      <c r="GV269" s="30"/>
      <c r="GW269" s="30"/>
      <c r="GX269" s="30"/>
      <c r="GY269" s="30"/>
      <c r="GZ269" s="30"/>
      <c r="HA269" s="30"/>
      <c r="HB269" s="30"/>
      <c r="HC269" s="30"/>
      <c r="HD269" s="30"/>
      <c r="HE269" s="30"/>
      <c r="HF269" s="30"/>
      <c r="HG269" s="30"/>
      <c r="HH269" s="30"/>
      <c r="HI269" s="30"/>
      <c r="HJ269" s="30"/>
      <c r="HK269" s="30"/>
      <c r="HL269" s="30"/>
      <c r="HM269" s="30"/>
      <c r="HN269" s="30"/>
      <c r="HO269" s="30"/>
      <c r="HP269" s="30"/>
      <c r="HQ269" s="30"/>
      <c r="HR269" s="30"/>
      <c r="HS269" s="30"/>
      <c r="HT269" s="30"/>
      <c r="HU269" s="30"/>
      <c r="HV269" s="30"/>
      <c r="HW269" s="30"/>
      <c r="HX269" s="30"/>
      <c r="HY269" s="30"/>
      <c r="HZ269" s="30"/>
      <c r="IA269" s="30"/>
      <c r="IB269" s="30"/>
      <c r="IC269" s="30"/>
      <c r="ID269" s="30"/>
      <c r="IE269" s="30"/>
      <c r="IF269" s="30"/>
      <c r="IG269" s="30"/>
      <c r="IH269" s="30"/>
      <c r="II269" s="30"/>
      <c r="IJ269" s="30"/>
      <c r="IK269" s="30"/>
      <c r="IL269" s="30"/>
      <c r="IM269" s="30"/>
      <c r="IN269" s="30"/>
      <c r="IO269" s="30"/>
      <c r="IP269" s="30"/>
      <c r="IQ269" s="30"/>
      <c r="IR269" s="30"/>
      <c r="IS269" s="30"/>
      <c r="IT269" s="30"/>
      <c r="IU269" s="30"/>
      <c r="IV269" s="30"/>
      <c r="IW269" s="30"/>
      <c r="IX269" s="30"/>
      <c r="IY269" s="30"/>
      <c r="IZ269" s="30"/>
      <c r="JA269" s="30"/>
      <c r="JB269" s="30"/>
      <c r="JC269" s="30"/>
      <c r="JD269" s="30"/>
      <c r="JE269" s="30"/>
      <c r="JF269" s="30"/>
      <c r="JG269" s="30"/>
      <c r="JH269" s="30"/>
      <c r="JI269" s="30"/>
      <c r="JJ269" s="30"/>
      <c r="JK269" s="30"/>
      <c r="JL269" s="30"/>
      <c r="JM269" s="30"/>
      <c r="JN269" s="30"/>
      <c r="JO269" s="30"/>
      <c r="JP269" s="30"/>
      <c r="JQ269" s="30"/>
      <c r="JR269" s="30"/>
      <c r="JS269" s="30"/>
      <c r="JT269" s="30"/>
      <c r="JU269" s="30"/>
      <c r="JV269" s="30"/>
      <c r="JW269" s="30"/>
      <c r="JX269" s="30"/>
      <c r="JY269" s="30"/>
      <c r="JZ269" s="30"/>
      <c r="KA269" s="30"/>
      <c r="KB269" s="30"/>
      <c r="KC269" s="30"/>
      <c r="KD269" s="30"/>
      <c r="KE269" s="30"/>
      <c r="KF269" s="30"/>
      <c r="KG269" s="30"/>
      <c r="KH269" s="30"/>
      <c r="KI269" s="30"/>
      <c r="KJ269" s="30"/>
      <c r="KK269" s="30"/>
      <c r="KL269" s="30"/>
      <c r="KM269" s="30"/>
      <c r="KN269" s="30"/>
      <c r="KO269" s="30"/>
      <c r="KP269" s="30"/>
      <c r="KQ269" s="30"/>
      <c r="KR269" s="30"/>
      <c r="KS269" s="30"/>
      <c r="KT269" s="30"/>
      <c r="KU269" s="30"/>
      <c r="KV269" s="30"/>
      <c r="KW269" s="30"/>
      <c r="KX269" s="30"/>
      <c r="KY269" s="30"/>
      <c r="KZ269" s="30"/>
      <c r="LA269" s="30"/>
      <c r="LB269" s="30"/>
      <c r="LC269" s="30"/>
      <c r="LD269" s="30"/>
      <c r="LE269" s="30"/>
      <c r="LF269" s="30"/>
      <c r="LG269" s="30"/>
      <c r="LH269" s="30"/>
      <c r="LI269" s="30"/>
      <c r="LJ269" s="30"/>
      <c r="LK269" s="30"/>
      <c r="LL269" s="30"/>
      <c r="LM269" s="30"/>
      <c r="LN269" s="30"/>
      <c r="LO269" s="30"/>
      <c r="LP269" s="30"/>
      <c r="LQ269" s="30"/>
      <c r="LR269" s="30"/>
      <c r="LS269" s="30"/>
      <c r="LT269" s="30"/>
      <c r="LU269" s="30"/>
      <c r="LV269" s="30"/>
      <c r="LW269" s="30"/>
      <c r="LX269" s="30"/>
      <c r="LY269" s="30"/>
      <c r="LZ269" s="30"/>
      <c r="MA269" s="30"/>
      <c r="MB269" s="30"/>
      <c r="MC269" s="30"/>
      <c r="MD269" s="30"/>
      <c r="ME269" s="30"/>
      <c r="MF269" s="30"/>
      <c r="MG269" s="30"/>
      <c r="MH269" s="30"/>
      <c r="MI269" s="30"/>
      <c r="MJ269" s="30"/>
      <c r="MK269" s="30"/>
      <c r="ML269" s="30"/>
      <c r="MM269" s="30"/>
      <c r="MN269" s="30"/>
      <c r="MO269" s="30"/>
      <c r="MP269" s="30"/>
      <c r="MQ269" s="30"/>
      <c r="MR269" s="30"/>
      <c r="MS269" s="30"/>
      <c r="MT269" s="30"/>
      <c r="MU269" s="30"/>
      <c r="MV269" s="30"/>
      <c r="MW269" s="30"/>
      <c r="MX269" s="30"/>
      <c r="MY269" s="30"/>
      <c r="MZ269" s="30"/>
      <c r="NA269" s="30"/>
      <c r="NB269" s="30"/>
      <c r="NC269" s="30"/>
      <c r="ND269" s="30"/>
      <c r="NE269" s="30"/>
      <c r="NF269" s="30"/>
      <c r="NG269" s="30"/>
      <c r="NH269" s="30"/>
      <c r="NI269" s="30"/>
      <c r="NJ269" s="30"/>
      <c r="NK269" s="30"/>
      <c r="NL269" s="30"/>
      <c r="NM269" s="30"/>
      <c r="NN269" s="30"/>
      <c r="NO269" s="30"/>
      <c r="NP269" s="30"/>
      <c r="NQ269" s="30"/>
      <c r="NR269" s="30"/>
    </row>
    <row r="270" spans="1:382" s="3" customFormat="1" ht="20.100000000000001" customHeight="1" x14ac:dyDescent="0.4">
      <c r="A270" s="29">
        <v>8</v>
      </c>
      <c r="B270" s="5">
        <v>1717</v>
      </c>
      <c r="C270" s="5" t="s">
        <v>385</v>
      </c>
      <c r="D270" s="5" t="s">
        <v>193</v>
      </c>
      <c r="E270" s="5" t="s">
        <v>6</v>
      </c>
      <c r="F270" s="5" t="s">
        <v>32</v>
      </c>
      <c r="G270" s="5" t="s">
        <v>32</v>
      </c>
      <c r="H270" s="5" t="s">
        <v>32</v>
      </c>
      <c r="I270" s="8">
        <v>46104.625</v>
      </c>
      <c r="J270" s="8"/>
      <c r="K270" s="8" t="str">
        <f>IF(OR(J270="",E270=""),"",J270+IFERROR(VLOOKUP(E270,リードタイム!$A$2:$C$9,3,FALSE),0))</f>
        <v/>
      </c>
      <c r="L270" s="5" t="s">
        <v>531</v>
      </c>
      <c r="M270" s="8"/>
      <c r="N270" s="8" t="str">
        <f>IF(OR(M270="",E270=""),"",M270+IFERROR(VLOOKUP(E270,リードタイム!$A$2:$D$9,4,FALSE),0))</f>
        <v/>
      </c>
      <c r="O270" s="5" t="s">
        <v>531</v>
      </c>
      <c r="P270" s="5" t="s">
        <v>533</v>
      </c>
      <c r="Q270" s="5" t="s">
        <v>392</v>
      </c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  <c r="FS270" s="30"/>
      <c r="FT270" s="30"/>
      <c r="FU270" s="30"/>
      <c r="FV270" s="30"/>
      <c r="FW270" s="30"/>
      <c r="FX270" s="30"/>
      <c r="FY270" s="30"/>
      <c r="FZ270" s="30"/>
      <c r="GA270" s="30"/>
      <c r="GB270" s="30"/>
      <c r="GC270" s="30"/>
      <c r="GD270" s="30"/>
      <c r="GE270" s="30"/>
      <c r="GF270" s="30"/>
      <c r="GG270" s="30"/>
      <c r="GH270" s="30"/>
      <c r="GI270" s="30"/>
      <c r="GJ270" s="30"/>
      <c r="GK270" s="30"/>
      <c r="GL270" s="30"/>
      <c r="GM270" s="30"/>
      <c r="GN270" s="30"/>
      <c r="GO270" s="30"/>
      <c r="GP270" s="30"/>
      <c r="GQ270" s="30"/>
      <c r="GR270" s="30"/>
      <c r="GS270" s="30"/>
      <c r="GT270" s="30"/>
      <c r="GU270" s="30"/>
      <c r="GV270" s="30"/>
      <c r="GW270" s="30"/>
      <c r="GX270" s="30"/>
      <c r="GY270" s="30"/>
      <c r="GZ270" s="30"/>
      <c r="HA270" s="30"/>
      <c r="HB270" s="30"/>
      <c r="HC270" s="30"/>
      <c r="HD270" s="30"/>
      <c r="HE270" s="30"/>
      <c r="HF270" s="30"/>
      <c r="HG270" s="30"/>
      <c r="HH270" s="30"/>
      <c r="HI270" s="30"/>
      <c r="HJ270" s="30"/>
      <c r="HK270" s="30"/>
      <c r="HL270" s="30"/>
      <c r="HM270" s="30"/>
      <c r="HN270" s="30"/>
      <c r="HO270" s="30"/>
      <c r="HP270" s="30"/>
      <c r="HQ270" s="30"/>
      <c r="HR270" s="30"/>
      <c r="HS270" s="30"/>
      <c r="HT270" s="30"/>
      <c r="HU270" s="30"/>
      <c r="HV270" s="30"/>
      <c r="HW270" s="30"/>
      <c r="HX270" s="30"/>
      <c r="HY270" s="30"/>
      <c r="HZ270" s="30"/>
      <c r="IA270" s="30"/>
      <c r="IB270" s="30"/>
      <c r="IC270" s="30"/>
      <c r="ID270" s="30"/>
      <c r="IE270" s="30"/>
      <c r="IF270" s="30"/>
      <c r="IG270" s="30"/>
      <c r="IH270" s="30"/>
      <c r="II270" s="30"/>
      <c r="IJ270" s="30"/>
      <c r="IK270" s="30"/>
      <c r="IL270" s="30"/>
      <c r="IM270" s="30"/>
      <c r="IN270" s="30"/>
      <c r="IO270" s="30"/>
      <c r="IP270" s="30"/>
      <c r="IQ270" s="30"/>
      <c r="IR270" s="30"/>
      <c r="IS270" s="30"/>
      <c r="IT270" s="30"/>
      <c r="IU270" s="30"/>
      <c r="IV270" s="30"/>
      <c r="IW270" s="30"/>
      <c r="IX270" s="30"/>
      <c r="IY270" s="30"/>
      <c r="IZ270" s="30"/>
      <c r="JA270" s="30"/>
      <c r="JB270" s="30"/>
      <c r="JC270" s="30"/>
      <c r="JD270" s="30"/>
      <c r="JE270" s="30"/>
      <c r="JF270" s="30"/>
      <c r="JG270" s="30"/>
      <c r="JH270" s="30"/>
      <c r="JI270" s="30"/>
      <c r="JJ270" s="30"/>
      <c r="JK270" s="30"/>
      <c r="JL270" s="30"/>
      <c r="JM270" s="30"/>
      <c r="JN270" s="30"/>
      <c r="JO270" s="30"/>
      <c r="JP270" s="30"/>
      <c r="JQ270" s="30"/>
      <c r="JR270" s="30"/>
      <c r="JS270" s="30"/>
      <c r="JT270" s="30"/>
      <c r="JU270" s="30"/>
      <c r="JV270" s="30"/>
      <c r="JW270" s="30"/>
      <c r="JX270" s="30"/>
      <c r="JY270" s="30"/>
      <c r="JZ270" s="30"/>
      <c r="KA270" s="30"/>
      <c r="KB270" s="30"/>
      <c r="KC270" s="30"/>
      <c r="KD270" s="30"/>
      <c r="KE270" s="30"/>
      <c r="KF270" s="30"/>
      <c r="KG270" s="30"/>
      <c r="KH270" s="30"/>
      <c r="KI270" s="30"/>
      <c r="KJ270" s="30"/>
      <c r="KK270" s="30"/>
      <c r="KL270" s="30"/>
      <c r="KM270" s="30"/>
      <c r="KN270" s="30"/>
      <c r="KO270" s="30"/>
      <c r="KP270" s="30"/>
      <c r="KQ270" s="30"/>
      <c r="KR270" s="30"/>
      <c r="KS270" s="30"/>
      <c r="KT270" s="30"/>
      <c r="KU270" s="30"/>
      <c r="KV270" s="30"/>
      <c r="KW270" s="30"/>
      <c r="KX270" s="30"/>
      <c r="KY270" s="30"/>
      <c r="KZ270" s="30"/>
      <c r="LA270" s="30"/>
      <c r="LB270" s="30"/>
      <c r="LC270" s="30"/>
      <c r="LD270" s="30"/>
      <c r="LE270" s="30"/>
      <c r="LF270" s="30"/>
      <c r="LG270" s="30"/>
      <c r="LH270" s="30"/>
      <c r="LI270" s="30"/>
      <c r="LJ270" s="30"/>
      <c r="LK270" s="30"/>
      <c r="LL270" s="30"/>
      <c r="LM270" s="30"/>
      <c r="LN270" s="30"/>
      <c r="LO270" s="30"/>
      <c r="LP270" s="30"/>
      <c r="LQ270" s="30"/>
      <c r="LR270" s="30"/>
      <c r="LS270" s="30"/>
      <c r="LT270" s="30"/>
      <c r="LU270" s="30"/>
      <c r="LV270" s="30"/>
      <c r="LW270" s="30"/>
      <c r="LX270" s="30"/>
      <c r="LY270" s="30"/>
      <c r="LZ270" s="30"/>
      <c r="MA270" s="30"/>
      <c r="MB270" s="30"/>
      <c r="MC270" s="30"/>
      <c r="MD270" s="30"/>
      <c r="ME270" s="30"/>
      <c r="MF270" s="30"/>
      <c r="MG270" s="30"/>
      <c r="MH270" s="30"/>
      <c r="MI270" s="30"/>
      <c r="MJ270" s="30"/>
      <c r="MK270" s="30"/>
      <c r="ML270" s="30"/>
      <c r="MM270" s="30"/>
      <c r="MN270" s="30"/>
      <c r="MO270" s="30"/>
      <c r="MP270" s="30"/>
      <c r="MQ270" s="30"/>
      <c r="MR270" s="30"/>
      <c r="MS270" s="30"/>
      <c r="MT270" s="30"/>
      <c r="MU270" s="30"/>
      <c r="MV270" s="30"/>
      <c r="MW270" s="30"/>
      <c r="MX270" s="30"/>
      <c r="MY270" s="30"/>
      <c r="MZ270" s="30"/>
      <c r="NA270" s="30"/>
      <c r="NB270" s="30"/>
      <c r="NC270" s="30"/>
      <c r="ND270" s="30"/>
      <c r="NE270" s="30"/>
      <c r="NF270" s="30"/>
      <c r="NG270" s="30"/>
      <c r="NH270" s="30"/>
      <c r="NI270" s="30"/>
      <c r="NJ270" s="30"/>
      <c r="NK270" s="30"/>
      <c r="NL270" s="30"/>
      <c r="NM270" s="30"/>
      <c r="NN270" s="30"/>
      <c r="NO270" s="30"/>
      <c r="NP270" s="30"/>
      <c r="NQ270" s="30"/>
      <c r="NR270" s="30"/>
    </row>
    <row r="271" spans="1:382" s="3" customFormat="1" ht="20.100000000000001" customHeight="1" x14ac:dyDescent="0.4">
      <c r="A271" s="29">
        <v>1</v>
      </c>
      <c r="B271" s="5">
        <v>1728</v>
      </c>
      <c r="C271" s="5" t="s">
        <v>393</v>
      </c>
      <c r="D271" s="5" t="s">
        <v>122</v>
      </c>
      <c r="E271" s="5" t="s">
        <v>10</v>
      </c>
      <c r="F271" s="5" t="s">
        <v>32</v>
      </c>
      <c r="G271" s="5" t="s">
        <v>32</v>
      </c>
      <c r="H271" s="5" t="s">
        <v>32</v>
      </c>
      <c r="I271" s="8"/>
      <c r="J271" s="8"/>
      <c r="K271" s="8" t="str">
        <f>IF(OR(J271="",E271=""),"",J271+IFERROR(VLOOKUP(E271,リードタイム!$A$2:$C$9,3,FALSE),0))</f>
        <v/>
      </c>
      <c r="L271" s="5" t="s">
        <v>530</v>
      </c>
      <c r="M271" s="8"/>
      <c r="N271" s="8" t="str">
        <f>IF(OR(M271="",E271=""),"",M271+IFERROR(VLOOKUP(E271,リードタイム!$A$2:$D$9,4,FALSE),0))</f>
        <v/>
      </c>
      <c r="O271" s="5" t="s">
        <v>530</v>
      </c>
      <c r="P271" s="5" t="s">
        <v>530</v>
      </c>
      <c r="Q271" s="5" t="s">
        <v>394</v>
      </c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  <c r="FS271" s="30"/>
      <c r="FT271" s="30"/>
      <c r="FU271" s="30"/>
      <c r="FV271" s="30"/>
      <c r="FW271" s="30"/>
      <c r="FX271" s="30"/>
      <c r="FY271" s="30"/>
      <c r="FZ271" s="30"/>
      <c r="GA271" s="30"/>
      <c r="GB271" s="30"/>
      <c r="GC271" s="30"/>
      <c r="GD271" s="30"/>
      <c r="GE271" s="30"/>
      <c r="GF271" s="30"/>
      <c r="GG271" s="30"/>
      <c r="GH271" s="30"/>
      <c r="GI271" s="30"/>
      <c r="GJ271" s="30"/>
      <c r="GK271" s="30"/>
      <c r="GL271" s="30"/>
      <c r="GM271" s="30"/>
      <c r="GN271" s="30"/>
      <c r="GO271" s="30"/>
      <c r="GP271" s="30"/>
      <c r="GQ271" s="30"/>
      <c r="GR271" s="30"/>
      <c r="GS271" s="30"/>
      <c r="GT271" s="30"/>
      <c r="GU271" s="30"/>
      <c r="GV271" s="30"/>
      <c r="GW271" s="30"/>
      <c r="GX271" s="30"/>
      <c r="GY271" s="30"/>
      <c r="GZ271" s="30"/>
      <c r="HA271" s="30"/>
      <c r="HB271" s="30"/>
      <c r="HC271" s="30"/>
      <c r="HD271" s="30"/>
      <c r="HE271" s="30"/>
      <c r="HF271" s="30"/>
      <c r="HG271" s="30"/>
      <c r="HH271" s="30"/>
      <c r="HI271" s="30"/>
      <c r="HJ271" s="30"/>
      <c r="HK271" s="30"/>
      <c r="HL271" s="30"/>
      <c r="HM271" s="30"/>
      <c r="HN271" s="30"/>
      <c r="HO271" s="30"/>
      <c r="HP271" s="30"/>
      <c r="HQ271" s="30"/>
      <c r="HR271" s="30"/>
      <c r="HS271" s="30"/>
      <c r="HT271" s="30"/>
      <c r="HU271" s="30"/>
      <c r="HV271" s="30"/>
      <c r="HW271" s="30"/>
      <c r="HX271" s="30"/>
      <c r="HY271" s="30"/>
      <c r="HZ271" s="30"/>
      <c r="IA271" s="30"/>
      <c r="IB271" s="30"/>
      <c r="IC271" s="30"/>
      <c r="ID271" s="30"/>
      <c r="IE271" s="30"/>
      <c r="IF271" s="30"/>
      <c r="IG271" s="30"/>
      <c r="IH271" s="30"/>
      <c r="II271" s="30"/>
      <c r="IJ271" s="30"/>
      <c r="IK271" s="30"/>
      <c r="IL271" s="30"/>
      <c r="IM271" s="30"/>
      <c r="IN271" s="30"/>
      <c r="IO271" s="30"/>
      <c r="IP271" s="30"/>
      <c r="IQ271" s="30"/>
      <c r="IR271" s="30"/>
      <c r="IS271" s="30"/>
      <c r="IT271" s="30"/>
      <c r="IU271" s="30"/>
      <c r="IV271" s="30"/>
      <c r="IW271" s="30"/>
      <c r="IX271" s="30"/>
      <c r="IY271" s="30"/>
      <c r="IZ271" s="30"/>
      <c r="JA271" s="30"/>
      <c r="JB271" s="30"/>
      <c r="JC271" s="30"/>
      <c r="JD271" s="30"/>
      <c r="JE271" s="30"/>
      <c r="JF271" s="30"/>
      <c r="JG271" s="30"/>
      <c r="JH271" s="30"/>
      <c r="JI271" s="30"/>
      <c r="JJ271" s="30"/>
      <c r="JK271" s="30"/>
      <c r="JL271" s="30"/>
      <c r="JM271" s="30"/>
      <c r="JN271" s="30"/>
      <c r="JO271" s="30"/>
      <c r="JP271" s="30"/>
      <c r="JQ271" s="30"/>
      <c r="JR271" s="30"/>
      <c r="JS271" s="30"/>
      <c r="JT271" s="30"/>
      <c r="JU271" s="30"/>
      <c r="JV271" s="30"/>
      <c r="JW271" s="30"/>
      <c r="JX271" s="30"/>
      <c r="JY271" s="30"/>
      <c r="JZ271" s="30"/>
      <c r="KA271" s="30"/>
      <c r="KB271" s="30"/>
      <c r="KC271" s="30"/>
      <c r="KD271" s="30"/>
      <c r="KE271" s="30"/>
      <c r="KF271" s="30"/>
      <c r="KG271" s="30"/>
      <c r="KH271" s="30"/>
      <c r="KI271" s="30"/>
      <c r="KJ271" s="30"/>
      <c r="KK271" s="30"/>
      <c r="KL271" s="30"/>
      <c r="KM271" s="30"/>
      <c r="KN271" s="30"/>
      <c r="KO271" s="30"/>
      <c r="KP271" s="30"/>
      <c r="KQ271" s="30"/>
      <c r="KR271" s="30"/>
      <c r="KS271" s="30"/>
      <c r="KT271" s="30"/>
      <c r="KU271" s="30"/>
      <c r="KV271" s="30"/>
      <c r="KW271" s="30"/>
      <c r="KX271" s="30"/>
      <c r="KY271" s="30"/>
      <c r="KZ271" s="30"/>
      <c r="LA271" s="30"/>
      <c r="LB271" s="30"/>
      <c r="LC271" s="30"/>
      <c r="LD271" s="30"/>
      <c r="LE271" s="30"/>
      <c r="LF271" s="30"/>
      <c r="LG271" s="30"/>
      <c r="LH271" s="30"/>
      <c r="LI271" s="30"/>
      <c r="LJ271" s="30"/>
      <c r="LK271" s="30"/>
      <c r="LL271" s="30"/>
      <c r="LM271" s="30"/>
      <c r="LN271" s="30"/>
      <c r="LO271" s="30"/>
      <c r="LP271" s="30"/>
      <c r="LQ271" s="30"/>
      <c r="LR271" s="30"/>
      <c r="LS271" s="30"/>
      <c r="LT271" s="30"/>
      <c r="LU271" s="30"/>
      <c r="LV271" s="30"/>
      <c r="LW271" s="30"/>
      <c r="LX271" s="30"/>
      <c r="LY271" s="30"/>
      <c r="LZ271" s="30"/>
      <c r="MA271" s="30"/>
      <c r="MB271" s="30"/>
      <c r="MC271" s="30"/>
      <c r="MD271" s="30"/>
      <c r="ME271" s="30"/>
      <c r="MF271" s="30"/>
      <c r="MG271" s="30"/>
      <c r="MH271" s="30"/>
      <c r="MI271" s="30"/>
      <c r="MJ271" s="30"/>
      <c r="MK271" s="30"/>
      <c r="ML271" s="30"/>
      <c r="MM271" s="30"/>
      <c r="MN271" s="30"/>
      <c r="MO271" s="30"/>
      <c r="MP271" s="30"/>
      <c r="MQ271" s="30"/>
      <c r="MR271" s="30"/>
      <c r="MS271" s="30"/>
      <c r="MT271" s="30"/>
      <c r="MU271" s="30"/>
      <c r="MV271" s="30"/>
      <c r="MW271" s="30"/>
      <c r="MX271" s="30"/>
      <c r="MY271" s="30"/>
      <c r="MZ271" s="30"/>
      <c r="NA271" s="30"/>
      <c r="NB271" s="30"/>
      <c r="NC271" s="30"/>
      <c r="ND271" s="30"/>
      <c r="NE271" s="30"/>
      <c r="NF271" s="30"/>
      <c r="NG271" s="30"/>
      <c r="NH271" s="30"/>
      <c r="NI271" s="30"/>
      <c r="NJ271" s="30"/>
      <c r="NK271" s="30"/>
      <c r="NL271" s="30"/>
      <c r="NM271" s="30"/>
      <c r="NN271" s="30"/>
      <c r="NO271" s="30"/>
      <c r="NP271" s="30"/>
      <c r="NQ271" s="30"/>
      <c r="NR271" s="30"/>
    </row>
    <row r="272" spans="1:382" s="3" customFormat="1" ht="20.100000000000001" customHeight="1" x14ac:dyDescent="0.4">
      <c r="A272" s="29">
        <v>2</v>
      </c>
      <c r="B272" s="5">
        <v>1747</v>
      </c>
      <c r="C272" s="5" t="s">
        <v>393</v>
      </c>
      <c r="D272" s="5" t="s">
        <v>48</v>
      </c>
      <c r="E272" s="5" t="s">
        <v>12</v>
      </c>
      <c r="F272" s="5" t="s">
        <v>32</v>
      </c>
      <c r="G272" s="5" t="s">
        <v>32</v>
      </c>
      <c r="H272" s="5" t="s">
        <v>32</v>
      </c>
      <c r="I272" s="8"/>
      <c r="J272" s="8"/>
      <c r="K272" s="8" t="str">
        <f>IF(OR(J272="",E272=""),"",J272+IFERROR(VLOOKUP(E272,リードタイム!$A$2:$C$9,3,FALSE),0))</f>
        <v/>
      </c>
      <c r="L272" s="5" t="s">
        <v>530</v>
      </c>
      <c r="M272" s="8"/>
      <c r="N272" s="8" t="str">
        <f>IF(OR(M272="",E272=""),"",M272+IFERROR(VLOOKUP(E272,リードタイム!$A$2:$D$9,4,FALSE),0))</f>
        <v/>
      </c>
      <c r="O272" s="5" t="s">
        <v>530</v>
      </c>
      <c r="P272" s="5" t="s">
        <v>530</v>
      </c>
      <c r="Q272" s="5" t="s">
        <v>395</v>
      </c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  <c r="FS272" s="30"/>
      <c r="FT272" s="30"/>
      <c r="FU272" s="30"/>
      <c r="FV272" s="30"/>
      <c r="FW272" s="30"/>
      <c r="FX272" s="30"/>
      <c r="FY272" s="30"/>
      <c r="FZ272" s="30"/>
      <c r="GA272" s="30"/>
      <c r="GB272" s="30"/>
      <c r="GC272" s="30"/>
      <c r="GD272" s="30"/>
      <c r="GE272" s="30"/>
      <c r="GF272" s="30"/>
      <c r="GG272" s="30"/>
      <c r="GH272" s="30"/>
      <c r="GI272" s="30"/>
      <c r="GJ272" s="30"/>
      <c r="GK272" s="30"/>
      <c r="GL272" s="30"/>
      <c r="GM272" s="30"/>
      <c r="GN272" s="30"/>
      <c r="GO272" s="30"/>
      <c r="GP272" s="30"/>
      <c r="GQ272" s="30"/>
      <c r="GR272" s="30"/>
      <c r="GS272" s="30"/>
      <c r="GT272" s="30"/>
      <c r="GU272" s="30"/>
      <c r="GV272" s="30"/>
      <c r="GW272" s="30"/>
      <c r="GX272" s="30"/>
      <c r="GY272" s="30"/>
      <c r="GZ272" s="30"/>
      <c r="HA272" s="30"/>
      <c r="HB272" s="30"/>
      <c r="HC272" s="30"/>
      <c r="HD272" s="30"/>
      <c r="HE272" s="30"/>
      <c r="HF272" s="30"/>
      <c r="HG272" s="30"/>
      <c r="HH272" s="30"/>
      <c r="HI272" s="30"/>
      <c r="HJ272" s="30"/>
      <c r="HK272" s="30"/>
      <c r="HL272" s="30"/>
      <c r="HM272" s="30"/>
      <c r="HN272" s="30"/>
      <c r="HO272" s="30"/>
      <c r="HP272" s="30"/>
      <c r="HQ272" s="30"/>
      <c r="HR272" s="30"/>
      <c r="HS272" s="30"/>
      <c r="HT272" s="30"/>
      <c r="HU272" s="30"/>
      <c r="HV272" s="30"/>
      <c r="HW272" s="30"/>
      <c r="HX272" s="30"/>
      <c r="HY272" s="30"/>
      <c r="HZ272" s="30"/>
      <c r="IA272" s="30"/>
      <c r="IB272" s="30"/>
      <c r="IC272" s="30"/>
      <c r="ID272" s="30"/>
      <c r="IE272" s="30"/>
      <c r="IF272" s="30"/>
      <c r="IG272" s="30"/>
      <c r="IH272" s="30"/>
      <c r="II272" s="30"/>
      <c r="IJ272" s="30"/>
      <c r="IK272" s="30"/>
      <c r="IL272" s="30"/>
      <c r="IM272" s="30"/>
      <c r="IN272" s="30"/>
      <c r="IO272" s="30"/>
      <c r="IP272" s="30"/>
      <c r="IQ272" s="30"/>
      <c r="IR272" s="30"/>
      <c r="IS272" s="30"/>
      <c r="IT272" s="30"/>
      <c r="IU272" s="30"/>
      <c r="IV272" s="30"/>
      <c r="IW272" s="30"/>
      <c r="IX272" s="30"/>
      <c r="IY272" s="30"/>
      <c r="IZ272" s="30"/>
      <c r="JA272" s="30"/>
      <c r="JB272" s="30"/>
      <c r="JC272" s="30"/>
      <c r="JD272" s="30"/>
      <c r="JE272" s="30"/>
      <c r="JF272" s="30"/>
      <c r="JG272" s="30"/>
      <c r="JH272" s="30"/>
      <c r="JI272" s="30"/>
      <c r="JJ272" s="30"/>
      <c r="JK272" s="30"/>
      <c r="JL272" s="30"/>
      <c r="JM272" s="30"/>
      <c r="JN272" s="30"/>
      <c r="JO272" s="30"/>
      <c r="JP272" s="30"/>
      <c r="JQ272" s="30"/>
      <c r="JR272" s="30"/>
      <c r="JS272" s="30"/>
      <c r="JT272" s="30"/>
      <c r="JU272" s="30"/>
      <c r="JV272" s="30"/>
      <c r="JW272" s="30"/>
      <c r="JX272" s="30"/>
      <c r="JY272" s="30"/>
      <c r="JZ272" s="30"/>
      <c r="KA272" s="30"/>
      <c r="KB272" s="30"/>
      <c r="KC272" s="30"/>
      <c r="KD272" s="30"/>
      <c r="KE272" s="30"/>
      <c r="KF272" s="30"/>
      <c r="KG272" s="30"/>
      <c r="KH272" s="30"/>
      <c r="KI272" s="30"/>
      <c r="KJ272" s="30"/>
      <c r="KK272" s="30"/>
      <c r="KL272" s="30"/>
      <c r="KM272" s="30"/>
      <c r="KN272" s="30"/>
      <c r="KO272" s="30"/>
      <c r="KP272" s="30"/>
      <c r="KQ272" s="30"/>
      <c r="KR272" s="30"/>
      <c r="KS272" s="30"/>
      <c r="KT272" s="30"/>
      <c r="KU272" s="30"/>
      <c r="KV272" s="30"/>
      <c r="KW272" s="30"/>
      <c r="KX272" s="30"/>
      <c r="KY272" s="30"/>
      <c r="KZ272" s="30"/>
      <c r="LA272" s="30"/>
      <c r="LB272" s="30"/>
      <c r="LC272" s="30"/>
      <c r="LD272" s="30"/>
      <c r="LE272" s="30"/>
      <c r="LF272" s="30"/>
      <c r="LG272" s="30"/>
      <c r="LH272" s="30"/>
      <c r="LI272" s="30"/>
      <c r="LJ272" s="30"/>
      <c r="LK272" s="30"/>
      <c r="LL272" s="30"/>
      <c r="LM272" s="30"/>
      <c r="LN272" s="30"/>
      <c r="LO272" s="30"/>
      <c r="LP272" s="30"/>
      <c r="LQ272" s="30"/>
      <c r="LR272" s="30"/>
      <c r="LS272" s="30"/>
      <c r="LT272" s="30"/>
      <c r="LU272" s="30"/>
      <c r="LV272" s="30"/>
      <c r="LW272" s="30"/>
      <c r="LX272" s="30"/>
      <c r="LY272" s="30"/>
      <c r="LZ272" s="30"/>
      <c r="MA272" s="30"/>
      <c r="MB272" s="30"/>
      <c r="MC272" s="30"/>
      <c r="MD272" s="30"/>
      <c r="ME272" s="30"/>
      <c r="MF272" s="30"/>
      <c r="MG272" s="30"/>
      <c r="MH272" s="30"/>
      <c r="MI272" s="30"/>
      <c r="MJ272" s="30"/>
      <c r="MK272" s="30"/>
      <c r="ML272" s="30"/>
      <c r="MM272" s="30"/>
      <c r="MN272" s="30"/>
      <c r="MO272" s="30"/>
      <c r="MP272" s="30"/>
      <c r="MQ272" s="30"/>
      <c r="MR272" s="30"/>
      <c r="MS272" s="30"/>
      <c r="MT272" s="30"/>
      <c r="MU272" s="30"/>
      <c r="MV272" s="30"/>
      <c r="MW272" s="30"/>
      <c r="MX272" s="30"/>
      <c r="MY272" s="30"/>
      <c r="MZ272" s="30"/>
      <c r="NA272" s="30"/>
      <c r="NB272" s="30"/>
      <c r="NC272" s="30"/>
      <c r="ND272" s="30"/>
      <c r="NE272" s="30"/>
      <c r="NF272" s="30"/>
      <c r="NG272" s="30"/>
      <c r="NH272" s="30"/>
      <c r="NI272" s="30"/>
      <c r="NJ272" s="30"/>
      <c r="NK272" s="30"/>
      <c r="NL272" s="30"/>
      <c r="NM272" s="30"/>
      <c r="NN272" s="30"/>
      <c r="NO272" s="30"/>
      <c r="NP272" s="30"/>
      <c r="NQ272" s="30"/>
      <c r="NR272" s="30"/>
    </row>
    <row r="273" spans="1:382" s="3" customFormat="1" ht="20.100000000000001" customHeight="1" x14ac:dyDescent="0.4">
      <c r="A273" s="29">
        <v>3</v>
      </c>
      <c r="B273" s="5">
        <v>1918</v>
      </c>
      <c r="C273" s="5" t="s">
        <v>393</v>
      </c>
      <c r="D273" s="5" t="s">
        <v>396</v>
      </c>
      <c r="E273" s="5" t="s">
        <v>4</v>
      </c>
      <c r="F273" s="5" t="s">
        <v>32</v>
      </c>
      <c r="G273" s="5" t="s">
        <v>32</v>
      </c>
      <c r="H273" s="5" t="s">
        <v>32</v>
      </c>
      <c r="I273" s="8">
        <v>45939.625</v>
      </c>
      <c r="J273" s="8"/>
      <c r="K273" s="8" t="str">
        <f>IF(OR(J273="",E273=""),"",J273+IFERROR(VLOOKUP(E273,リードタイム!$A$2:$C$9,3,FALSE),0))</f>
        <v/>
      </c>
      <c r="L273" s="5" t="s">
        <v>531</v>
      </c>
      <c r="M273" s="8"/>
      <c r="N273" s="8" t="str">
        <f>IF(OR(M273="",E273=""),"",M273+IFERROR(VLOOKUP(E273,リードタイム!$A$2:$D$9,4,FALSE),0))</f>
        <v/>
      </c>
      <c r="O273" s="5" t="s">
        <v>531</v>
      </c>
      <c r="P273" s="5" t="s">
        <v>533</v>
      </c>
      <c r="Q273" s="5" t="s">
        <v>397</v>
      </c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  <c r="FS273" s="30"/>
      <c r="FT273" s="30"/>
      <c r="FU273" s="30"/>
      <c r="FV273" s="30"/>
      <c r="FW273" s="30"/>
      <c r="FX273" s="30"/>
      <c r="FY273" s="30"/>
      <c r="FZ273" s="30"/>
      <c r="GA273" s="30"/>
      <c r="GB273" s="30"/>
      <c r="GC273" s="30"/>
      <c r="GD273" s="30"/>
      <c r="GE273" s="30"/>
      <c r="GF273" s="30"/>
      <c r="GG273" s="30"/>
      <c r="GH273" s="30"/>
      <c r="GI273" s="30"/>
      <c r="GJ273" s="30"/>
      <c r="GK273" s="30"/>
      <c r="GL273" s="30"/>
      <c r="GM273" s="30"/>
      <c r="GN273" s="30"/>
      <c r="GO273" s="30"/>
      <c r="GP273" s="30"/>
      <c r="GQ273" s="30"/>
      <c r="GR273" s="30"/>
      <c r="GS273" s="30"/>
      <c r="GT273" s="30"/>
      <c r="GU273" s="30"/>
      <c r="GV273" s="30"/>
      <c r="GW273" s="30"/>
      <c r="GX273" s="30"/>
      <c r="GY273" s="30"/>
      <c r="GZ273" s="30"/>
      <c r="HA273" s="30"/>
      <c r="HB273" s="30"/>
      <c r="HC273" s="30"/>
      <c r="HD273" s="30"/>
      <c r="HE273" s="30"/>
      <c r="HF273" s="30"/>
      <c r="HG273" s="30"/>
      <c r="HH273" s="30"/>
      <c r="HI273" s="30"/>
      <c r="HJ273" s="30"/>
      <c r="HK273" s="30"/>
      <c r="HL273" s="30"/>
      <c r="HM273" s="30"/>
      <c r="HN273" s="30"/>
      <c r="HO273" s="30"/>
      <c r="HP273" s="30"/>
      <c r="HQ273" s="30"/>
      <c r="HR273" s="30"/>
      <c r="HS273" s="30"/>
      <c r="HT273" s="30"/>
      <c r="HU273" s="30"/>
      <c r="HV273" s="30"/>
      <c r="HW273" s="30"/>
      <c r="HX273" s="30"/>
      <c r="HY273" s="30"/>
      <c r="HZ273" s="30"/>
      <c r="IA273" s="30"/>
      <c r="IB273" s="30"/>
      <c r="IC273" s="30"/>
      <c r="ID273" s="30"/>
      <c r="IE273" s="30"/>
      <c r="IF273" s="30"/>
      <c r="IG273" s="30"/>
      <c r="IH273" s="30"/>
      <c r="II273" s="30"/>
      <c r="IJ273" s="30"/>
      <c r="IK273" s="30"/>
      <c r="IL273" s="30"/>
      <c r="IM273" s="30"/>
      <c r="IN273" s="30"/>
      <c r="IO273" s="30"/>
      <c r="IP273" s="30"/>
      <c r="IQ273" s="30"/>
      <c r="IR273" s="30"/>
      <c r="IS273" s="30"/>
      <c r="IT273" s="30"/>
      <c r="IU273" s="30"/>
      <c r="IV273" s="30"/>
      <c r="IW273" s="30"/>
      <c r="IX273" s="30"/>
      <c r="IY273" s="30"/>
      <c r="IZ273" s="30"/>
      <c r="JA273" s="30"/>
      <c r="JB273" s="30"/>
      <c r="JC273" s="30"/>
      <c r="JD273" s="30"/>
      <c r="JE273" s="30"/>
      <c r="JF273" s="30"/>
      <c r="JG273" s="30"/>
      <c r="JH273" s="30"/>
      <c r="JI273" s="30"/>
      <c r="JJ273" s="30"/>
      <c r="JK273" s="30"/>
      <c r="JL273" s="30"/>
      <c r="JM273" s="30"/>
      <c r="JN273" s="30"/>
      <c r="JO273" s="30"/>
      <c r="JP273" s="30"/>
      <c r="JQ273" s="30"/>
      <c r="JR273" s="30"/>
      <c r="JS273" s="30"/>
      <c r="JT273" s="30"/>
      <c r="JU273" s="30"/>
      <c r="JV273" s="30"/>
      <c r="JW273" s="30"/>
      <c r="JX273" s="30"/>
      <c r="JY273" s="30"/>
      <c r="JZ273" s="30"/>
      <c r="KA273" s="30"/>
      <c r="KB273" s="30"/>
      <c r="KC273" s="30"/>
      <c r="KD273" s="30"/>
      <c r="KE273" s="30"/>
      <c r="KF273" s="30"/>
      <c r="KG273" s="30"/>
      <c r="KH273" s="30"/>
      <c r="KI273" s="30"/>
      <c r="KJ273" s="30"/>
      <c r="KK273" s="30"/>
      <c r="KL273" s="30"/>
      <c r="KM273" s="30"/>
      <c r="KN273" s="30"/>
      <c r="KO273" s="30"/>
      <c r="KP273" s="30"/>
      <c r="KQ273" s="30"/>
      <c r="KR273" s="30"/>
      <c r="KS273" s="30"/>
      <c r="KT273" s="30"/>
      <c r="KU273" s="30"/>
      <c r="KV273" s="30"/>
      <c r="KW273" s="30"/>
      <c r="KX273" s="30"/>
      <c r="KY273" s="30"/>
      <c r="KZ273" s="30"/>
      <c r="LA273" s="30"/>
      <c r="LB273" s="30"/>
      <c r="LC273" s="30"/>
      <c r="LD273" s="30"/>
      <c r="LE273" s="30"/>
      <c r="LF273" s="30"/>
      <c r="LG273" s="30"/>
      <c r="LH273" s="30"/>
      <c r="LI273" s="30"/>
      <c r="LJ273" s="30"/>
      <c r="LK273" s="30"/>
      <c r="LL273" s="30"/>
      <c r="LM273" s="30"/>
      <c r="LN273" s="30"/>
      <c r="LO273" s="30"/>
      <c r="LP273" s="30"/>
      <c r="LQ273" s="30"/>
      <c r="LR273" s="30"/>
      <c r="LS273" s="30"/>
      <c r="LT273" s="30"/>
      <c r="LU273" s="30"/>
      <c r="LV273" s="30"/>
      <c r="LW273" s="30"/>
      <c r="LX273" s="30"/>
      <c r="LY273" s="30"/>
      <c r="LZ273" s="30"/>
      <c r="MA273" s="30"/>
      <c r="MB273" s="30"/>
      <c r="MC273" s="30"/>
      <c r="MD273" s="30"/>
      <c r="ME273" s="30"/>
      <c r="MF273" s="30"/>
      <c r="MG273" s="30"/>
      <c r="MH273" s="30"/>
      <c r="MI273" s="30"/>
      <c r="MJ273" s="30"/>
      <c r="MK273" s="30"/>
      <c r="ML273" s="30"/>
      <c r="MM273" s="30"/>
      <c r="MN273" s="30"/>
      <c r="MO273" s="30"/>
      <c r="MP273" s="30"/>
      <c r="MQ273" s="30"/>
      <c r="MR273" s="30"/>
      <c r="MS273" s="30"/>
      <c r="MT273" s="30"/>
      <c r="MU273" s="30"/>
      <c r="MV273" s="30"/>
      <c r="MW273" s="30"/>
      <c r="MX273" s="30"/>
      <c r="MY273" s="30"/>
      <c r="MZ273" s="30"/>
      <c r="NA273" s="30"/>
      <c r="NB273" s="30"/>
      <c r="NC273" s="30"/>
      <c r="ND273" s="30"/>
      <c r="NE273" s="30"/>
      <c r="NF273" s="30"/>
      <c r="NG273" s="30"/>
      <c r="NH273" s="30"/>
      <c r="NI273" s="30"/>
      <c r="NJ273" s="30"/>
      <c r="NK273" s="30"/>
      <c r="NL273" s="30"/>
      <c r="NM273" s="30"/>
      <c r="NN273" s="30"/>
      <c r="NO273" s="30"/>
      <c r="NP273" s="30"/>
      <c r="NQ273" s="30"/>
      <c r="NR273" s="30"/>
    </row>
    <row r="274" spans="1:382" s="3" customFormat="1" ht="20.100000000000001" customHeight="1" x14ac:dyDescent="0.4">
      <c r="A274" s="29">
        <v>4</v>
      </c>
      <c r="B274" s="5">
        <v>1748</v>
      </c>
      <c r="C274" s="5" t="s">
        <v>393</v>
      </c>
      <c r="D274" s="5" t="s">
        <v>220</v>
      </c>
      <c r="E274" s="5" t="s">
        <v>8</v>
      </c>
      <c r="F274" s="5" t="s">
        <v>32</v>
      </c>
      <c r="G274" s="5" t="s">
        <v>32</v>
      </c>
      <c r="H274" s="5" t="s">
        <v>32</v>
      </c>
      <c r="I274" s="8"/>
      <c r="J274" s="8"/>
      <c r="K274" s="8" t="str">
        <f>IF(OR(J274="",E274=""),"",J274+IFERROR(VLOOKUP(E274,リードタイム!$A$2:$C$9,3,FALSE),0))</f>
        <v/>
      </c>
      <c r="L274" s="5" t="s">
        <v>531</v>
      </c>
      <c r="M274" s="8"/>
      <c r="N274" s="8" t="str">
        <f>IF(OR(M274="",E274=""),"",M274+IFERROR(VLOOKUP(E274,リードタイム!$A$2:$D$9,4,FALSE),0))</f>
        <v/>
      </c>
      <c r="O274" s="5" t="s">
        <v>531</v>
      </c>
      <c r="P274" s="5" t="s">
        <v>533</v>
      </c>
      <c r="Q274" s="5" t="s">
        <v>32</v>
      </c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  <c r="FS274" s="30"/>
      <c r="FT274" s="30"/>
      <c r="FU274" s="30"/>
      <c r="FV274" s="30"/>
      <c r="FW274" s="30"/>
      <c r="FX274" s="30"/>
      <c r="FY274" s="30"/>
      <c r="FZ274" s="30"/>
      <c r="GA274" s="30"/>
      <c r="GB274" s="30"/>
      <c r="GC274" s="30"/>
      <c r="GD274" s="30"/>
      <c r="GE274" s="30"/>
      <c r="GF274" s="30"/>
      <c r="GG274" s="30"/>
      <c r="GH274" s="30"/>
      <c r="GI274" s="30"/>
      <c r="GJ274" s="30"/>
      <c r="GK274" s="30"/>
      <c r="GL274" s="30"/>
      <c r="GM274" s="30"/>
      <c r="GN274" s="30"/>
      <c r="GO274" s="30"/>
      <c r="GP274" s="30"/>
      <c r="GQ274" s="30"/>
      <c r="GR274" s="30"/>
      <c r="GS274" s="30"/>
      <c r="GT274" s="30"/>
      <c r="GU274" s="30"/>
      <c r="GV274" s="30"/>
      <c r="GW274" s="30"/>
      <c r="GX274" s="30"/>
      <c r="GY274" s="30"/>
      <c r="GZ274" s="30"/>
      <c r="HA274" s="30"/>
      <c r="HB274" s="30"/>
      <c r="HC274" s="30"/>
      <c r="HD274" s="30"/>
      <c r="HE274" s="30"/>
      <c r="HF274" s="30"/>
      <c r="HG274" s="30"/>
      <c r="HH274" s="30"/>
      <c r="HI274" s="30"/>
      <c r="HJ274" s="30"/>
      <c r="HK274" s="30"/>
      <c r="HL274" s="30"/>
      <c r="HM274" s="30"/>
      <c r="HN274" s="30"/>
      <c r="HO274" s="30"/>
      <c r="HP274" s="30"/>
      <c r="HQ274" s="30"/>
      <c r="HR274" s="30"/>
      <c r="HS274" s="30"/>
      <c r="HT274" s="30"/>
      <c r="HU274" s="30"/>
      <c r="HV274" s="30"/>
      <c r="HW274" s="30"/>
      <c r="HX274" s="30"/>
      <c r="HY274" s="30"/>
      <c r="HZ274" s="30"/>
      <c r="IA274" s="30"/>
      <c r="IB274" s="30"/>
      <c r="IC274" s="30"/>
      <c r="ID274" s="30"/>
      <c r="IE274" s="30"/>
      <c r="IF274" s="30"/>
      <c r="IG274" s="30"/>
      <c r="IH274" s="30"/>
      <c r="II274" s="30"/>
      <c r="IJ274" s="30"/>
      <c r="IK274" s="30"/>
      <c r="IL274" s="30"/>
      <c r="IM274" s="30"/>
      <c r="IN274" s="30"/>
      <c r="IO274" s="30"/>
      <c r="IP274" s="30"/>
      <c r="IQ274" s="30"/>
      <c r="IR274" s="30"/>
      <c r="IS274" s="30"/>
      <c r="IT274" s="30"/>
      <c r="IU274" s="30"/>
      <c r="IV274" s="30"/>
      <c r="IW274" s="30"/>
      <c r="IX274" s="30"/>
      <c r="IY274" s="30"/>
      <c r="IZ274" s="30"/>
      <c r="JA274" s="30"/>
      <c r="JB274" s="30"/>
      <c r="JC274" s="30"/>
      <c r="JD274" s="30"/>
      <c r="JE274" s="30"/>
      <c r="JF274" s="30"/>
      <c r="JG274" s="30"/>
      <c r="JH274" s="30"/>
      <c r="JI274" s="30"/>
      <c r="JJ274" s="30"/>
      <c r="JK274" s="30"/>
      <c r="JL274" s="30"/>
      <c r="JM274" s="30"/>
      <c r="JN274" s="30"/>
      <c r="JO274" s="30"/>
      <c r="JP274" s="30"/>
      <c r="JQ274" s="30"/>
      <c r="JR274" s="30"/>
      <c r="JS274" s="30"/>
      <c r="JT274" s="30"/>
      <c r="JU274" s="30"/>
      <c r="JV274" s="30"/>
      <c r="JW274" s="30"/>
      <c r="JX274" s="30"/>
      <c r="JY274" s="30"/>
      <c r="JZ274" s="30"/>
      <c r="KA274" s="30"/>
      <c r="KB274" s="30"/>
      <c r="KC274" s="30"/>
      <c r="KD274" s="30"/>
      <c r="KE274" s="30"/>
      <c r="KF274" s="30"/>
      <c r="KG274" s="30"/>
      <c r="KH274" s="30"/>
      <c r="KI274" s="30"/>
      <c r="KJ274" s="30"/>
      <c r="KK274" s="30"/>
      <c r="KL274" s="30"/>
      <c r="KM274" s="30"/>
      <c r="KN274" s="30"/>
      <c r="KO274" s="30"/>
      <c r="KP274" s="30"/>
      <c r="KQ274" s="30"/>
      <c r="KR274" s="30"/>
      <c r="KS274" s="30"/>
      <c r="KT274" s="30"/>
      <c r="KU274" s="30"/>
      <c r="KV274" s="30"/>
      <c r="KW274" s="30"/>
      <c r="KX274" s="30"/>
      <c r="KY274" s="30"/>
      <c r="KZ274" s="30"/>
      <c r="LA274" s="30"/>
      <c r="LB274" s="30"/>
      <c r="LC274" s="30"/>
      <c r="LD274" s="30"/>
      <c r="LE274" s="30"/>
      <c r="LF274" s="30"/>
      <c r="LG274" s="30"/>
      <c r="LH274" s="30"/>
      <c r="LI274" s="30"/>
      <c r="LJ274" s="30"/>
      <c r="LK274" s="30"/>
      <c r="LL274" s="30"/>
      <c r="LM274" s="30"/>
      <c r="LN274" s="30"/>
      <c r="LO274" s="30"/>
      <c r="LP274" s="30"/>
      <c r="LQ274" s="30"/>
      <c r="LR274" s="30"/>
      <c r="LS274" s="30"/>
      <c r="LT274" s="30"/>
      <c r="LU274" s="30"/>
      <c r="LV274" s="30"/>
      <c r="LW274" s="30"/>
      <c r="LX274" s="30"/>
      <c r="LY274" s="30"/>
      <c r="LZ274" s="30"/>
      <c r="MA274" s="30"/>
      <c r="MB274" s="30"/>
      <c r="MC274" s="30"/>
      <c r="MD274" s="30"/>
      <c r="ME274" s="30"/>
      <c r="MF274" s="30"/>
      <c r="MG274" s="30"/>
      <c r="MH274" s="30"/>
      <c r="MI274" s="30"/>
      <c r="MJ274" s="30"/>
      <c r="MK274" s="30"/>
      <c r="ML274" s="30"/>
      <c r="MM274" s="30"/>
      <c r="MN274" s="30"/>
      <c r="MO274" s="30"/>
      <c r="MP274" s="30"/>
      <c r="MQ274" s="30"/>
      <c r="MR274" s="30"/>
      <c r="MS274" s="30"/>
      <c r="MT274" s="30"/>
      <c r="MU274" s="30"/>
      <c r="MV274" s="30"/>
      <c r="MW274" s="30"/>
      <c r="MX274" s="30"/>
      <c r="MY274" s="30"/>
      <c r="MZ274" s="30"/>
      <c r="NA274" s="30"/>
      <c r="NB274" s="30"/>
      <c r="NC274" s="30"/>
      <c r="ND274" s="30"/>
      <c r="NE274" s="30"/>
      <c r="NF274" s="30"/>
      <c r="NG274" s="30"/>
      <c r="NH274" s="30"/>
      <c r="NI274" s="30"/>
      <c r="NJ274" s="30"/>
      <c r="NK274" s="30"/>
      <c r="NL274" s="30"/>
      <c r="NM274" s="30"/>
      <c r="NN274" s="30"/>
      <c r="NO274" s="30"/>
      <c r="NP274" s="30"/>
      <c r="NQ274" s="30"/>
      <c r="NR274" s="30"/>
    </row>
    <row r="275" spans="1:382" s="3" customFormat="1" ht="20.100000000000001" customHeight="1" x14ac:dyDescent="0.4">
      <c r="A275" s="29">
        <v>5</v>
      </c>
      <c r="B275" s="5">
        <v>1728</v>
      </c>
      <c r="C275" s="5" t="s">
        <v>393</v>
      </c>
      <c r="D275" s="5" t="s">
        <v>398</v>
      </c>
      <c r="E275" s="5" t="s">
        <v>10</v>
      </c>
      <c r="F275" s="5" t="s">
        <v>32</v>
      </c>
      <c r="G275" s="5" t="s">
        <v>32</v>
      </c>
      <c r="H275" s="5" t="s">
        <v>32</v>
      </c>
      <c r="I275" s="8"/>
      <c r="J275" s="8"/>
      <c r="K275" s="8" t="str">
        <f>IF(OR(J275="",E275=""),"",J275+IFERROR(VLOOKUP(E275,リードタイム!$A$2:$C$9,3,FALSE),0))</f>
        <v/>
      </c>
      <c r="L275" s="5" t="s">
        <v>530</v>
      </c>
      <c r="M275" s="8"/>
      <c r="N275" s="8" t="str">
        <f>IF(OR(M275="",E275=""),"",M275+IFERROR(VLOOKUP(E275,リードタイム!$A$2:$D$9,4,FALSE),0))</f>
        <v/>
      </c>
      <c r="O275" s="5" t="s">
        <v>530</v>
      </c>
      <c r="P275" s="5" t="s">
        <v>530</v>
      </c>
      <c r="Q275" s="5" t="s">
        <v>32</v>
      </c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  <c r="FS275" s="30"/>
      <c r="FT275" s="30"/>
      <c r="FU275" s="30"/>
      <c r="FV275" s="30"/>
      <c r="FW275" s="30"/>
      <c r="FX275" s="30"/>
      <c r="FY275" s="30"/>
      <c r="FZ275" s="30"/>
      <c r="GA275" s="30"/>
      <c r="GB275" s="30"/>
      <c r="GC275" s="30"/>
      <c r="GD275" s="30"/>
      <c r="GE275" s="30"/>
      <c r="GF275" s="30"/>
      <c r="GG275" s="30"/>
      <c r="GH275" s="30"/>
      <c r="GI275" s="30"/>
      <c r="GJ275" s="30"/>
      <c r="GK275" s="30"/>
      <c r="GL275" s="30"/>
      <c r="GM275" s="30"/>
      <c r="GN275" s="30"/>
      <c r="GO275" s="30"/>
      <c r="GP275" s="30"/>
      <c r="GQ275" s="30"/>
      <c r="GR275" s="30"/>
      <c r="GS275" s="30"/>
      <c r="GT275" s="30"/>
      <c r="GU275" s="30"/>
      <c r="GV275" s="30"/>
      <c r="GW275" s="30"/>
      <c r="GX275" s="30"/>
      <c r="GY275" s="30"/>
      <c r="GZ275" s="30"/>
      <c r="HA275" s="30"/>
      <c r="HB275" s="30"/>
      <c r="HC275" s="30"/>
      <c r="HD275" s="30"/>
      <c r="HE275" s="30"/>
      <c r="HF275" s="30"/>
      <c r="HG275" s="30"/>
      <c r="HH275" s="30"/>
      <c r="HI275" s="30"/>
      <c r="HJ275" s="30"/>
      <c r="HK275" s="30"/>
      <c r="HL275" s="30"/>
      <c r="HM275" s="30"/>
      <c r="HN275" s="30"/>
      <c r="HO275" s="30"/>
      <c r="HP275" s="30"/>
      <c r="HQ275" s="30"/>
      <c r="HR275" s="30"/>
      <c r="HS275" s="30"/>
      <c r="HT275" s="30"/>
      <c r="HU275" s="30"/>
      <c r="HV275" s="30"/>
      <c r="HW275" s="30"/>
      <c r="HX275" s="30"/>
      <c r="HY275" s="30"/>
      <c r="HZ275" s="30"/>
      <c r="IA275" s="30"/>
      <c r="IB275" s="30"/>
      <c r="IC275" s="30"/>
      <c r="ID275" s="30"/>
      <c r="IE275" s="30"/>
      <c r="IF275" s="30"/>
      <c r="IG275" s="30"/>
      <c r="IH275" s="30"/>
      <c r="II275" s="30"/>
      <c r="IJ275" s="30"/>
      <c r="IK275" s="30"/>
      <c r="IL275" s="30"/>
      <c r="IM275" s="30"/>
      <c r="IN275" s="30"/>
      <c r="IO275" s="30"/>
      <c r="IP275" s="30"/>
      <c r="IQ275" s="30"/>
      <c r="IR275" s="30"/>
      <c r="IS275" s="30"/>
      <c r="IT275" s="30"/>
      <c r="IU275" s="30"/>
      <c r="IV275" s="30"/>
      <c r="IW275" s="30"/>
      <c r="IX275" s="30"/>
      <c r="IY275" s="30"/>
      <c r="IZ275" s="30"/>
      <c r="JA275" s="30"/>
      <c r="JB275" s="30"/>
      <c r="JC275" s="30"/>
      <c r="JD275" s="30"/>
      <c r="JE275" s="30"/>
      <c r="JF275" s="30"/>
      <c r="JG275" s="30"/>
      <c r="JH275" s="30"/>
      <c r="JI275" s="30"/>
      <c r="JJ275" s="30"/>
      <c r="JK275" s="30"/>
      <c r="JL275" s="30"/>
      <c r="JM275" s="30"/>
      <c r="JN275" s="30"/>
      <c r="JO275" s="30"/>
      <c r="JP275" s="30"/>
      <c r="JQ275" s="30"/>
      <c r="JR275" s="30"/>
      <c r="JS275" s="30"/>
      <c r="JT275" s="30"/>
      <c r="JU275" s="30"/>
      <c r="JV275" s="30"/>
      <c r="JW275" s="30"/>
      <c r="JX275" s="30"/>
      <c r="JY275" s="30"/>
      <c r="JZ275" s="30"/>
      <c r="KA275" s="30"/>
      <c r="KB275" s="30"/>
      <c r="KC275" s="30"/>
      <c r="KD275" s="30"/>
      <c r="KE275" s="30"/>
      <c r="KF275" s="30"/>
      <c r="KG275" s="30"/>
      <c r="KH275" s="30"/>
      <c r="KI275" s="30"/>
      <c r="KJ275" s="30"/>
      <c r="KK275" s="30"/>
      <c r="KL275" s="30"/>
      <c r="KM275" s="30"/>
      <c r="KN275" s="30"/>
      <c r="KO275" s="30"/>
      <c r="KP275" s="30"/>
      <c r="KQ275" s="30"/>
      <c r="KR275" s="30"/>
      <c r="KS275" s="30"/>
      <c r="KT275" s="30"/>
      <c r="KU275" s="30"/>
      <c r="KV275" s="30"/>
      <c r="KW275" s="30"/>
      <c r="KX275" s="30"/>
      <c r="KY275" s="30"/>
      <c r="KZ275" s="30"/>
      <c r="LA275" s="30"/>
      <c r="LB275" s="30"/>
      <c r="LC275" s="30"/>
      <c r="LD275" s="30"/>
      <c r="LE275" s="30"/>
      <c r="LF275" s="30"/>
      <c r="LG275" s="30"/>
      <c r="LH275" s="30"/>
      <c r="LI275" s="30"/>
      <c r="LJ275" s="30"/>
      <c r="LK275" s="30"/>
      <c r="LL275" s="30"/>
      <c r="LM275" s="30"/>
      <c r="LN275" s="30"/>
      <c r="LO275" s="30"/>
      <c r="LP275" s="30"/>
      <c r="LQ275" s="30"/>
      <c r="LR275" s="30"/>
      <c r="LS275" s="30"/>
      <c r="LT275" s="30"/>
      <c r="LU275" s="30"/>
      <c r="LV275" s="30"/>
      <c r="LW275" s="30"/>
      <c r="LX275" s="30"/>
      <c r="LY275" s="30"/>
      <c r="LZ275" s="30"/>
      <c r="MA275" s="30"/>
      <c r="MB275" s="30"/>
      <c r="MC275" s="30"/>
      <c r="MD275" s="30"/>
      <c r="ME275" s="30"/>
      <c r="MF275" s="30"/>
      <c r="MG275" s="30"/>
      <c r="MH275" s="30"/>
      <c r="MI275" s="30"/>
      <c r="MJ275" s="30"/>
      <c r="MK275" s="30"/>
      <c r="ML275" s="30"/>
      <c r="MM275" s="30"/>
      <c r="MN275" s="30"/>
      <c r="MO275" s="30"/>
      <c r="MP275" s="30"/>
      <c r="MQ275" s="30"/>
      <c r="MR275" s="30"/>
      <c r="MS275" s="30"/>
      <c r="MT275" s="30"/>
      <c r="MU275" s="30"/>
      <c r="MV275" s="30"/>
      <c r="MW275" s="30"/>
      <c r="MX275" s="30"/>
      <c r="MY275" s="30"/>
      <c r="MZ275" s="30"/>
      <c r="NA275" s="30"/>
      <c r="NB275" s="30"/>
      <c r="NC275" s="30"/>
      <c r="ND275" s="30"/>
      <c r="NE275" s="30"/>
      <c r="NF275" s="30"/>
      <c r="NG275" s="30"/>
      <c r="NH275" s="30"/>
      <c r="NI275" s="30"/>
      <c r="NJ275" s="30"/>
      <c r="NK275" s="30"/>
      <c r="NL275" s="30"/>
      <c r="NM275" s="30"/>
      <c r="NN275" s="30"/>
      <c r="NO275" s="30"/>
      <c r="NP275" s="30"/>
      <c r="NQ275" s="30"/>
      <c r="NR275" s="30"/>
    </row>
    <row r="276" spans="1:382" s="3" customFormat="1" ht="20.100000000000001" customHeight="1" x14ac:dyDescent="0.4">
      <c r="A276" s="29">
        <v>6</v>
      </c>
      <c r="B276" s="5">
        <v>1728</v>
      </c>
      <c r="C276" s="5" t="s">
        <v>393</v>
      </c>
      <c r="D276" s="5" t="s">
        <v>399</v>
      </c>
      <c r="E276" s="5" t="s">
        <v>10</v>
      </c>
      <c r="F276" s="5" t="s">
        <v>32</v>
      </c>
      <c r="G276" s="5" t="s">
        <v>32</v>
      </c>
      <c r="H276" s="5" t="s">
        <v>32</v>
      </c>
      <c r="I276" s="8"/>
      <c r="J276" s="8"/>
      <c r="K276" s="8" t="str">
        <f>IF(OR(J276="",E276=""),"",J276+IFERROR(VLOOKUP(E276,リードタイム!$A$2:$C$9,3,FALSE),0))</f>
        <v/>
      </c>
      <c r="L276" s="5" t="s">
        <v>530</v>
      </c>
      <c r="M276" s="8"/>
      <c r="N276" s="8" t="str">
        <f>IF(OR(M276="",E276=""),"",M276+IFERROR(VLOOKUP(E276,リードタイム!$A$2:$D$9,4,FALSE),0))</f>
        <v/>
      </c>
      <c r="O276" s="5" t="s">
        <v>530</v>
      </c>
      <c r="P276" s="5" t="s">
        <v>530</v>
      </c>
      <c r="Q276" s="5" t="s">
        <v>32</v>
      </c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  <c r="FS276" s="30"/>
      <c r="FT276" s="30"/>
      <c r="FU276" s="30"/>
      <c r="FV276" s="30"/>
      <c r="FW276" s="30"/>
      <c r="FX276" s="30"/>
      <c r="FY276" s="30"/>
      <c r="FZ276" s="30"/>
      <c r="GA276" s="30"/>
      <c r="GB276" s="30"/>
      <c r="GC276" s="30"/>
      <c r="GD276" s="30"/>
      <c r="GE276" s="30"/>
      <c r="GF276" s="30"/>
      <c r="GG276" s="30"/>
      <c r="GH276" s="30"/>
      <c r="GI276" s="30"/>
      <c r="GJ276" s="30"/>
      <c r="GK276" s="30"/>
      <c r="GL276" s="30"/>
      <c r="GM276" s="30"/>
      <c r="GN276" s="30"/>
      <c r="GO276" s="30"/>
      <c r="GP276" s="30"/>
      <c r="GQ276" s="30"/>
      <c r="GR276" s="30"/>
      <c r="GS276" s="30"/>
      <c r="GT276" s="30"/>
      <c r="GU276" s="30"/>
      <c r="GV276" s="30"/>
      <c r="GW276" s="30"/>
      <c r="GX276" s="30"/>
      <c r="GY276" s="30"/>
      <c r="GZ276" s="30"/>
      <c r="HA276" s="30"/>
      <c r="HB276" s="30"/>
      <c r="HC276" s="30"/>
      <c r="HD276" s="30"/>
      <c r="HE276" s="30"/>
      <c r="HF276" s="30"/>
      <c r="HG276" s="30"/>
      <c r="HH276" s="30"/>
      <c r="HI276" s="30"/>
      <c r="HJ276" s="30"/>
      <c r="HK276" s="30"/>
      <c r="HL276" s="30"/>
      <c r="HM276" s="30"/>
      <c r="HN276" s="30"/>
      <c r="HO276" s="30"/>
      <c r="HP276" s="30"/>
      <c r="HQ276" s="30"/>
      <c r="HR276" s="30"/>
      <c r="HS276" s="30"/>
      <c r="HT276" s="30"/>
      <c r="HU276" s="30"/>
      <c r="HV276" s="30"/>
      <c r="HW276" s="30"/>
      <c r="HX276" s="30"/>
      <c r="HY276" s="30"/>
      <c r="HZ276" s="30"/>
      <c r="IA276" s="30"/>
      <c r="IB276" s="30"/>
      <c r="IC276" s="30"/>
      <c r="ID276" s="30"/>
      <c r="IE276" s="30"/>
      <c r="IF276" s="30"/>
      <c r="IG276" s="30"/>
      <c r="IH276" s="30"/>
      <c r="II276" s="30"/>
      <c r="IJ276" s="30"/>
      <c r="IK276" s="30"/>
      <c r="IL276" s="30"/>
      <c r="IM276" s="30"/>
      <c r="IN276" s="30"/>
      <c r="IO276" s="30"/>
      <c r="IP276" s="30"/>
      <c r="IQ276" s="30"/>
      <c r="IR276" s="30"/>
      <c r="IS276" s="30"/>
      <c r="IT276" s="30"/>
      <c r="IU276" s="30"/>
      <c r="IV276" s="30"/>
      <c r="IW276" s="30"/>
      <c r="IX276" s="30"/>
      <c r="IY276" s="30"/>
      <c r="IZ276" s="30"/>
      <c r="JA276" s="30"/>
      <c r="JB276" s="30"/>
      <c r="JC276" s="30"/>
      <c r="JD276" s="30"/>
      <c r="JE276" s="30"/>
      <c r="JF276" s="30"/>
      <c r="JG276" s="30"/>
      <c r="JH276" s="30"/>
      <c r="JI276" s="30"/>
      <c r="JJ276" s="30"/>
      <c r="JK276" s="30"/>
      <c r="JL276" s="30"/>
      <c r="JM276" s="30"/>
      <c r="JN276" s="30"/>
      <c r="JO276" s="30"/>
      <c r="JP276" s="30"/>
      <c r="JQ276" s="30"/>
      <c r="JR276" s="30"/>
      <c r="JS276" s="30"/>
      <c r="JT276" s="30"/>
      <c r="JU276" s="30"/>
      <c r="JV276" s="30"/>
      <c r="JW276" s="30"/>
      <c r="JX276" s="30"/>
      <c r="JY276" s="30"/>
      <c r="JZ276" s="30"/>
      <c r="KA276" s="30"/>
      <c r="KB276" s="30"/>
      <c r="KC276" s="30"/>
      <c r="KD276" s="30"/>
      <c r="KE276" s="30"/>
      <c r="KF276" s="30"/>
      <c r="KG276" s="30"/>
      <c r="KH276" s="30"/>
      <c r="KI276" s="30"/>
      <c r="KJ276" s="30"/>
      <c r="KK276" s="30"/>
      <c r="KL276" s="30"/>
      <c r="KM276" s="30"/>
      <c r="KN276" s="30"/>
      <c r="KO276" s="30"/>
      <c r="KP276" s="30"/>
      <c r="KQ276" s="30"/>
      <c r="KR276" s="30"/>
      <c r="KS276" s="30"/>
      <c r="KT276" s="30"/>
      <c r="KU276" s="30"/>
      <c r="KV276" s="30"/>
      <c r="KW276" s="30"/>
      <c r="KX276" s="30"/>
      <c r="KY276" s="30"/>
      <c r="KZ276" s="30"/>
      <c r="LA276" s="30"/>
      <c r="LB276" s="30"/>
      <c r="LC276" s="30"/>
      <c r="LD276" s="30"/>
      <c r="LE276" s="30"/>
      <c r="LF276" s="30"/>
      <c r="LG276" s="30"/>
      <c r="LH276" s="30"/>
      <c r="LI276" s="30"/>
      <c r="LJ276" s="30"/>
      <c r="LK276" s="30"/>
      <c r="LL276" s="30"/>
      <c r="LM276" s="30"/>
      <c r="LN276" s="30"/>
      <c r="LO276" s="30"/>
      <c r="LP276" s="30"/>
      <c r="LQ276" s="30"/>
      <c r="LR276" s="30"/>
      <c r="LS276" s="30"/>
      <c r="LT276" s="30"/>
      <c r="LU276" s="30"/>
      <c r="LV276" s="30"/>
      <c r="LW276" s="30"/>
      <c r="LX276" s="30"/>
      <c r="LY276" s="30"/>
      <c r="LZ276" s="30"/>
      <c r="MA276" s="30"/>
      <c r="MB276" s="30"/>
      <c r="MC276" s="30"/>
      <c r="MD276" s="30"/>
      <c r="ME276" s="30"/>
      <c r="MF276" s="30"/>
      <c r="MG276" s="30"/>
      <c r="MH276" s="30"/>
      <c r="MI276" s="30"/>
      <c r="MJ276" s="30"/>
      <c r="MK276" s="30"/>
      <c r="ML276" s="30"/>
      <c r="MM276" s="30"/>
      <c r="MN276" s="30"/>
      <c r="MO276" s="30"/>
      <c r="MP276" s="30"/>
      <c r="MQ276" s="30"/>
      <c r="MR276" s="30"/>
      <c r="MS276" s="30"/>
      <c r="MT276" s="30"/>
      <c r="MU276" s="30"/>
      <c r="MV276" s="30"/>
      <c r="MW276" s="30"/>
      <c r="MX276" s="30"/>
      <c r="MY276" s="30"/>
      <c r="MZ276" s="30"/>
      <c r="NA276" s="30"/>
      <c r="NB276" s="30"/>
      <c r="NC276" s="30"/>
      <c r="ND276" s="30"/>
      <c r="NE276" s="30"/>
      <c r="NF276" s="30"/>
      <c r="NG276" s="30"/>
      <c r="NH276" s="30"/>
      <c r="NI276" s="30"/>
      <c r="NJ276" s="30"/>
      <c r="NK276" s="30"/>
      <c r="NL276" s="30"/>
      <c r="NM276" s="30"/>
      <c r="NN276" s="30"/>
      <c r="NO276" s="30"/>
      <c r="NP276" s="30"/>
      <c r="NQ276" s="30"/>
      <c r="NR276" s="30"/>
    </row>
    <row r="277" spans="1:382" s="3" customFormat="1" ht="20.100000000000001" customHeight="1" x14ac:dyDescent="0.4">
      <c r="A277" s="29">
        <v>7</v>
      </c>
      <c r="B277" s="5">
        <v>1748</v>
      </c>
      <c r="C277" s="5" t="s">
        <v>393</v>
      </c>
      <c r="D277" s="5" t="s">
        <v>220</v>
      </c>
      <c r="E277" s="5" t="s">
        <v>8</v>
      </c>
      <c r="F277" s="5" t="s">
        <v>32</v>
      </c>
      <c r="G277" s="5" t="s">
        <v>32</v>
      </c>
      <c r="H277" s="5" t="s">
        <v>32</v>
      </c>
      <c r="I277" s="8"/>
      <c r="J277" s="8"/>
      <c r="K277" s="8" t="str">
        <f>IF(OR(J277="",E277=""),"",J277+IFERROR(VLOOKUP(E277,リードタイム!$A$2:$C$9,3,FALSE),0))</f>
        <v/>
      </c>
      <c r="L277" s="5" t="s">
        <v>530</v>
      </c>
      <c r="M277" s="8"/>
      <c r="N277" s="8" t="str">
        <f>IF(OR(M277="",E277=""),"",M277+IFERROR(VLOOKUP(E277,リードタイム!$A$2:$D$9,4,FALSE),0))</f>
        <v/>
      </c>
      <c r="O277" s="5" t="s">
        <v>530</v>
      </c>
      <c r="P277" s="5" t="s">
        <v>530</v>
      </c>
      <c r="Q277" s="5" t="s">
        <v>32</v>
      </c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  <c r="FS277" s="30"/>
      <c r="FT277" s="30"/>
      <c r="FU277" s="30"/>
      <c r="FV277" s="30"/>
      <c r="FW277" s="30"/>
      <c r="FX277" s="30"/>
      <c r="FY277" s="30"/>
      <c r="FZ277" s="30"/>
      <c r="GA277" s="30"/>
      <c r="GB277" s="30"/>
      <c r="GC277" s="30"/>
      <c r="GD277" s="30"/>
      <c r="GE277" s="30"/>
      <c r="GF277" s="30"/>
      <c r="GG277" s="30"/>
      <c r="GH277" s="30"/>
      <c r="GI277" s="30"/>
      <c r="GJ277" s="30"/>
      <c r="GK277" s="30"/>
      <c r="GL277" s="30"/>
      <c r="GM277" s="30"/>
      <c r="GN277" s="30"/>
      <c r="GO277" s="30"/>
      <c r="GP277" s="30"/>
      <c r="GQ277" s="30"/>
      <c r="GR277" s="30"/>
      <c r="GS277" s="30"/>
      <c r="GT277" s="30"/>
      <c r="GU277" s="30"/>
      <c r="GV277" s="30"/>
      <c r="GW277" s="30"/>
      <c r="GX277" s="30"/>
      <c r="GY277" s="30"/>
      <c r="GZ277" s="30"/>
      <c r="HA277" s="30"/>
      <c r="HB277" s="30"/>
      <c r="HC277" s="30"/>
      <c r="HD277" s="30"/>
      <c r="HE277" s="30"/>
      <c r="HF277" s="30"/>
      <c r="HG277" s="30"/>
      <c r="HH277" s="30"/>
      <c r="HI277" s="30"/>
      <c r="HJ277" s="30"/>
      <c r="HK277" s="30"/>
      <c r="HL277" s="30"/>
      <c r="HM277" s="30"/>
      <c r="HN277" s="30"/>
      <c r="HO277" s="30"/>
      <c r="HP277" s="30"/>
      <c r="HQ277" s="30"/>
      <c r="HR277" s="30"/>
      <c r="HS277" s="30"/>
      <c r="HT277" s="30"/>
      <c r="HU277" s="30"/>
      <c r="HV277" s="30"/>
      <c r="HW277" s="30"/>
      <c r="HX277" s="30"/>
      <c r="HY277" s="30"/>
      <c r="HZ277" s="30"/>
      <c r="IA277" s="30"/>
      <c r="IB277" s="30"/>
      <c r="IC277" s="30"/>
      <c r="ID277" s="30"/>
      <c r="IE277" s="30"/>
      <c r="IF277" s="30"/>
      <c r="IG277" s="30"/>
      <c r="IH277" s="30"/>
      <c r="II277" s="30"/>
      <c r="IJ277" s="30"/>
      <c r="IK277" s="30"/>
      <c r="IL277" s="30"/>
      <c r="IM277" s="30"/>
      <c r="IN277" s="30"/>
      <c r="IO277" s="30"/>
      <c r="IP277" s="30"/>
      <c r="IQ277" s="30"/>
      <c r="IR277" s="30"/>
      <c r="IS277" s="30"/>
      <c r="IT277" s="30"/>
      <c r="IU277" s="30"/>
      <c r="IV277" s="30"/>
      <c r="IW277" s="30"/>
      <c r="IX277" s="30"/>
      <c r="IY277" s="30"/>
      <c r="IZ277" s="30"/>
      <c r="JA277" s="30"/>
      <c r="JB277" s="30"/>
      <c r="JC277" s="30"/>
      <c r="JD277" s="30"/>
      <c r="JE277" s="30"/>
      <c r="JF277" s="30"/>
      <c r="JG277" s="30"/>
      <c r="JH277" s="30"/>
      <c r="JI277" s="30"/>
      <c r="JJ277" s="30"/>
      <c r="JK277" s="30"/>
      <c r="JL277" s="30"/>
      <c r="JM277" s="30"/>
      <c r="JN277" s="30"/>
      <c r="JO277" s="30"/>
      <c r="JP277" s="30"/>
      <c r="JQ277" s="30"/>
      <c r="JR277" s="30"/>
      <c r="JS277" s="30"/>
      <c r="JT277" s="30"/>
      <c r="JU277" s="30"/>
      <c r="JV277" s="30"/>
      <c r="JW277" s="30"/>
      <c r="JX277" s="30"/>
      <c r="JY277" s="30"/>
      <c r="JZ277" s="30"/>
      <c r="KA277" s="30"/>
      <c r="KB277" s="30"/>
      <c r="KC277" s="30"/>
      <c r="KD277" s="30"/>
      <c r="KE277" s="30"/>
      <c r="KF277" s="30"/>
      <c r="KG277" s="30"/>
      <c r="KH277" s="30"/>
      <c r="KI277" s="30"/>
      <c r="KJ277" s="30"/>
      <c r="KK277" s="30"/>
      <c r="KL277" s="30"/>
      <c r="KM277" s="30"/>
      <c r="KN277" s="30"/>
      <c r="KO277" s="30"/>
      <c r="KP277" s="30"/>
      <c r="KQ277" s="30"/>
      <c r="KR277" s="30"/>
      <c r="KS277" s="30"/>
      <c r="KT277" s="30"/>
      <c r="KU277" s="30"/>
      <c r="KV277" s="30"/>
      <c r="KW277" s="30"/>
      <c r="KX277" s="30"/>
      <c r="KY277" s="30"/>
      <c r="KZ277" s="30"/>
      <c r="LA277" s="30"/>
      <c r="LB277" s="30"/>
      <c r="LC277" s="30"/>
      <c r="LD277" s="30"/>
      <c r="LE277" s="30"/>
      <c r="LF277" s="30"/>
      <c r="LG277" s="30"/>
      <c r="LH277" s="30"/>
      <c r="LI277" s="30"/>
      <c r="LJ277" s="30"/>
      <c r="LK277" s="30"/>
      <c r="LL277" s="30"/>
      <c r="LM277" s="30"/>
      <c r="LN277" s="30"/>
      <c r="LO277" s="30"/>
      <c r="LP277" s="30"/>
      <c r="LQ277" s="30"/>
      <c r="LR277" s="30"/>
      <c r="LS277" s="30"/>
      <c r="LT277" s="30"/>
      <c r="LU277" s="30"/>
      <c r="LV277" s="30"/>
      <c r="LW277" s="30"/>
      <c r="LX277" s="30"/>
      <c r="LY277" s="30"/>
      <c r="LZ277" s="30"/>
      <c r="MA277" s="30"/>
      <c r="MB277" s="30"/>
      <c r="MC277" s="30"/>
      <c r="MD277" s="30"/>
      <c r="ME277" s="30"/>
      <c r="MF277" s="30"/>
      <c r="MG277" s="30"/>
      <c r="MH277" s="30"/>
      <c r="MI277" s="30"/>
      <c r="MJ277" s="30"/>
      <c r="MK277" s="30"/>
      <c r="ML277" s="30"/>
      <c r="MM277" s="30"/>
      <c r="MN277" s="30"/>
      <c r="MO277" s="30"/>
      <c r="MP277" s="30"/>
      <c r="MQ277" s="30"/>
      <c r="MR277" s="30"/>
      <c r="MS277" s="30"/>
      <c r="MT277" s="30"/>
      <c r="MU277" s="30"/>
      <c r="MV277" s="30"/>
      <c r="MW277" s="30"/>
      <c r="MX277" s="30"/>
      <c r="MY277" s="30"/>
      <c r="MZ277" s="30"/>
      <c r="NA277" s="30"/>
      <c r="NB277" s="30"/>
      <c r="NC277" s="30"/>
      <c r="ND277" s="30"/>
      <c r="NE277" s="30"/>
      <c r="NF277" s="30"/>
      <c r="NG277" s="30"/>
      <c r="NH277" s="30"/>
      <c r="NI277" s="30"/>
      <c r="NJ277" s="30"/>
      <c r="NK277" s="30"/>
      <c r="NL277" s="30"/>
      <c r="NM277" s="30"/>
      <c r="NN277" s="30"/>
      <c r="NO277" s="30"/>
      <c r="NP277" s="30"/>
      <c r="NQ277" s="30"/>
      <c r="NR277" s="30"/>
    </row>
    <row r="278" spans="1:382" s="3" customFormat="1" ht="20.100000000000001" customHeight="1" x14ac:dyDescent="0.4">
      <c r="A278" s="29">
        <v>8</v>
      </c>
      <c r="B278" s="5">
        <v>1747</v>
      </c>
      <c r="C278" s="5" t="s">
        <v>393</v>
      </c>
      <c r="D278" s="5" t="s">
        <v>48</v>
      </c>
      <c r="E278" s="5" t="s">
        <v>12</v>
      </c>
      <c r="F278" s="5" t="s">
        <v>32</v>
      </c>
      <c r="G278" s="5" t="s">
        <v>32</v>
      </c>
      <c r="H278" s="5" t="s">
        <v>32</v>
      </c>
      <c r="I278" s="8"/>
      <c r="J278" s="8"/>
      <c r="K278" s="8" t="str">
        <f>IF(OR(J278="",E278=""),"",J278+IFERROR(VLOOKUP(E278,リードタイム!$A$2:$C$9,3,FALSE),0))</f>
        <v/>
      </c>
      <c r="L278" s="5" t="s">
        <v>530</v>
      </c>
      <c r="M278" s="8"/>
      <c r="N278" s="8" t="str">
        <f>IF(OR(M278="",E278=""),"",M278+IFERROR(VLOOKUP(E278,リードタイム!$A$2:$D$9,4,FALSE),0))</f>
        <v/>
      </c>
      <c r="O278" s="5" t="s">
        <v>530</v>
      </c>
      <c r="P278" s="5" t="s">
        <v>530</v>
      </c>
      <c r="Q278" s="5" t="s">
        <v>32</v>
      </c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  <c r="FS278" s="30"/>
      <c r="FT278" s="30"/>
      <c r="FU278" s="30"/>
      <c r="FV278" s="30"/>
      <c r="FW278" s="30"/>
      <c r="FX278" s="30"/>
      <c r="FY278" s="30"/>
      <c r="FZ278" s="30"/>
      <c r="GA278" s="30"/>
      <c r="GB278" s="30"/>
      <c r="GC278" s="30"/>
      <c r="GD278" s="30"/>
      <c r="GE278" s="30"/>
      <c r="GF278" s="30"/>
      <c r="GG278" s="30"/>
      <c r="GH278" s="30"/>
      <c r="GI278" s="30"/>
      <c r="GJ278" s="30"/>
      <c r="GK278" s="30"/>
      <c r="GL278" s="30"/>
      <c r="GM278" s="30"/>
      <c r="GN278" s="30"/>
      <c r="GO278" s="30"/>
      <c r="GP278" s="30"/>
      <c r="GQ278" s="30"/>
      <c r="GR278" s="30"/>
      <c r="GS278" s="30"/>
      <c r="GT278" s="30"/>
      <c r="GU278" s="30"/>
      <c r="GV278" s="30"/>
      <c r="GW278" s="30"/>
      <c r="GX278" s="30"/>
      <c r="GY278" s="30"/>
      <c r="GZ278" s="30"/>
      <c r="HA278" s="30"/>
      <c r="HB278" s="30"/>
      <c r="HC278" s="30"/>
      <c r="HD278" s="30"/>
      <c r="HE278" s="30"/>
      <c r="HF278" s="30"/>
      <c r="HG278" s="30"/>
      <c r="HH278" s="30"/>
      <c r="HI278" s="30"/>
      <c r="HJ278" s="30"/>
      <c r="HK278" s="30"/>
      <c r="HL278" s="30"/>
      <c r="HM278" s="30"/>
      <c r="HN278" s="30"/>
      <c r="HO278" s="30"/>
      <c r="HP278" s="30"/>
      <c r="HQ278" s="30"/>
      <c r="HR278" s="30"/>
      <c r="HS278" s="30"/>
      <c r="HT278" s="30"/>
      <c r="HU278" s="30"/>
      <c r="HV278" s="30"/>
      <c r="HW278" s="30"/>
      <c r="HX278" s="30"/>
      <c r="HY278" s="30"/>
      <c r="HZ278" s="30"/>
      <c r="IA278" s="30"/>
      <c r="IB278" s="30"/>
      <c r="IC278" s="30"/>
      <c r="ID278" s="30"/>
      <c r="IE278" s="30"/>
      <c r="IF278" s="30"/>
      <c r="IG278" s="30"/>
      <c r="IH278" s="30"/>
      <c r="II278" s="30"/>
      <c r="IJ278" s="30"/>
      <c r="IK278" s="30"/>
      <c r="IL278" s="30"/>
      <c r="IM278" s="30"/>
      <c r="IN278" s="30"/>
      <c r="IO278" s="30"/>
      <c r="IP278" s="30"/>
      <c r="IQ278" s="30"/>
      <c r="IR278" s="30"/>
      <c r="IS278" s="30"/>
      <c r="IT278" s="30"/>
      <c r="IU278" s="30"/>
      <c r="IV278" s="30"/>
      <c r="IW278" s="30"/>
      <c r="IX278" s="30"/>
      <c r="IY278" s="30"/>
      <c r="IZ278" s="30"/>
      <c r="JA278" s="30"/>
      <c r="JB278" s="30"/>
      <c r="JC278" s="30"/>
      <c r="JD278" s="30"/>
      <c r="JE278" s="30"/>
      <c r="JF278" s="30"/>
      <c r="JG278" s="30"/>
      <c r="JH278" s="30"/>
      <c r="JI278" s="30"/>
      <c r="JJ278" s="30"/>
      <c r="JK278" s="30"/>
      <c r="JL278" s="30"/>
      <c r="JM278" s="30"/>
      <c r="JN278" s="30"/>
      <c r="JO278" s="30"/>
      <c r="JP278" s="30"/>
      <c r="JQ278" s="30"/>
      <c r="JR278" s="30"/>
      <c r="JS278" s="30"/>
      <c r="JT278" s="30"/>
      <c r="JU278" s="30"/>
      <c r="JV278" s="30"/>
      <c r="JW278" s="30"/>
      <c r="JX278" s="30"/>
      <c r="JY278" s="30"/>
      <c r="JZ278" s="30"/>
      <c r="KA278" s="30"/>
      <c r="KB278" s="30"/>
      <c r="KC278" s="30"/>
      <c r="KD278" s="30"/>
      <c r="KE278" s="30"/>
      <c r="KF278" s="30"/>
      <c r="KG278" s="30"/>
      <c r="KH278" s="30"/>
      <c r="KI278" s="30"/>
      <c r="KJ278" s="30"/>
      <c r="KK278" s="30"/>
      <c r="KL278" s="30"/>
      <c r="KM278" s="30"/>
      <c r="KN278" s="30"/>
      <c r="KO278" s="30"/>
      <c r="KP278" s="30"/>
      <c r="KQ278" s="30"/>
      <c r="KR278" s="30"/>
      <c r="KS278" s="30"/>
      <c r="KT278" s="30"/>
      <c r="KU278" s="30"/>
      <c r="KV278" s="30"/>
      <c r="KW278" s="30"/>
      <c r="KX278" s="30"/>
      <c r="KY278" s="30"/>
      <c r="KZ278" s="30"/>
      <c r="LA278" s="30"/>
      <c r="LB278" s="30"/>
      <c r="LC278" s="30"/>
      <c r="LD278" s="30"/>
      <c r="LE278" s="30"/>
      <c r="LF278" s="30"/>
      <c r="LG278" s="30"/>
      <c r="LH278" s="30"/>
      <c r="LI278" s="30"/>
      <c r="LJ278" s="30"/>
      <c r="LK278" s="30"/>
      <c r="LL278" s="30"/>
      <c r="LM278" s="30"/>
      <c r="LN278" s="30"/>
      <c r="LO278" s="30"/>
      <c r="LP278" s="30"/>
      <c r="LQ278" s="30"/>
      <c r="LR278" s="30"/>
      <c r="LS278" s="30"/>
      <c r="LT278" s="30"/>
      <c r="LU278" s="30"/>
      <c r="LV278" s="30"/>
      <c r="LW278" s="30"/>
      <c r="LX278" s="30"/>
      <c r="LY278" s="30"/>
      <c r="LZ278" s="30"/>
      <c r="MA278" s="30"/>
      <c r="MB278" s="30"/>
      <c r="MC278" s="30"/>
      <c r="MD278" s="30"/>
      <c r="ME278" s="30"/>
      <c r="MF278" s="30"/>
      <c r="MG278" s="30"/>
      <c r="MH278" s="30"/>
      <c r="MI278" s="30"/>
      <c r="MJ278" s="30"/>
      <c r="MK278" s="30"/>
      <c r="ML278" s="30"/>
      <c r="MM278" s="30"/>
      <c r="MN278" s="30"/>
      <c r="MO278" s="30"/>
      <c r="MP278" s="30"/>
      <c r="MQ278" s="30"/>
      <c r="MR278" s="30"/>
      <c r="MS278" s="30"/>
      <c r="MT278" s="30"/>
      <c r="MU278" s="30"/>
      <c r="MV278" s="30"/>
      <c r="MW278" s="30"/>
      <c r="MX278" s="30"/>
      <c r="MY278" s="30"/>
      <c r="MZ278" s="30"/>
      <c r="NA278" s="30"/>
      <c r="NB278" s="30"/>
      <c r="NC278" s="30"/>
      <c r="ND278" s="30"/>
      <c r="NE278" s="30"/>
      <c r="NF278" s="30"/>
      <c r="NG278" s="30"/>
      <c r="NH278" s="30"/>
      <c r="NI278" s="30"/>
      <c r="NJ278" s="30"/>
      <c r="NK278" s="30"/>
      <c r="NL278" s="30"/>
      <c r="NM278" s="30"/>
      <c r="NN278" s="30"/>
      <c r="NO278" s="30"/>
      <c r="NP278" s="30"/>
      <c r="NQ278" s="30"/>
      <c r="NR278" s="30"/>
    </row>
    <row r="279" spans="1:382" s="3" customFormat="1" ht="20.100000000000001" customHeight="1" x14ac:dyDescent="0.4">
      <c r="A279" s="29">
        <v>9</v>
      </c>
      <c r="B279" s="5">
        <v>1868</v>
      </c>
      <c r="C279" s="5" t="s">
        <v>393</v>
      </c>
      <c r="D279" s="5" t="s">
        <v>130</v>
      </c>
      <c r="E279" s="5" t="s">
        <v>4</v>
      </c>
      <c r="F279" s="5" t="s">
        <v>32</v>
      </c>
      <c r="G279" s="5" t="s">
        <v>32</v>
      </c>
      <c r="H279" s="5" t="s">
        <v>32</v>
      </c>
      <c r="I279" s="8">
        <v>46000.625</v>
      </c>
      <c r="J279" s="8"/>
      <c r="K279" s="8" t="str">
        <f>IF(OR(J279="",E279=""),"",J279+IFERROR(VLOOKUP(E279,リードタイム!$A$2:$C$9,3,FALSE),0))</f>
        <v/>
      </c>
      <c r="L279" s="5" t="s">
        <v>531</v>
      </c>
      <c r="M279" s="8"/>
      <c r="N279" s="8" t="str">
        <f>IF(OR(M279="",E279=""),"",M279+IFERROR(VLOOKUP(E279,リードタイム!$A$2:$D$9,4,FALSE),0))</f>
        <v/>
      </c>
      <c r="O279" s="5" t="s">
        <v>531</v>
      </c>
      <c r="P279" s="5" t="s">
        <v>533</v>
      </c>
      <c r="Q279" s="5" t="s">
        <v>400</v>
      </c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  <c r="FS279" s="30"/>
      <c r="FT279" s="30"/>
      <c r="FU279" s="30"/>
      <c r="FV279" s="30"/>
      <c r="FW279" s="30"/>
      <c r="FX279" s="30"/>
      <c r="FY279" s="30"/>
      <c r="FZ279" s="30"/>
      <c r="GA279" s="30"/>
      <c r="GB279" s="30"/>
      <c r="GC279" s="30"/>
      <c r="GD279" s="30"/>
      <c r="GE279" s="30"/>
      <c r="GF279" s="30"/>
      <c r="GG279" s="30"/>
      <c r="GH279" s="30"/>
      <c r="GI279" s="30"/>
      <c r="GJ279" s="30"/>
      <c r="GK279" s="30"/>
      <c r="GL279" s="30"/>
      <c r="GM279" s="30"/>
      <c r="GN279" s="30"/>
      <c r="GO279" s="30"/>
      <c r="GP279" s="30"/>
      <c r="GQ279" s="30"/>
      <c r="GR279" s="30"/>
      <c r="GS279" s="30"/>
      <c r="GT279" s="30"/>
      <c r="GU279" s="30"/>
      <c r="GV279" s="30"/>
      <c r="GW279" s="30"/>
      <c r="GX279" s="30"/>
      <c r="GY279" s="30"/>
      <c r="GZ279" s="30"/>
      <c r="HA279" s="30"/>
      <c r="HB279" s="30"/>
      <c r="HC279" s="30"/>
      <c r="HD279" s="30"/>
      <c r="HE279" s="30"/>
      <c r="HF279" s="30"/>
      <c r="HG279" s="30"/>
      <c r="HH279" s="30"/>
      <c r="HI279" s="30"/>
      <c r="HJ279" s="30"/>
      <c r="HK279" s="30"/>
      <c r="HL279" s="30"/>
      <c r="HM279" s="30"/>
      <c r="HN279" s="30"/>
      <c r="HO279" s="30"/>
      <c r="HP279" s="30"/>
      <c r="HQ279" s="30"/>
      <c r="HR279" s="30"/>
      <c r="HS279" s="30"/>
      <c r="HT279" s="30"/>
      <c r="HU279" s="30"/>
      <c r="HV279" s="30"/>
      <c r="HW279" s="30"/>
      <c r="HX279" s="30"/>
      <c r="HY279" s="30"/>
      <c r="HZ279" s="30"/>
      <c r="IA279" s="30"/>
      <c r="IB279" s="30"/>
      <c r="IC279" s="30"/>
      <c r="ID279" s="30"/>
      <c r="IE279" s="30"/>
      <c r="IF279" s="30"/>
      <c r="IG279" s="30"/>
      <c r="IH279" s="30"/>
      <c r="II279" s="30"/>
      <c r="IJ279" s="30"/>
      <c r="IK279" s="30"/>
      <c r="IL279" s="30"/>
      <c r="IM279" s="30"/>
      <c r="IN279" s="30"/>
      <c r="IO279" s="30"/>
      <c r="IP279" s="30"/>
      <c r="IQ279" s="30"/>
      <c r="IR279" s="30"/>
      <c r="IS279" s="30"/>
      <c r="IT279" s="30"/>
      <c r="IU279" s="30"/>
      <c r="IV279" s="30"/>
      <c r="IW279" s="30"/>
      <c r="IX279" s="30"/>
      <c r="IY279" s="30"/>
      <c r="IZ279" s="30"/>
      <c r="JA279" s="30"/>
      <c r="JB279" s="30"/>
      <c r="JC279" s="30"/>
      <c r="JD279" s="30"/>
      <c r="JE279" s="30"/>
      <c r="JF279" s="30"/>
      <c r="JG279" s="30"/>
      <c r="JH279" s="30"/>
      <c r="JI279" s="30"/>
      <c r="JJ279" s="30"/>
      <c r="JK279" s="30"/>
      <c r="JL279" s="30"/>
      <c r="JM279" s="30"/>
      <c r="JN279" s="30"/>
      <c r="JO279" s="30"/>
      <c r="JP279" s="30"/>
      <c r="JQ279" s="30"/>
      <c r="JR279" s="30"/>
      <c r="JS279" s="30"/>
      <c r="JT279" s="30"/>
      <c r="JU279" s="30"/>
      <c r="JV279" s="30"/>
      <c r="JW279" s="30"/>
      <c r="JX279" s="30"/>
      <c r="JY279" s="30"/>
      <c r="JZ279" s="30"/>
      <c r="KA279" s="30"/>
      <c r="KB279" s="30"/>
      <c r="KC279" s="30"/>
      <c r="KD279" s="30"/>
      <c r="KE279" s="30"/>
      <c r="KF279" s="30"/>
      <c r="KG279" s="30"/>
      <c r="KH279" s="30"/>
      <c r="KI279" s="30"/>
      <c r="KJ279" s="30"/>
      <c r="KK279" s="30"/>
      <c r="KL279" s="30"/>
      <c r="KM279" s="30"/>
      <c r="KN279" s="30"/>
      <c r="KO279" s="30"/>
      <c r="KP279" s="30"/>
      <c r="KQ279" s="30"/>
      <c r="KR279" s="30"/>
      <c r="KS279" s="30"/>
      <c r="KT279" s="30"/>
      <c r="KU279" s="30"/>
      <c r="KV279" s="30"/>
      <c r="KW279" s="30"/>
      <c r="KX279" s="30"/>
      <c r="KY279" s="30"/>
      <c r="KZ279" s="30"/>
      <c r="LA279" s="30"/>
      <c r="LB279" s="30"/>
      <c r="LC279" s="30"/>
      <c r="LD279" s="30"/>
      <c r="LE279" s="30"/>
      <c r="LF279" s="30"/>
      <c r="LG279" s="30"/>
      <c r="LH279" s="30"/>
      <c r="LI279" s="30"/>
      <c r="LJ279" s="30"/>
      <c r="LK279" s="30"/>
      <c r="LL279" s="30"/>
      <c r="LM279" s="30"/>
      <c r="LN279" s="30"/>
      <c r="LO279" s="30"/>
      <c r="LP279" s="30"/>
      <c r="LQ279" s="30"/>
      <c r="LR279" s="30"/>
      <c r="LS279" s="30"/>
      <c r="LT279" s="30"/>
      <c r="LU279" s="30"/>
      <c r="LV279" s="30"/>
      <c r="LW279" s="30"/>
      <c r="LX279" s="30"/>
      <c r="LY279" s="30"/>
      <c r="LZ279" s="30"/>
      <c r="MA279" s="30"/>
      <c r="MB279" s="30"/>
      <c r="MC279" s="30"/>
      <c r="MD279" s="30"/>
      <c r="ME279" s="30"/>
      <c r="MF279" s="30"/>
      <c r="MG279" s="30"/>
      <c r="MH279" s="30"/>
      <c r="MI279" s="30"/>
      <c r="MJ279" s="30"/>
      <c r="MK279" s="30"/>
      <c r="ML279" s="30"/>
      <c r="MM279" s="30"/>
      <c r="MN279" s="30"/>
      <c r="MO279" s="30"/>
      <c r="MP279" s="30"/>
      <c r="MQ279" s="30"/>
      <c r="MR279" s="30"/>
      <c r="MS279" s="30"/>
      <c r="MT279" s="30"/>
      <c r="MU279" s="30"/>
      <c r="MV279" s="30"/>
      <c r="MW279" s="30"/>
      <c r="MX279" s="30"/>
      <c r="MY279" s="30"/>
      <c r="MZ279" s="30"/>
      <c r="NA279" s="30"/>
      <c r="NB279" s="30"/>
      <c r="NC279" s="30"/>
      <c r="ND279" s="30"/>
      <c r="NE279" s="30"/>
      <c r="NF279" s="30"/>
      <c r="NG279" s="30"/>
      <c r="NH279" s="30"/>
      <c r="NI279" s="30"/>
      <c r="NJ279" s="30"/>
      <c r="NK279" s="30"/>
      <c r="NL279" s="30"/>
      <c r="NM279" s="30"/>
      <c r="NN279" s="30"/>
      <c r="NO279" s="30"/>
      <c r="NP279" s="30"/>
      <c r="NQ279" s="30"/>
      <c r="NR279" s="30"/>
    </row>
    <row r="280" spans="1:382" s="3" customFormat="1" ht="20.100000000000001" customHeight="1" x14ac:dyDescent="0.4">
      <c r="A280" s="29">
        <v>10</v>
      </c>
      <c r="B280" s="5">
        <v>1746</v>
      </c>
      <c r="C280" s="5" t="s">
        <v>393</v>
      </c>
      <c r="D280" s="5" t="s">
        <v>193</v>
      </c>
      <c r="E280" s="5" t="s">
        <v>6</v>
      </c>
      <c r="F280" s="5" t="s">
        <v>32</v>
      </c>
      <c r="G280" s="5" t="s">
        <v>32</v>
      </c>
      <c r="H280" s="5" t="s">
        <v>32</v>
      </c>
      <c r="I280" s="8"/>
      <c r="J280" s="8"/>
      <c r="K280" s="8" t="str">
        <f>IF(OR(J280="",E280=""),"",J280+IFERROR(VLOOKUP(E280,リードタイム!$A$2:$C$9,3,FALSE),0))</f>
        <v/>
      </c>
      <c r="L280" s="5" t="s">
        <v>531</v>
      </c>
      <c r="M280" s="8"/>
      <c r="N280" s="8" t="str">
        <f>IF(OR(M280="",E280=""),"",M280+IFERROR(VLOOKUP(E280,リードタイム!$A$2:$D$9,4,FALSE),0))</f>
        <v/>
      </c>
      <c r="O280" s="5" t="s">
        <v>531</v>
      </c>
      <c r="P280" s="5" t="s">
        <v>533</v>
      </c>
      <c r="Q280" s="5" t="s">
        <v>32</v>
      </c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  <c r="FS280" s="30"/>
      <c r="FT280" s="30"/>
      <c r="FU280" s="30"/>
      <c r="FV280" s="30"/>
      <c r="FW280" s="30"/>
      <c r="FX280" s="30"/>
      <c r="FY280" s="30"/>
      <c r="FZ280" s="30"/>
      <c r="GA280" s="30"/>
      <c r="GB280" s="30"/>
      <c r="GC280" s="30"/>
      <c r="GD280" s="30"/>
      <c r="GE280" s="30"/>
      <c r="GF280" s="30"/>
      <c r="GG280" s="30"/>
      <c r="GH280" s="30"/>
      <c r="GI280" s="30"/>
      <c r="GJ280" s="30"/>
      <c r="GK280" s="30"/>
      <c r="GL280" s="30"/>
      <c r="GM280" s="30"/>
      <c r="GN280" s="30"/>
      <c r="GO280" s="30"/>
      <c r="GP280" s="30"/>
      <c r="GQ280" s="30"/>
      <c r="GR280" s="30"/>
      <c r="GS280" s="30"/>
      <c r="GT280" s="30"/>
      <c r="GU280" s="30"/>
      <c r="GV280" s="30"/>
      <c r="GW280" s="30"/>
      <c r="GX280" s="30"/>
      <c r="GY280" s="30"/>
      <c r="GZ280" s="30"/>
      <c r="HA280" s="30"/>
      <c r="HB280" s="30"/>
      <c r="HC280" s="30"/>
      <c r="HD280" s="30"/>
      <c r="HE280" s="30"/>
      <c r="HF280" s="30"/>
      <c r="HG280" s="30"/>
      <c r="HH280" s="30"/>
      <c r="HI280" s="30"/>
      <c r="HJ280" s="30"/>
      <c r="HK280" s="30"/>
      <c r="HL280" s="30"/>
      <c r="HM280" s="30"/>
      <c r="HN280" s="30"/>
      <c r="HO280" s="30"/>
      <c r="HP280" s="30"/>
      <c r="HQ280" s="30"/>
      <c r="HR280" s="30"/>
      <c r="HS280" s="30"/>
      <c r="HT280" s="30"/>
      <c r="HU280" s="30"/>
      <c r="HV280" s="30"/>
      <c r="HW280" s="30"/>
      <c r="HX280" s="30"/>
      <c r="HY280" s="30"/>
      <c r="HZ280" s="30"/>
      <c r="IA280" s="30"/>
      <c r="IB280" s="30"/>
      <c r="IC280" s="30"/>
      <c r="ID280" s="30"/>
      <c r="IE280" s="30"/>
      <c r="IF280" s="30"/>
      <c r="IG280" s="30"/>
      <c r="IH280" s="30"/>
      <c r="II280" s="30"/>
      <c r="IJ280" s="30"/>
      <c r="IK280" s="30"/>
      <c r="IL280" s="30"/>
      <c r="IM280" s="30"/>
      <c r="IN280" s="30"/>
      <c r="IO280" s="30"/>
      <c r="IP280" s="30"/>
      <c r="IQ280" s="30"/>
      <c r="IR280" s="30"/>
      <c r="IS280" s="30"/>
      <c r="IT280" s="30"/>
      <c r="IU280" s="30"/>
      <c r="IV280" s="30"/>
      <c r="IW280" s="30"/>
      <c r="IX280" s="30"/>
      <c r="IY280" s="30"/>
      <c r="IZ280" s="30"/>
      <c r="JA280" s="30"/>
      <c r="JB280" s="30"/>
      <c r="JC280" s="30"/>
      <c r="JD280" s="30"/>
      <c r="JE280" s="30"/>
      <c r="JF280" s="30"/>
      <c r="JG280" s="30"/>
      <c r="JH280" s="30"/>
      <c r="JI280" s="30"/>
      <c r="JJ280" s="30"/>
      <c r="JK280" s="30"/>
      <c r="JL280" s="30"/>
      <c r="JM280" s="30"/>
      <c r="JN280" s="30"/>
      <c r="JO280" s="30"/>
      <c r="JP280" s="30"/>
      <c r="JQ280" s="30"/>
      <c r="JR280" s="30"/>
      <c r="JS280" s="30"/>
      <c r="JT280" s="30"/>
      <c r="JU280" s="30"/>
      <c r="JV280" s="30"/>
      <c r="JW280" s="30"/>
      <c r="JX280" s="30"/>
      <c r="JY280" s="30"/>
      <c r="JZ280" s="30"/>
      <c r="KA280" s="30"/>
      <c r="KB280" s="30"/>
      <c r="KC280" s="30"/>
      <c r="KD280" s="30"/>
      <c r="KE280" s="30"/>
      <c r="KF280" s="30"/>
      <c r="KG280" s="30"/>
      <c r="KH280" s="30"/>
      <c r="KI280" s="30"/>
      <c r="KJ280" s="30"/>
      <c r="KK280" s="30"/>
      <c r="KL280" s="30"/>
      <c r="KM280" s="30"/>
      <c r="KN280" s="30"/>
      <c r="KO280" s="30"/>
      <c r="KP280" s="30"/>
      <c r="KQ280" s="30"/>
      <c r="KR280" s="30"/>
      <c r="KS280" s="30"/>
      <c r="KT280" s="30"/>
      <c r="KU280" s="30"/>
      <c r="KV280" s="30"/>
      <c r="KW280" s="30"/>
      <c r="KX280" s="30"/>
      <c r="KY280" s="30"/>
      <c r="KZ280" s="30"/>
      <c r="LA280" s="30"/>
      <c r="LB280" s="30"/>
      <c r="LC280" s="30"/>
      <c r="LD280" s="30"/>
      <c r="LE280" s="30"/>
      <c r="LF280" s="30"/>
      <c r="LG280" s="30"/>
      <c r="LH280" s="30"/>
      <c r="LI280" s="30"/>
      <c r="LJ280" s="30"/>
      <c r="LK280" s="30"/>
      <c r="LL280" s="30"/>
      <c r="LM280" s="30"/>
      <c r="LN280" s="30"/>
      <c r="LO280" s="30"/>
      <c r="LP280" s="30"/>
      <c r="LQ280" s="30"/>
      <c r="LR280" s="30"/>
      <c r="LS280" s="30"/>
      <c r="LT280" s="30"/>
      <c r="LU280" s="30"/>
      <c r="LV280" s="30"/>
      <c r="LW280" s="30"/>
      <c r="LX280" s="30"/>
      <c r="LY280" s="30"/>
      <c r="LZ280" s="30"/>
      <c r="MA280" s="30"/>
      <c r="MB280" s="30"/>
      <c r="MC280" s="30"/>
      <c r="MD280" s="30"/>
      <c r="ME280" s="30"/>
      <c r="MF280" s="30"/>
      <c r="MG280" s="30"/>
      <c r="MH280" s="30"/>
      <c r="MI280" s="30"/>
      <c r="MJ280" s="30"/>
      <c r="MK280" s="30"/>
      <c r="ML280" s="30"/>
      <c r="MM280" s="30"/>
      <c r="MN280" s="30"/>
      <c r="MO280" s="30"/>
      <c r="MP280" s="30"/>
      <c r="MQ280" s="30"/>
      <c r="MR280" s="30"/>
      <c r="MS280" s="30"/>
      <c r="MT280" s="30"/>
      <c r="MU280" s="30"/>
      <c r="MV280" s="30"/>
      <c r="MW280" s="30"/>
      <c r="MX280" s="30"/>
      <c r="MY280" s="30"/>
      <c r="MZ280" s="30"/>
      <c r="NA280" s="30"/>
      <c r="NB280" s="30"/>
      <c r="NC280" s="30"/>
      <c r="ND280" s="30"/>
      <c r="NE280" s="30"/>
      <c r="NF280" s="30"/>
      <c r="NG280" s="30"/>
      <c r="NH280" s="30"/>
      <c r="NI280" s="30"/>
      <c r="NJ280" s="30"/>
      <c r="NK280" s="30"/>
      <c r="NL280" s="30"/>
      <c r="NM280" s="30"/>
      <c r="NN280" s="30"/>
      <c r="NO280" s="30"/>
      <c r="NP280" s="30"/>
      <c r="NQ280" s="30"/>
      <c r="NR280" s="30"/>
    </row>
    <row r="281" spans="1:382" s="3" customFormat="1" ht="20.100000000000001" customHeight="1" x14ac:dyDescent="0.4">
      <c r="A281" s="29">
        <v>11</v>
      </c>
      <c r="B281" s="5">
        <v>1868</v>
      </c>
      <c r="C281" s="5" t="s">
        <v>393</v>
      </c>
      <c r="D281" s="5" t="s">
        <v>66</v>
      </c>
      <c r="E281" s="5" t="s">
        <v>4</v>
      </c>
      <c r="F281" s="5" t="s">
        <v>32</v>
      </c>
      <c r="G281" s="5" t="s">
        <v>32</v>
      </c>
      <c r="H281" s="5" t="s">
        <v>32</v>
      </c>
      <c r="I281" s="8">
        <v>46040.625</v>
      </c>
      <c r="J281" s="8"/>
      <c r="K281" s="8" t="str">
        <f>IF(OR(J281="",E281=""),"",J281+IFERROR(VLOOKUP(E281,リードタイム!$A$2:$C$9,3,FALSE),0))</f>
        <v/>
      </c>
      <c r="L281" s="5" t="s">
        <v>531</v>
      </c>
      <c r="M281" s="8"/>
      <c r="N281" s="8" t="str">
        <f>IF(OR(M281="",E281=""),"",M281+IFERROR(VLOOKUP(E281,リードタイム!$A$2:$D$9,4,FALSE),0))</f>
        <v/>
      </c>
      <c r="O281" s="5" t="s">
        <v>531</v>
      </c>
      <c r="P281" s="5" t="s">
        <v>532</v>
      </c>
      <c r="Q281" s="5" t="s">
        <v>401</v>
      </c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  <c r="FS281" s="30"/>
      <c r="FT281" s="30"/>
      <c r="FU281" s="30"/>
      <c r="FV281" s="30"/>
      <c r="FW281" s="30"/>
      <c r="FX281" s="30"/>
      <c r="FY281" s="30"/>
      <c r="FZ281" s="30"/>
      <c r="GA281" s="30"/>
      <c r="GB281" s="30"/>
      <c r="GC281" s="30"/>
      <c r="GD281" s="30"/>
      <c r="GE281" s="30"/>
      <c r="GF281" s="30"/>
      <c r="GG281" s="30"/>
      <c r="GH281" s="30"/>
      <c r="GI281" s="30"/>
      <c r="GJ281" s="30"/>
      <c r="GK281" s="30"/>
      <c r="GL281" s="30"/>
      <c r="GM281" s="30"/>
      <c r="GN281" s="30"/>
      <c r="GO281" s="30"/>
      <c r="GP281" s="30"/>
      <c r="GQ281" s="30"/>
      <c r="GR281" s="30"/>
      <c r="GS281" s="30"/>
      <c r="GT281" s="30"/>
      <c r="GU281" s="30"/>
      <c r="GV281" s="30"/>
      <c r="GW281" s="30"/>
      <c r="GX281" s="30"/>
      <c r="GY281" s="30"/>
      <c r="GZ281" s="30"/>
      <c r="HA281" s="30"/>
      <c r="HB281" s="30"/>
      <c r="HC281" s="30"/>
      <c r="HD281" s="30"/>
      <c r="HE281" s="30"/>
      <c r="HF281" s="30"/>
      <c r="HG281" s="30"/>
      <c r="HH281" s="30"/>
      <c r="HI281" s="30"/>
      <c r="HJ281" s="30"/>
      <c r="HK281" s="30"/>
      <c r="HL281" s="30"/>
      <c r="HM281" s="30"/>
      <c r="HN281" s="30"/>
      <c r="HO281" s="30"/>
      <c r="HP281" s="30"/>
      <c r="HQ281" s="30"/>
      <c r="HR281" s="30"/>
      <c r="HS281" s="30"/>
      <c r="HT281" s="30"/>
      <c r="HU281" s="30"/>
      <c r="HV281" s="30"/>
      <c r="HW281" s="30"/>
      <c r="HX281" s="30"/>
      <c r="HY281" s="30"/>
      <c r="HZ281" s="30"/>
      <c r="IA281" s="30"/>
      <c r="IB281" s="30"/>
      <c r="IC281" s="30"/>
      <c r="ID281" s="30"/>
      <c r="IE281" s="30"/>
      <c r="IF281" s="30"/>
      <c r="IG281" s="30"/>
      <c r="IH281" s="30"/>
      <c r="II281" s="30"/>
      <c r="IJ281" s="30"/>
      <c r="IK281" s="30"/>
      <c r="IL281" s="30"/>
      <c r="IM281" s="30"/>
      <c r="IN281" s="30"/>
      <c r="IO281" s="30"/>
      <c r="IP281" s="30"/>
      <c r="IQ281" s="30"/>
      <c r="IR281" s="30"/>
      <c r="IS281" s="30"/>
      <c r="IT281" s="30"/>
      <c r="IU281" s="30"/>
      <c r="IV281" s="30"/>
      <c r="IW281" s="30"/>
      <c r="IX281" s="30"/>
      <c r="IY281" s="30"/>
      <c r="IZ281" s="30"/>
      <c r="JA281" s="30"/>
      <c r="JB281" s="30"/>
      <c r="JC281" s="30"/>
      <c r="JD281" s="30"/>
      <c r="JE281" s="30"/>
      <c r="JF281" s="30"/>
      <c r="JG281" s="30"/>
      <c r="JH281" s="30"/>
      <c r="JI281" s="30"/>
      <c r="JJ281" s="30"/>
      <c r="JK281" s="30"/>
      <c r="JL281" s="30"/>
      <c r="JM281" s="30"/>
      <c r="JN281" s="30"/>
      <c r="JO281" s="30"/>
      <c r="JP281" s="30"/>
      <c r="JQ281" s="30"/>
      <c r="JR281" s="30"/>
      <c r="JS281" s="30"/>
      <c r="JT281" s="30"/>
      <c r="JU281" s="30"/>
      <c r="JV281" s="30"/>
      <c r="JW281" s="30"/>
      <c r="JX281" s="30"/>
      <c r="JY281" s="30"/>
      <c r="JZ281" s="30"/>
      <c r="KA281" s="30"/>
      <c r="KB281" s="30"/>
      <c r="KC281" s="30"/>
      <c r="KD281" s="30"/>
      <c r="KE281" s="30"/>
      <c r="KF281" s="30"/>
      <c r="KG281" s="30"/>
      <c r="KH281" s="30"/>
      <c r="KI281" s="30"/>
      <c r="KJ281" s="30"/>
      <c r="KK281" s="30"/>
      <c r="KL281" s="30"/>
      <c r="KM281" s="30"/>
      <c r="KN281" s="30"/>
      <c r="KO281" s="30"/>
      <c r="KP281" s="30"/>
      <c r="KQ281" s="30"/>
      <c r="KR281" s="30"/>
      <c r="KS281" s="30"/>
      <c r="KT281" s="30"/>
      <c r="KU281" s="30"/>
      <c r="KV281" s="30"/>
      <c r="KW281" s="30"/>
      <c r="KX281" s="30"/>
      <c r="KY281" s="30"/>
      <c r="KZ281" s="30"/>
      <c r="LA281" s="30"/>
      <c r="LB281" s="30"/>
      <c r="LC281" s="30"/>
      <c r="LD281" s="30"/>
      <c r="LE281" s="30"/>
      <c r="LF281" s="30"/>
      <c r="LG281" s="30"/>
      <c r="LH281" s="30"/>
      <c r="LI281" s="30"/>
      <c r="LJ281" s="30"/>
      <c r="LK281" s="30"/>
      <c r="LL281" s="30"/>
      <c r="LM281" s="30"/>
      <c r="LN281" s="30"/>
      <c r="LO281" s="30"/>
      <c r="LP281" s="30"/>
      <c r="LQ281" s="30"/>
      <c r="LR281" s="30"/>
      <c r="LS281" s="30"/>
      <c r="LT281" s="30"/>
      <c r="LU281" s="30"/>
      <c r="LV281" s="30"/>
      <c r="LW281" s="30"/>
      <c r="LX281" s="30"/>
      <c r="LY281" s="30"/>
      <c r="LZ281" s="30"/>
      <c r="MA281" s="30"/>
      <c r="MB281" s="30"/>
      <c r="MC281" s="30"/>
      <c r="MD281" s="30"/>
      <c r="ME281" s="30"/>
      <c r="MF281" s="30"/>
      <c r="MG281" s="30"/>
      <c r="MH281" s="30"/>
      <c r="MI281" s="30"/>
      <c r="MJ281" s="30"/>
      <c r="MK281" s="30"/>
      <c r="ML281" s="30"/>
      <c r="MM281" s="30"/>
      <c r="MN281" s="30"/>
      <c r="MO281" s="30"/>
      <c r="MP281" s="30"/>
      <c r="MQ281" s="30"/>
      <c r="MR281" s="30"/>
      <c r="MS281" s="30"/>
      <c r="MT281" s="30"/>
      <c r="MU281" s="30"/>
      <c r="MV281" s="30"/>
      <c r="MW281" s="30"/>
      <c r="MX281" s="30"/>
      <c r="MY281" s="30"/>
      <c r="MZ281" s="30"/>
      <c r="NA281" s="30"/>
      <c r="NB281" s="30"/>
      <c r="NC281" s="30"/>
      <c r="ND281" s="30"/>
      <c r="NE281" s="30"/>
      <c r="NF281" s="30"/>
      <c r="NG281" s="30"/>
      <c r="NH281" s="30"/>
      <c r="NI281" s="30"/>
      <c r="NJ281" s="30"/>
      <c r="NK281" s="30"/>
      <c r="NL281" s="30"/>
      <c r="NM281" s="30"/>
      <c r="NN281" s="30"/>
      <c r="NO281" s="30"/>
      <c r="NP281" s="30"/>
      <c r="NQ281" s="30"/>
      <c r="NR281" s="30"/>
    </row>
    <row r="282" spans="1:382" s="3" customFormat="1" ht="20.100000000000001" customHeight="1" x14ac:dyDescent="0.4">
      <c r="A282" s="29">
        <v>12</v>
      </c>
      <c r="B282" s="5">
        <v>1927</v>
      </c>
      <c r="C282" s="5" t="s">
        <v>393</v>
      </c>
      <c r="D282" s="5" t="s">
        <v>402</v>
      </c>
      <c r="E282" s="5" t="s">
        <v>4</v>
      </c>
      <c r="F282" s="5" t="s">
        <v>32</v>
      </c>
      <c r="G282" s="5" t="s">
        <v>32</v>
      </c>
      <c r="H282" s="5" t="s">
        <v>32</v>
      </c>
      <c r="I282" s="8"/>
      <c r="J282" s="8"/>
      <c r="K282" s="8" t="str">
        <f>IF(OR(J282="",E282=""),"",J282+IFERROR(VLOOKUP(E282,リードタイム!$A$2:$C$9,3,FALSE),0))</f>
        <v/>
      </c>
      <c r="L282" s="5" t="s">
        <v>530</v>
      </c>
      <c r="M282" s="8"/>
      <c r="N282" s="8" t="str">
        <f>IF(OR(M282="",E282=""),"",M282+IFERROR(VLOOKUP(E282,リードタイム!$A$2:$D$9,4,FALSE),0))</f>
        <v/>
      </c>
      <c r="O282" s="5" t="s">
        <v>530</v>
      </c>
      <c r="P282" s="5" t="s">
        <v>530</v>
      </c>
      <c r="Q282" s="5" t="s">
        <v>403</v>
      </c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  <c r="FS282" s="30"/>
      <c r="FT282" s="30"/>
      <c r="FU282" s="30"/>
      <c r="FV282" s="30"/>
      <c r="FW282" s="30"/>
      <c r="FX282" s="30"/>
      <c r="FY282" s="30"/>
      <c r="FZ282" s="30"/>
      <c r="GA282" s="30"/>
      <c r="GB282" s="30"/>
      <c r="GC282" s="30"/>
      <c r="GD282" s="30"/>
      <c r="GE282" s="30"/>
      <c r="GF282" s="30"/>
      <c r="GG282" s="30"/>
      <c r="GH282" s="30"/>
      <c r="GI282" s="30"/>
      <c r="GJ282" s="30"/>
      <c r="GK282" s="30"/>
      <c r="GL282" s="30"/>
      <c r="GM282" s="30"/>
      <c r="GN282" s="30"/>
      <c r="GO282" s="30"/>
      <c r="GP282" s="30"/>
      <c r="GQ282" s="30"/>
      <c r="GR282" s="30"/>
      <c r="GS282" s="30"/>
      <c r="GT282" s="30"/>
      <c r="GU282" s="30"/>
      <c r="GV282" s="30"/>
      <c r="GW282" s="30"/>
      <c r="GX282" s="30"/>
      <c r="GY282" s="30"/>
      <c r="GZ282" s="30"/>
      <c r="HA282" s="30"/>
      <c r="HB282" s="30"/>
      <c r="HC282" s="30"/>
      <c r="HD282" s="30"/>
      <c r="HE282" s="30"/>
      <c r="HF282" s="30"/>
      <c r="HG282" s="30"/>
      <c r="HH282" s="30"/>
      <c r="HI282" s="30"/>
      <c r="HJ282" s="30"/>
      <c r="HK282" s="30"/>
      <c r="HL282" s="30"/>
      <c r="HM282" s="30"/>
      <c r="HN282" s="30"/>
      <c r="HO282" s="30"/>
      <c r="HP282" s="30"/>
      <c r="HQ282" s="30"/>
      <c r="HR282" s="30"/>
      <c r="HS282" s="30"/>
      <c r="HT282" s="30"/>
      <c r="HU282" s="30"/>
      <c r="HV282" s="30"/>
      <c r="HW282" s="30"/>
      <c r="HX282" s="30"/>
      <c r="HY282" s="30"/>
      <c r="HZ282" s="30"/>
      <c r="IA282" s="30"/>
      <c r="IB282" s="30"/>
      <c r="IC282" s="30"/>
      <c r="ID282" s="30"/>
      <c r="IE282" s="30"/>
      <c r="IF282" s="30"/>
      <c r="IG282" s="30"/>
      <c r="IH282" s="30"/>
      <c r="II282" s="30"/>
      <c r="IJ282" s="30"/>
      <c r="IK282" s="30"/>
      <c r="IL282" s="30"/>
      <c r="IM282" s="30"/>
      <c r="IN282" s="30"/>
      <c r="IO282" s="30"/>
      <c r="IP282" s="30"/>
      <c r="IQ282" s="30"/>
      <c r="IR282" s="30"/>
      <c r="IS282" s="30"/>
      <c r="IT282" s="30"/>
      <c r="IU282" s="30"/>
      <c r="IV282" s="30"/>
      <c r="IW282" s="30"/>
      <c r="IX282" s="30"/>
      <c r="IY282" s="30"/>
      <c r="IZ282" s="30"/>
      <c r="JA282" s="30"/>
      <c r="JB282" s="30"/>
      <c r="JC282" s="30"/>
      <c r="JD282" s="30"/>
      <c r="JE282" s="30"/>
      <c r="JF282" s="30"/>
      <c r="JG282" s="30"/>
      <c r="JH282" s="30"/>
      <c r="JI282" s="30"/>
      <c r="JJ282" s="30"/>
      <c r="JK282" s="30"/>
      <c r="JL282" s="30"/>
      <c r="JM282" s="30"/>
      <c r="JN282" s="30"/>
      <c r="JO282" s="30"/>
      <c r="JP282" s="30"/>
      <c r="JQ282" s="30"/>
      <c r="JR282" s="30"/>
      <c r="JS282" s="30"/>
      <c r="JT282" s="30"/>
      <c r="JU282" s="30"/>
      <c r="JV282" s="30"/>
      <c r="JW282" s="30"/>
      <c r="JX282" s="30"/>
      <c r="JY282" s="30"/>
      <c r="JZ282" s="30"/>
      <c r="KA282" s="30"/>
      <c r="KB282" s="30"/>
      <c r="KC282" s="30"/>
      <c r="KD282" s="30"/>
      <c r="KE282" s="30"/>
      <c r="KF282" s="30"/>
      <c r="KG282" s="30"/>
      <c r="KH282" s="30"/>
      <c r="KI282" s="30"/>
      <c r="KJ282" s="30"/>
      <c r="KK282" s="30"/>
      <c r="KL282" s="30"/>
      <c r="KM282" s="30"/>
      <c r="KN282" s="30"/>
      <c r="KO282" s="30"/>
      <c r="KP282" s="30"/>
      <c r="KQ282" s="30"/>
      <c r="KR282" s="30"/>
      <c r="KS282" s="30"/>
      <c r="KT282" s="30"/>
      <c r="KU282" s="30"/>
      <c r="KV282" s="30"/>
      <c r="KW282" s="30"/>
      <c r="KX282" s="30"/>
      <c r="KY282" s="30"/>
      <c r="KZ282" s="30"/>
      <c r="LA282" s="30"/>
      <c r="LB282" s="30"/>
      <c r="LC282" s="30"/>
      <c r="LD282" s="30"/>
      <c r="LE282" s="30"/>
      <c r="LF282" s="30"/>
      <c r="LG282" s="30"/>
      <c r="LH282" s="30"/>
      <c r="LI282" s="30"/>
      <c r="LJ282" s="30"/>
      <c r="LK282" s="30"/>
      <c r="LL282" s="30"/>
      <c r="LM282" s="30"/>
      <c r="LN282" s="30"/>
      <c r="LO282" s="30"/>
      <c r="LP282" s="30"/>
      <c r="LQ282" s="30"/>
      <c r="LR282" s="30"/>
      <c r="LS282" s="30"/>
      <c r="LT282" s="30"/>
      <c r="LU282" s="30"/>
      <c r="LV282" s="30"/>
      <c r="LW282" s="30"/>
      <c r="LX282" s="30"/>
      <c r="LY282" s="30"/>
      <c r="LZ282" s="30"/>
      <c r="MA282" s="30"/>
      <c r="MB282" s="30"/>
      <c r="MC282" s="30"/>
      <c r="MD282" s="30"/>
      <c r="ME282" s="30"/>
      <c r="MF282" s="30"/>
      <c r="MG282" s="30"/>
      <c r="MH282" s="30"/>
      <c r="MI282" s="30"/>
      <c r="MJ282" s="30"/>
      <c r="MK282" s="30"/>
      <c r="ML282" s="30"/>
      <c r="MM282" s="30"/>
      <c r="MN282" s="30"/>
      <c r="MO282" s="30"/>
      <c r="MP282" s="30"/>
      <c r="MQ282" s="30"/>
      <c r="MR282" s="30"/>
      <c r="MS282" s="30"/>
      <c r="MT282" s="30"/>
      <c r="MU282" s="30"/>
      <c r="MV282" s="30"/>
      <c r="MW282" s="30"/>
      <c r="MX282" s="30"/>
      <c r="MY282" s="30"/>
      <c r="MZ282" s="30"/>
      <c r="NA282" s="30"/>
      <c r="NB282" s="30"/>
      <c r="NC282" s="30"/>
      <c r="ND282" s="30"/>
      <c r="NE282" s="30"/>
      <c r="NF282" s="30"/>
      <c r="NG282" s="30"/>
      <c r="NH282" s="30"/>
      <c r="NI282" s="30"/>
      <c r="NJ282" s="30"/>
      <c r="NK282" s="30"/>
      <c r="NL282" s="30"/>
      <c r="NM282" s="30"/>
      <c r="NN282" s="30"/>
      <c r="NO282" s="30"/>
      <c r="NP282" s="30"/>
      <c r="NQ282" s="30"/>
      <c r="NR282" s="30"/>
    </row>
    <row r="283" spans="1:382" s="3" customFormat="1" ht="20.100000000000001" customHeight="1" x14ac:dyDescent="0.4">
      <c r="A283" s="29">
        <v>13</v>
      </c>
      <c r="B283" s="5">
        <v>1927</v>
      </c>
      <c r="C283" s="5" t="s">
        <v>393</v>
      </c>
      <c r="D283" s="5" t="s">
        <v>402</v>
      </c>
      <c r="E283" s="5" t="s">
        <v>4</v>
      </c>
      <c r="F283" s="5" t="s">
        <v>32</v>
      </c>
      <c r="G283" s="5" t="s">
        <v>32</v>
      </c>
      <c r="H283" s="5" t="s">
        <v>32</v>
      </c>
      <c r="I283" s="8"/>
      <c r="J283" s="8"/>
      <c r="K283" s="8" t="str">
        <f>IF(OR(J283="",E283=""),"",J283+IFERROR(VLOOKUP(E283,リードタイム!$A$2:$C$9,3,FALSE),0))</f>
        <v/>
      </c>
      <c r="L283" s="5" t="s">
        <v>530</v>
      </c>
      <c r="M283" s="8"/>
      <c r="N283" s="8" t="str">
        <f>IF(OR(M283="",E283=""),"",M283+IFERROR(VLOOKUP(E283,リードタイム!$A$2:$D$9,4,FALSE),0))</f>
        <v/>
      </c>
      <c r="O283" s="5" t="s">
        <v>530</v>
      </c>
      <c r="P283" s="5" t="s">
        <v>530</v>
      </c>
      <c r="Q283" s="5" t="s">
        <v>403</v>
      </c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  <c r="FS283" s="30"/>
      <c r="FT283" s="30"/>
      <c r="FU283" s="30"/>
      <c r="FV283" s="30"/>
      <c r="FW283" s="30"/>
      <c r="FX283" s="30"/>
      <c r="FY283" s="30"/>
      <c r="FZ283" s="30"/>
      <c r="GA283" s="30"/>
      <c r="GB283" s="30"/>
      <c r="GC283" s="30"/>
      <c r="GD283" s="30"/>
      <c r="GE283" s="30"/>
      <c r="GF283" s="30"/>
      <c r="GG283" s="30"/>
      <c r="GH283" s="30"/>
      <c r="GI283" s="30"/>
      <c r="GJ283" s="30"/>
      <c r="GK283" s="30"/>
      <c r="GL283" s="30"/>
      <c r="GM283" s="30"/>
      <c r="GN283" s="30"/>
      <c r="GO283" s="30"/>
      <c r="GP283" s="30"/>
      <c r="GQ283" s="30"/>
      <c r="GR283" s="30"/>
      <c r="GS283" s="30"/>
      <c r="GT283" s="30"/>
      <c r="GU283" s="30"/>
      <c r="GV283" s="30"/>
      <c r="GW283" s="30"/>
      <c r="GX283" s="30"/>
      <c r="GY283" s="30"/>
      <c r="GZ283" s="30"/>
      <c r="HA283" s="30"/>
      <c r="HB283" s="30"/>
      <c r="HC283" s="30"/>
      <c r="HD283" s="30"/>
      <c r="HE283" s="30"/>
      <c r="HF283" s="30"/>
      <c r="HG283" s="30"/>
      <c r="HH283" s="30"/>
      <c r="HI283" s="30"/>
      <c r="HJ283" s="30"/>
      <c r="HK283" s="30"/>
      <c r="HL283" s="30"/>
      <c r="HM283" s="30"/>
      <c r="HN283" s="30"/>
      <c r="HO283" s="30"/>
      <c r="HP283" s="30"/>
      <c r="HQ283" s="30"/>
      <c r="HR283" s="30"/>
      <c r="HS283" s="30"/>
      <c r="HT283" s="30"/>
      <c r="HU283" s="30"/>
      <c r="HV283" s="30"/>
      <c r="HW283" s="30"/>
      <c r="HX283" s="30"/>
      <c r="HY283" s="30"/>
      <c r="HZ283" s="30"/>
      <c r="IA283" s="30"/>
      <c r="IB283" s="30"/>
      <c r="IC283" s="30"/>
      <c r="ID283" s="30"/>
      <c r="IE283" s="30"/>
      <c r="IF283" s="30"/>
      <c r="IG283" s="30"/>
      <c r="IH283" s="30"/>
      <c r="II283" s="30"/>
      <c r="IJ283" s="30"/>
      <c r="IK283" s="30"/>
      <c r="IL283" s="30"/>
      <c r="IM283" s="30"/>
      <c r="IN283" s="30"/>
      <c r="IO283" s="30"/>
      <c r="IP283" s="30"/>
      <c r="IQ283" s="30"/>
      <c r="IR283" s="30"/>
      <c r="IS283" s="30"/>
      <c r="IT283" s="30"/>
      <c r="IU283" s="30"/>
      <c r="IV283" s="30"/>
      <c r="IW283" s="30"/>
      <c r="IX283" s="30"/>
      <c r="IY283" s="30"/>
      <c r="IZ283" s="30"/>
      <c r="JA283" s="30"/>
      <c r="JB283" s="30"/>
      <c r="JC283" s="30"/>
      <c r="JD283" s="30"/>
      <c r="JE283" s="30"/>
      <c r="JF283" s="30"/>
      <c r="JG283" s="30"/>
      <c r="JH283" s="30"/>
      <c r="JI283" s="30"/>
      <c r="JJ283" s="30"/>
      <c r="JK283" s="30"/>
      <c r="JL283" s="30"/>
      <c r="JM283" s="30"/>
      <c r="JN283" s="30"/>
      <c r="JO283" s="30"/>
      <c r="JP283" s="30"/>
      <c r="JQ283" s="30"/>
      <c r="JR283" s="30"/>
      <c r="JS283" s="30"/>
      <c r="JT283" s="30"/>
      <c r="JU283" s="30"/>
      <c r="JV283" s="30"/>
      <c r="JW283" s="30"/>
      <c r="JX283" s="30"/>
      <c r="JY283" s="30"/>
      <c r="JZ283" s="30"/>
      <c r="KA283" s="30"/>
      <c r="KB283" s="30"/>
      <c r="KC283" s="30"/>
      <c r="KD283" s="30"/>
      <c r="KE283" s="30"/>
      <c r="KF283" s="30"/>
      <c r="KG283" s="30"/>
      <c r="KH283" s="30"/>
      <c r="KI283" s="30"/>
      <c r="KJ283" s="30"/>
      <c r="KK283" s="30"/>
      <c r="KL283" s="30"/>
      <c r="KM283" s="30"/>
      <c r="KN283" s="30"/>
      <c r="KO283" s="30"/>
      <c r="KP283" s="30"/>
      <c r="KQ283" s="30"/>
      <c r="KR283" s="30"/>
      <c r="KS283" s="30"/>
      <c r="KT283" s="30"/>
      <c r="KU283" s="30"/>
      <c r="KV283" s="30"/>
      <c r="KW283" s="30"/>
      <c r="KX283" s="30"/>
      <c r="KY283" s="30"/>
      <c r="KZ283" s="30"/>
      <c r="LA283" s="30"/>
      <c r="LB283" s="30"/>
      <c r="LC283" s="30"/>
      <c r="LD283" s="30"/>
      <c r="LE283" s="30"/>
      <c r="LF283" s="30"/>
      <c r="LG283" s="30"/>
      <c r="LH283" s="30"/>
      <c r="LI283" s="30"/>
      <c r="LJ283" s="30"/>
      <c r="LK283" s="30"/>
      <c r="LL283" s="30"/>
      <c r="LM283" s="30"/>
      <c r="LN283" s="30"/>
      <c r="LO283" s="30"/>
      <c r="LP283" s="30"/>
      <c r="LQ283" s="30"/>
      <c r="LR283" s="30"/>
      <c r="LS283" s="30"/>
      <c r="LT283" s="30"/>
      <c r="LU283" s="30"/>
      <c r="LV283" s="30"/>
      <c r="LW283" s="30"/>
      <c r="LX283" s="30"/>
      <c r="LY283" s="30"/>
      <c r="LZ283" s="30"/>
      <c r="MA283" s="30"/>
      <c r="MB283" s="30"/>
      <c r="MC283" s="30"/>
      <c r="MD283" s="30"/>
      <c r="ME283" s="30"/>
      <c r="MF283" s="30"/>
      <c r="MG283" s="30"/>
      <c r="MH283" s="30"/>
      <c r="MI283" s="30"/>
      <c r="MJ283" s="30"/>
      <c r="MK283" s="30"/>
      <c r="ML283" s="30"/>
      <c r="MM283" s="30"/>
      <c r="MN283" s="30"/>
      <c r="MO283" s="30"/>
      <c r="MP283" s="30"/>
      <c r="MQ283" s="30"/>
      <c r="MR283" s="30"/>
      <c r="MS283" s="30"/>
      <c r="MT283" s="30"/>
      <c r="MU283" s="30"/>
      <c r="MV283" s="30"/>
      <c r="MW283" s="30"/>
      <c r="MX283" s="30"/>
      <c r="MY283" s="30"/>
      <c r="MZ283" s="30"/>
      <c r="NA283" s="30"/>
      <c r="NB283" s="30"/>
      <c r="NC283" s="30"/>
      <c r="ND283" s="30"/>
      <c r="NE283" s="30"/>
      <c r="NF283" s="30"/>
      <c r="NG283" s="30"/>
      <c r="NH283" s="30"/>
      <c r="NI283" s="30"/>
      <c r="NJ283" s="30"/>
      <c r="NK283" s="30"/>
      <c r="NL283" s="30"/>
      <c r="NM283" s="30"/>
      <c r="NN283" s="30"/>
      <c r="NO283" s="30"/>
      <c r="NP283" s="30"/>
      <c r="NQ283" s="30"/>
      <c r="NR283" s="30"/>
    </row>
    <row r="284" spans="1:382" s="3" customFormat="1" ht="20.100000000000001" customHeight="1" x14ac:dyDescent="0.4">
      <c r="A284" s="29">
        <v>14</v>
      </c>
      <c r="B284" s="5">
        <v>1773</v>
      </c>
      <c r="C284" s="5" t="s">
        <v>393</v>
      </c>
      <c r="D284" s="5" t="s">
        <v>404</v>
      </c>
      <c r="E284" s="5" t="s">
        <v>14</v>
      </c>
      <c r="F284" s="5" t="s">
        <v>32</v>
      </c>
      <c r="G284" s="5" t="s">
        <v>32</v>
      </c>
      <c r="H284" s="5" t="s">
        <v>32</v>
      </c>
      <c r="I284" s="8"/>
      <c r="J284" s="8"/>
      <c r="K284" s="8" t="str">
        <f>IF(OR(J284="",E284=""),"",J284+IFERROR(VLOOKUP(E284,リードタイム!$A$2:$C$9,3,FALSE),0))</f>
        <v/>
      </c>
      <c r="L284" s="5" t="s">
        <v>531</v>
      </c>
      <c r="M284" s="8"/>
      <c r="N284" s="8" t="str">
        <f>IF(OR(M284="",E284=""),"",M284+IFERROR(VLOOKUP(E284,リードタイム!$A$2:$D$9,4,FALSE),0))</f>
        <v/>
      </c>
      <c r="O284" s="5" t="s">
        <v>531</v>
      </c>
      <c r="P284" s="5" t="s">
        <v>532</v>
      </c>
      <c r="Q284" s="5">
        <v>45954</v>
      </c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  <c r="FS284" s="30"/>
      <c r="FT284" s="30"/>
      <c r="FU284" s="30"/>
      <c r="FV284" s="30"/>
      <c r="FW284" s="30"/>
      <c r="FX284" s="30"/>
      <c r="FY284" s="30"/>
      <c r="FZ284" s="30"/>
      <c r="GA284" s="30"/>
      <c r="GB284" s="30"/>
      <c r="GC284" s="30"/>
      <c r="GD284" s="30"/>
      <c r="GE284" s="30"/>
      <c r="GF284" s="30"/>
      <c r="GG284" s="30"/>
      <c r="GH284" s="30"/>
      <c r="GI284" s="30"/>
      <c r="GJ284" s="30"/>
      <c r="GK284" s="30"/>
      <c r="GL284" s="30"/>
      <c r="GM284" s="30"/>
      <c r="GN284" s="30"/>
      <c r="GO284" s="30"/>
      <c r="GP284" s="30"/>
      <c r="GQ284" s="30"/>
      <c r="GR284" s="30"/>
      <c r="GS284" s="30"/>
      <c r="GT284" s="30"/>
      <c r="GU284" s="30"/>
      <c r="GV284" s="30"/>
      <c r="GW284" s="30"/>
      <c r="GX284" s="30"/>
      <c r="GY284" s="30"/>
      <c r="GZ284" s="30"/>
      <c r="HA284" s="30"/>
      <c r="HB284" s="30"/>
      <c r="HC284" s="30"/>
      <c r="HD284" s="30"/>
      <c r="HE284" s="30"/>
      <c r="HF284" s="30"/>
      <c r="HG284" s="30"/>
      <c r="HH284" s="30"/>
      <c r="HI284" s="30"/>
      <c r="HJ284" s="30"/>
      <c r="HK284" s="30"/>
      <c r="HL284" s="30"/>
      <c r="HM284" s="30"/>
      <c r="HN284" s="30"/>
      <c r="HO284" s="30"/>
      <c r="HP284" s="30"/>
      <c r="HQ284" s="30"/>
      <c r="HR284" s="30"/>
      <c r="HS284" s="30"/>
      <c r="HT284" s="30"/>
      <c r="HU284" s="30"/>
      <c r="HV284" s="30"/>
      <c r="HW284" s="30"/>
      <c r="HX284" s="30"/>
      <c r="HY284" s="30"/>
      <c r="HZ284" s="30"/>
      <c r="IA284" s="30"/>
      <c r="IB284" s="30"/>
      <c r="IC284" s="30"/>
      <c r="ID284" s="30"/>
      <c r="IE284" s="30"/>
      <c r="IF284" s="30"/>
      <c r="IG284" s="30"/>
      <c r="IH284" s="30"/>
      <c r="II284" s="30"/>
      <c r="IJ284" s="30"/>
      <c r="IK284" s="30"/>
      <c r="IL284" s="30"/>
      <c r="IM284" s="30"/>
      <c r="IN284" s="30"/>
      <c r="IO284" s="30"/>
      <c r="IP284" s="30"/>
      <c r="IQ284" s="30"/>
      <c r="IR284" s="30"/>
      <c r="IS284" s="30"/>
      <c r="IT284" s="30"/>
      <c r="IU284" s="30"/>
      <c r="IV284" s="30"/>
      <c r="IW284" s="30"/>
      <c r="IX284" s="30"/>
      <c r="IY284" s="30"/>
      <c r="IZ284" s="30"/>
      <c r="JA284" s="30"/>
      <c r="JB284" s="30"/>
      <c r="JC284" s="30"/>
      <c r="JD284" s="30"/>
      <c r="JE284" s="30"/>
      <c r="JF284" s="30"/>
      <c r="JG284" s="30"/>
      <c r="JH284" s="30"/>
      <c r="JI284" s="30"/>
      <c r="JJ284" s="30"/>
      <c r="JK284" s="30"/>
      <c r="JL284" s="30"/>
      <c r="JM284" s="30"/>
      <c r="JN284" s="30"/>
      <c r="JO284" s="30"/>
      <c r="JP284" s="30"/>
      <c r="JQ284" s="30"/>
      <c r="JR284" s="30"/>
      <c r="JS284" s="30"/>
      <c r="JT284" s="30"/>
      <c r="JU284" s="30"/>
      <c r="JV284" s="30"/>
      <c r="JW284" s="30"/>
      <c r="JX284" s="30"/>
      <c r="JY284" s="30"/>
      <c r="JZ284" s="30"/>
      <c r="KA284" s="30"/>
      <c r="KB284" s="30"/>
      <c r="KC284" s="30"/>
      <c r="KD284" s="30"/>
      <c r="KE284" s="30"/>
      <c r="KF284" s="30"/>
      <c r="KG284" s="30"/>
      <c r="KH284" s="30"/>
      <c r="KI284" s="30"/>
      <c r="KJ284" s="30"/>
      <c r="KK284" s="30"/>
      <c r="KL284" s="30"/>
      <c r="KM284" s="30"/>
      <c r="KN284" s="30"/>
      <c r="KO284" s="30"/>
      <c r="KP284" s="30"/>
      <c r="KQ284" s="30"/>
      <c r="KR284" s="30"/>
      <c r="KS284" s="30"/>
      <c r="KT284" s="30"/>
      <c r="KU284" s="30"/>
      <c r="KV284" s="30"/>
      <c r="KW284" s="30"/>
      <c r="KX284" s="30"/>
      <c r="KY284" s="30"/>
      <c r="KZ284" s="30"/>
      <c r="LA284" s="30"/>
      <c r="LB284" s="30"/>
      <c r="LC284" s="30"/>
      <c r="LD284" s="30"/>
      <c r="LE284" s="30"/>
      <c r="LF284" s="30"/>
      <c r="LG284" s="30"/>
      <c r="LH284" s="30"/>
      <c r="LI284" s="30"/>
      <c r="LJ284" s="30"/>
      <c r="LK284" s="30"/>
      <c r="LL284" s="30"/>
      <c r="LM284" s="30"/>
      <c r="LN284" s="30"/>
      <c r="LO284" s="30"/>
      <c r="LP284" s="30"/>
      <c r="LQ284" s="30"/>
      <c r="LR284" s="30"/>
      <c r="LS284" s="30"/>
      <c r="LT284" s="30"/>
      <c r="LU284" s="30"/>
      <c r="LV284" s="30"/>
      <c r="LW284" s="30"/>
      <c r="LX284" s="30"/>
      <c r="LY284" s="30"/>
      <c r="LZ284" s="30"/>
      <c r="MA284" s="30"/>
      <c r="MB284" s="30"/>
      <c r="MC284" s="30"/>
      <c r="MD284" s="30"/>
      <c r="ME284" s="30"/>
      <c r="MF284" s="30"/>
      <c r="MG284" s="30"/>
      <c r="MH284" s="30"/>
      <c r="MI284" s="30"/>
      <c r="MJ284" s="30"/>
      <c r="MK284" s="30"/>
      <c r="ML284" s="30"/>
      <c r="MM284" s="30"/>
      <c r="MN284" s="30"/>
      <c r="MO284" s="30"/>
      <c r="MP284" s="30"/>
      <c r="MQ284" s="30"/>
      <c r="MR284" s="30"/>
      <c r="MS284" s="30"/>
      <c r="MT284" s="30"/>
      <c r="MU284" s="30"/>
      <c r="MV284" s="30"/>
      <c r="MW284" s="30"/>
      <c r="MX284" s="30"/>
      <c r="MY284" s="30"/>
      <c r="MZ284" s="30"/>
      <c r="NA284" s="30"/>
      <c r="NB284" s="30"/>
      <c r="NC284" s="30"/>
      <c r="ND284" s="30"/>
      <c r="NE284" s="30"/>
      <c r="NF284" s="30"/>
      <c r="NG284" s="30"/>
      <c r="NH284" s="30"/>
      <c r="NI284" s="30"/>
      <c r="NJ284" s="30"/>
      <c r="NK284" s="30"/>
      <c r="NL284" s="30"/>
      <c r="NM284" s="30"/>
      <c r="NN284" s="30"/>
      <c r="NO284" s="30"/>
      <c r="NP284" s="30"/>
      <c r="NQ284" s="30"/>
      <c r="NR284" s="30"/>
    </row>
    <row r="285" spans="1:382" s="3" customFormat="1" ht="20.100000000000001" customHeight="1" x14ac:dyDescent="0.4">
      <c r="A285" s="29">
        <v>1</v>
      </c>
      <c r="B285" s="5">
        <v>1927</v>
      </c>
      <c r="C285" s="5" t="s">
        <v>405</v>
      </c>
      <c r="D285" s="5" t="s">
        <v>236</v>
      </c>
      <c r="E285" s="5" t="s">
        <v>4</v>
      </c>
      <c r="F285" s="5" t="s">
        <v>32</v>
      </c>
      <c r="G285" s="5" t="s">
        <v>32</v>
      </c>
      <c r="H285" s="5" t="s">
        <v>32</v>
      </c>
      <c r="I285" s="8"/>
      <c r="J285" s="8"/>
      <c r="K285" s="8" t="str">
        <f>IF(OR(J285="",E285=""),"",J285+IFERROR(VLOOKUP(E285,リードタイム!$A$2:$C$9,3,FALSE),0))</f>
        <v/>
      </c>
      <c r="L285" s="5" t="s">
        <v>530</v>
      </c>
      <c r="M285" s="8"/>
      <c r="N285" s="8" t="str">
        <f>IF(OR(M285="",E285=""),"",M285+IFERROR(VLOOKUP(E285,リードタイム!$A$2:$D$9,4,FALSE),0))</f>
        <v/>
      </c>
      <c r="O285" s="5" t="s">
        <v>530</v>
      </c>
      <c r="P285" s="5" t="s">
        <v>530</v>
      </c>
      <c r="Q285" s="5" t="s">
        <v>406</v>
      </c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  <c r="FS285" s="30"/>
      <c r="FT285" s="30"/>
      <c r="FU285" s="30"/>
      <c r="FV285" s="30"/>
      <c r="FW285" s="30"/>
      <c r="FX285" s="30"/>
      <c r="FY285" s="30"/>
      <c r="FZ285" s="30"/>
      <c r="GA285" s="30"/>
      <c r="GB285" s="30"/>
      <c r="GC285" s="30"/>
      <c r="GD285" s="30"/>
      <c r="GE285" s="30"/>
      <c r="GF285" s="30"/>
      <c r="GG285" s="30"/>
      <c r="GH285" s="30"/>
      <c r="GI285" s="30"/>
      <c r="GJ285" s="30"/>
      <c r="GK285" s="30"/>
      <c r="GL285" s="30"/>
      <c r="GM285" s="30"/>
      <c r="GN285" s="30"/>
      <c r="GO285" s="30"/>
      <c r="GP285" s="30"/>
      <c r="GQ285" s="30"/>
      <c r="GR285" s="30"/>
      <c r="GS285" s="30"/>
      <c r="GT285" s="30"/>
      <c r="GU285" s="30"/>
      <c r="GV285" s="30"/>
      <c r="GW285" s="30"/>
      <c r="GX285" s="30"/>
      <c r="GY285" s="30"/>
      <c r="GZ285" s="30"/>
      <c r="HA285" s="30"/>
      <c r="HB285" s="30"/>
      <c r="HC285" s="30"/>
      <c r="HD285" s="30"/>
      <c r="HE285" s="30"/>
      <c r="HF285" s="30"/>
      <c r="HG285" s="30"/>
      <c r="HH285" s="30"/>
      <c r="HI285" s="30"/>
      <c r="HJ285" s="30"/>
      <c r="HK285" s="30"/>
      <c r="HL285" s="30"/>
      <c r="HM285" s="30"/>
      <c r="HN285" s="30"/>
      <c r="HO285" s="30"/>
      <c r="HP285" s="30"/>
      <c r="HQ285" s="30"/>
      <c r="HR285" s="30"/>
      <c r="HS285" s="30"/>
      <c r="HT285" s="30"/>
      <c r="HU285" s="30"/>
      <c r="HV285" s="30"/>
      <c r="HW285" s="30"/>
      <c r="HX285" s="30"/>
      <c r="HY285" s="30"/>
      <c r="HZ285" s="30"/>
      <c r="IA285" s="30"/>
      <c r="IB285" s="30"/>
      <c r="IC285" s="30"/>
      <c r="ID285" s="30"/>
      <c r="IE285" s="30"/>
      <c r="IF285" s="30"/>
      <c r="IG285" s="30"/>
      <c r="IH285" s="30"/>
      <c r="II285" s="30"/>
      <c r="IJ285" s="30"/>
      <c r="IK285" s="30"/>
      <c r="IL285" s="30"/>
      <c r="IM285" s="30"/>
      <c r="IN285" s="30"/>
      <c r="IO285" s="30"/>
      <c r="IP285" s="30"/>
      <c r="IQ285" s="30"/>
      <c r="IR285" s="30"/>
      <c r="IS285" s="30"/>
      <c r="IT285" s="30"/>
      <c r="IU285" s="30"/>
      <c r="IV285" s="30"/>
      <c r="IW285" s="30"/>
      <c r="IX285" s="30"/>
      <c r="IY285" s="30"/>
      <c r="IZ285" s="30"/>
      <c r="JA285" s="30"/>
      <c r="JB285" s="30"/>
      <c r="JC285" s="30"/>
      <c r="JD285" s="30"/>
      <c r="JE285" s="30"/>
      <c r="JF285" s="30"/>
      <c r="JG285" s="30"/>
      <c r="JH285" s="30"/>
      <c r="JI285" s="30"/>
      <c r="JJ285" s="30"/>
      <c r="JK285" s="30"/>
      <c r="JL285" s="30"/>
      <c r="JM285" s="30"/>
      <c r="JN285" s="30"/>
      <c r="JO285" s="30"/>
      <c r="JP285" s="30"/>
      <c r="JQ285" s="30"/>
      <c r="JR285" s="30"/>
      <c r="JS285" s="30"/>
      <c r="JT285" s="30"/>
      <c r="JU285" s="30"/>
      <c r="JV285" s="30"/>
      <c r="JW285" s="30"/>
      <c r="JX285" s="30"/>
      <c r="JY285" s="30"/>
      <c r="JZ285" s="30"/>
      <c r="KA285" s="30"/>
      <c r="KB285" s="30"/>
      <c r="KC285" s="30"/>
      <c r="KD285" s="30"/>
      <c r="KE285" s="30"/>
      <c r="KF285" s="30"/>
      <c r="KG285" s="30"/>
      <c r="KH285" s="30"/>
      <c r="KI285" s="30"/>
      <c r="KJ285" s="30"/>
      <c r="KK285" s="30"/>
      <c r="KL285" s="30"/>
      <c r="KM285" s="30"/>
      <c r="KN285" s="30"/>
      <c r="KO285" s="30"/>
      <c r="KP285" s="30"/>
      <c r="KQ285" s="30"/>
      <c r="KR285" s="30"/>
      <c r="KS285" s="30"/>
      <c r="KT285" s="30"/>
      <c r="KU285" s="30"/>
      <c r="KV285" s="30"/>
      <c r="KW285" s="30"/>
      <c r="KX285" s="30"/>
      <c r="KY285" s="30"/>
      <c r="KZ285" s="30"/>
      <c r="LA285" s="30"/>
      <c r="LB285" s="30"/>
      <c r="LC285" s="30"/>
      <c r="LD285" s="30"/>
      <c r="LE285" s="30"/>
      <c r="LF285" s="30"/>
      <c r="LG285" s="30"/>
      <c r="LH285" s="30"/>
      <c r="LI285" s="30"/>
      <c r="LJ285" s="30"/>
      <c r="LK285" s="30"/>
      <c r="LL285" s="30"/>
      <c r="LM285" s="30"/>
      <c r="LN285" s="30"/>
      <c r="LO285" s="30"/>
      <c r="LP285" s="30"/>
      <c r="LQ285" s="30"/>
      <c r="LR285" s="30"/>
      <c r="LS285" s="30"/>
      <c r="LT285" s="30"/>
      <c r="LU285" s="30"/>
      <c r="LV285" s="30"/>
      <c r="LW285" s="30"/>
      <c r="LX285" s="30"/>
      <c r="LY285" s="30"/>
      <c r="LZ285" s="30"/>
      <c r="MA285" s="30"/>
      <c r="MB285" s="30"/>
      <c r="MC285" s="30"/>
      <c r="MD285" s="30"/>
      <c r="ME285" s="30"/>
      <c r="MF285" s="30"/>
      <c r="MG285" s="30"/>
      <c r="MH285" s="30"/>
      <c r="MI285" s="30"/>
      <c r="MJ285" s="30"/>
      <c r="MK285" s="30"/>
      <c r="ML285" s="30"/>
      <c r="MM285" s="30"/>
      <c r="MN285" s="30"/>
      <c r="MO285" s="30"/>
      <c r="MP285" s="30"/>
      <c r="MQ285" s="30"/>
      <c r="MR285" s="30"/>
      <c r="MS285" s="30"/>
      <c r="MT285" s="30"/>
      <c r="MU285" s="30"/>
      <c r="MV285" s="30"/>
      <c r="MW285" s="30"/>
      <c r="MX285" s="30"/>
      <c r="MY285" s="30"/>
      <c r="MZ285" s="30"/>
      <c r="NA285" s="30"/>
      <c r="NB285" s="30"/>
      <c r="NC285" s="30"/>
      <c r="ND285" s="30"/>
      <c r="NE285" s="30"/>
      <c r="NF285" s="30"/>
      <c r="NG285" s="30"/>
      <c r="NH285" s="30"/>
      <c r="NI285" s="30"/>
      <c r="NJ285" s="30"/>
      <c r="NK285" s="30"/>
      <c r="NL285" s="30"/>
      <c r="NM285" s="30"/>
      <c r="NN285" s="30"/>
      <c r="NO285" s="30"/>
      <c r="NP285" s="30"/>
      <c r="NQ285" s="30"/>
      <c r="NR285" s="30"/>
    </row>
    <row r="286" spans="1:382" s="3" customFormat="1" ht="20.100000000000001" customHeight="1" x14ac:dyDescent="0.4">
      <c r="A286" s="29">
        <v>1</v>
      </c>
      <c r="B286" s="5">
        <v>1927</v>
      </c>
      <c r="C286" s="5" t="s">
        <v>407</v>
      </c>
      <c r="D286" s="5" t="s">
        <v>236</v>
      </c>
      <c r="E286" s="5" t="s">
        <v>4</v>
      </c>
      <c r="F286" s="5" t="s">
        <v>32</v>
      </c>
      <c r="G286" s="5" t="s">
        <v>32</v>
      </c>
      <c r="H286" s="5" t="s">
        <v>32</v>
      </c>
      <c r="I286" s="8"/>
      <c r="J286" s="8"/>
      <c r="K286" s="8" t="str">
        <f>IF(OR(J286="",E286=""),"",J286+IFERROR(VLOOKUP(E286,リードタイム!$A$2:$C$9,3,FALSE),0))</f>
        <v/>
      </c>
      <c r="L286" s="5" t="s">
        <v>530</v>
      </c>
      <c r="M286" s="8"/>
      <c r="N286" s="8" t="str">
        <f>IF(OR(M286="",E286=""),"",M286+IFERROR(VLOOKUP(E286,リードタイム!$A$2:$D$9,4,FALSE),0))</f>
        <v/>
      </c>
      <c r="O286" s="5" t="s">
        <v>530</v>
      </c>
      <c r="P286" s="5" t="s">
        <v>530</v>
      </c>
      <c r="Q286" s="5" t="s">
        <v>406</v>
      </c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  <c r="FS286" s="30"/>
      <c r="FT286" s="30"/>
      <c r="FU286" s="30"/>
      <c r="FV286" s="30"/>
      <c r="FW286" s="30"/>
      <c r="FX286" s="30"/>
      <c r="FY286" s="30"/>
      <c r="FZ286" s="30"/>
      <c r="GA286" s="30"/>
      <c r="GB286" s="30"/>
      <c r="GC286" s="30"/>
      <c r="GD286" s="30"/>
      <c r="GE286" s="30"/>
      <c r="GF286" s="30"/>
      <c r="GG286" s="30"/>
      <c r="GH286" s="30"/>
      <c r="GI286" s="30"/>
      <c r="GJ286" s="30"/>
      <c r="GK286" s="30"/>
      <c r="GL286" s="30"/>
      <c r="GM286" s="30"/>
      <c r="GN286" s="30"/>
      <c r="GO286" s="30"/>
      <c r="GP286" s="30"/>
      <c r="GQ286" s="30"/>
      <c r="GR286" s="30"/>
      <c r="GS286" s="30"/>
      <c r="GT286" s="30"/>
      <c r="GU286" s="30"/>
      <c r="GV286" s="30"/>
      <c r="GW286" s="30"/>
      <c r="GX286" s="30"/>
      <c r="GY286" s="30"/>
      <c r="GZ286" s="30"/>
      <c r="HA286" s="30"/>
      <c r="HB286" s="30"/>
      <c r="HC286" s="30"/>
      <c r="HD286" s="30"/>
      <c r="HE286" s="30"/>
      <c r="HF286" s="30"/>
      <c r="HG286" s="30"/>
      <c r="HH286" s="30"/>
      <c r="HI286" s="30"/>
      <c r="HJ286" s="30"/>
      <c r="HK286" s="30"/>
      <c r="HL286" s="30"/>
      <c r="HM286" s="30"/>
      <c r="HN286" s="30"/>
      <c r="HO286" s="30"/>
      <c r="HP286" s="30"/>
      <c r="HQ286" s="30"/>
      <c r="HR286" s="30"/>
      <c r="HS286" s="30"/>
      <c r="HT286" s="30"/>
      <c r="HU286" s="30"/>
      <c r="HV286" s="30"/>
      <c r="HW286" s="30"/>
      <c r="HX286" s="30"/>
      <c r="HY286" s="30"/>
      <c r="HZ286" s="30"/>
      <c r="IA286" s="30"/>
      <c r="IB286" s="30"/>
      <c r="IC286" s="30"/>
      <c r="ID286" s="30"/>
      <c r="IE286" s="30"/>
      <c r="IF286" s="30"/>
      <c r="IG286" s="30"/>
      <c r="IH286" s="30"/>
      <c r="II286" s="30"/>
      <c r="IJ286" s="30"/>
      <c r="IK286" s="30"/>
      <c r="IL286" s="30"/>
      <c r="IM286" s="30"/>
      <c r="IN286" s="30"/>
      <c r="IO286" s="30"/>
      <c r="IP286" s="30"/>
      <c r="IQ286" s="30"/>
      <c r="IR286" s="30"/>
      <c r="IS286" s="30"/>
      <c r="IT286" s="30"/>
      <c r="IU286" s="30"/>
      <c r="IV286" s="30"/>
      <c r="IW286" s="30"/>
      <c r="IX286" s="30"/>
      <c r="IY286" s="30"/>
      <c r="IZ286" s="30"/>
      <c r="JA286" s="30"/>
      <c r="JB286" s="30"/>
      <c r="JC286" s="30"/>
      <c r="JD286" s="30"/>
      <c r="JE286" s="30"/>
      <c r="JF286" s="30"/>
      <c r="JG286" s="30"/>
      <c r="JH286" s="30"/>
      <c r="JI286" s="30"/>
      <c r="JJ286" s="30"/>
      <c r="JK286" s="30"/>
      <c r="JL286" s="30"/>
      <c r="JM286" s="30"/>
      <c r="JN286" s="30"/>
      <c r="JO286" s="30"/>
      <c r="JP286" s="30"/>
      <c r="JQ286" s="30"/>
      <c r="JR286" s="30"/>
      <c r="JS286" s="30"/>
      <c r="JT286" s="30"/>
      <c r="JU286" s="30"/>
      <c r="JV286" s="30"/>
      <c r="JW286" s="30"/>
      <c r="JX286" s="30"/>
      <c r="JY286" s="30"/>
      <c r="JZ286" s="30"/>
      <c r="KA286" s="30"/>
      <c r="KB286" s="30"/>
      <c r="KC286" s="30"/>
      <c r="KD286" s="30"/>
      <c r="KE286" s="30"/>
      <c r="KF286" s="30"/>
      <c r="KG286" s="30"/>
      <c r="KH286" s="30"/>
      <c r="KI286" s="30"/>
      <c r="KJ286" s="30"/>
      <c r="KK286" s="30"/>
      <c r="KL286" s="30"/>
      <c r="KM286" s="30"/>
      <c r="KN286" s="30"/>
      <c r="KO286" s="30"/>
      <c r="KP286" s="30"/>
      <c r="KQ286" s="30"/>
      <c r="KR286" s="30"/>
      <c r="KS286" s="30"/>
      <c r="KT286" s="30"/>
      <c r="KU286" s="30"/>
      <c r="KV286" s="30"/>
      <c r="KW286" s="30"/>
      <c r="KX286" s="30"/>
      <c r="KY286" s="30"/>
      <c r="KZ286" s="30"/>
      <c r="LA286" s="30"/>
      <c r="LB286" s="30"/>
      <c r="LC286" s="30"/>
      <c r="LD286" s="30"/>
      <c r="LE286" s="30"/>
      <c r="LF286" s="30"/>
      <c r="LG286" s="30"/>
      <c r="LH286" s="30"/>
      <c r="LI286" s="30"/>
      <c r="LJ286" s="30"/>
      <c r="LK286" s="30"/>
      <c r="LL286" s="30"/>
      <c r="LM286" s="30"/>
      <c r="LN286" s="30"/>
      <c r="LO286" s="30"/>
      <c r="LP286" s="30"/>
      <c r="LQ286" s="30"/>
      <c r="LR286" s="30"/>
      <c r="LS286" s="30"/>
      <c r="LT286" s="30"/>
      <c r="LU286" s="30"/>
      <c r="LV286" s="30"/>
      <c r="LW286" s="30"/>
      <c r="LX286" s="30"/>
      <c r="LY286" s="30"/>
      <c r="LZ286" s="30"/>
      <c r="MA286" s="30"/>
      <c r="MB286" s="30"/>
      <c r="MC286" s="30"/>
      <c r="MD286" s="30"/>
      <c r="ME286" s="30"/>
      <c r="MF286" s="30"/>
      <c r="MG286" s="30"/>
      <c r="MH286" s="30"/>
      <c r="MI286" s="30"/>
      <c r="MJ286" s="30"/>
      <c r="MK286" s="30"/>
      <c r="ML286" s="30"/>
      <c r="MM286" s="30"/>
      <c r="MN286" s="30"/>
      <c r="MO286" s="30"/>
      <c r="MP286" s="30"/>
      <c r="MQ286" s="30"/>
      <c r="MR286" s="30"/>
      <c r="MS286" s="30"/>
      <c r="MT286" s="30"/>
      <c r="MU286" s="30"/>
      <c r="MV286" s="30"/>
      <c r="MW286" s="30"/>
      <c r="MX286" s="30"/>
      <c r="MY286" s="30"/>
      <c r="MZ286" s="30"/>
      <c r="NA286" s="30"/>
      <c r="NB286" s="30"/>
      <c r="NC286" s="30"/>
      <c r="ND286" s="30"/>
      <c r="NE286" s="30"/>
      <c r="NF286" s="30"/>
      <c r="NG286" s="30"/>
      <c r="NH286" s="30"/>
      <c r="NI286" s="30"/>
      <c r="NJ286" s="30"/>
      <c r="NK286" s="30"/>
      <c r="NL286" s="30"/>
      <c r="NM286" s="30"/>
      <c r="NN286" s="30"/>
      <c r="NO286" s="30"/>
      <c r="NP286" s="30"/>
      <c r="NQ286" s="30"/>
      <c r="NR286" s="30"/>
    </row>
    <row r="287" spans="1:382" s="3" customFormat="1" ht="20.100000000000001" customHeight="1" x14ac:dyDescent="0.4">
      <c r="A287" s="29">
        <v>1</v>
      </c>
      <c r="B287" s="5">
        <v>1927</v>
      </c>
      <c r="C287" s="5" t="s">
        <v>408</v>
      </c>
      <c r="D287" s="5" t="s">
        <v>383</v>
      </c>
      <c r="E287" s="5" t="s">
        <v>4</v>
      </c>
      <c r="F287" s="5" t="s">
        <v>32</v>
      </c>
      <c r="G287" s="5" t="s">
        <v>32</v>
      </c>
      <c r="H287" s="5" t="s">
        <v>32</v>
      </c>
      <c r="I287" s="8"/>
      <c r="J287" s="8"/>
      <c r="K287" s="8" t="str">
        <f>IF(OR(J287="",E287=""),"",J287+IFERROR(VLOOKUP(E287,リードタイム!$A$2:$C$9,3,FALSE),0))</f>
        <v/>
      </c>
      <c r="L287" s="5" t="s">
        <v>530</v>
      </c>
      <c r="M287" s="8"/>
      <c r="N287" s="8" t="str">
        <f>IF(OR(M287="",E287=""),"",M287+IFERROR(VLOOKUP(E287,リードタイム!$A$2:$D$9,4,FALSE),0))</f>
        <v/>
      </c>
      <c r="O287" s="5" t="s">
        <v>530</v>
      </c>
      <c r="P287" s="5" t="s">
        <v>530</v>
      </c>
      <c r="Q287" s="5" t="s">
        <v>384</v>
      </c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  <c r="FS287" s="30"/>
      <c r="FT287" s="30"/>
      <c r="FU287" s="30"/>
      <c r="FV287" s="30"/>
      <c r="FW287" s="30"/>
      <c r="FX287" s="30"/>
      <c r="FY287" s="30"/>
      <c r="FZ287" s="30"/>
      <c r="GA287" s="30"/>
      <c r="GB287" s="30"/>
      <c r="GC287" s="30"/>
      <c r="GD287" s="30"/>
      <c r="GE287" s="30"/>
      <c r="GF287" s="30"/>
      <c r="GG287" s="30"/>
      <c r="GH287" s="30"/>
      <c r="GI287" s="30"/>
      <c r="GJ287" s="30"/>
      <c r="GK287" s="30"/>
      <c r="GL287" s="30"/>
      <c r="GM287" s="30"/>
      <c r="GN287" s="30"/>
      <c r="GO287" s="30"/>
      <c r="GP287" s="30"/>
      <c r="GQ287" s="30"/>
      <c r="GR287" s="30"/>
      <c r="GS287" s="30"/>
      <c r="GT287" s="30"/>
      <c r="GU287" s="30"/>
      <c r="GV287" s="30"/>
      <c r="GW287" s="30"/>
      <c r="GX287" s="30"/>
      <c r="GY287" s="30"/>
      <c r="GZ287" s="30"/>
      <c r="HA287" s="30"/>
      <c r="HB287" s="30"/>
      <c r="HC287" s="30"/>
      <c r="HD287" s="30"/>
      <c r="HE287" s="30"/>
      <c r="HF287" s="30"/>
      <c r="HG287" s="30"/>
      <c r="HH287" s="30"/>
      <c r="HI287" s="30"/>
      <c r="HJ287" s="30"/>
      <c r="HK287" s="30"/>
      <c r="HL287" s="30"/>
      <c r="HM287" s="30"/>
      <c r="HN287" s="30"/>
      <c r="HO287" s="30"/>
      <c r="HP287" s="30"/>
      <c r="HQ287" s="30"/>
      <c r="HR287" s="30"/>
      <c r="HS287" s="30"/>
      <c r="HT287" s="30"/>
      <c r="HU287" s="30"/>
      <c r="HV287" s="30"/>
      <c r="HW287" s="30"/>
      <c r="HX287" s="30"/>
      <c r="HY287" s="30"/>
      <c r="HZ287" s="30"/>
      <c r="IA287" s="30"/>
      <c r="IB287" s="30"/>
      <c r="IC287" s="30"/>
      <c r="ID287" s="30"/>
      <c r="IE287" s="30"/>
      <c r="IF287" s="30"/>
      <c r="IG287" s="30"/>
      <c r="IH287" s="30"/>
      <c r="II287" s="30"/>
      <c r="IJ287" s="30"/>
      <c r="IK287" s="30"/>
      <c r="IL287" s="30"/>
      <c r="IM287" s="30"/>
      <c r="IN287" s="30"/>
      <c r="IO287" s="30"/>
      <c r="IP287" s="30"/>
      <c r="IQ287" s="30"/>
      <c r="IR287" s="30"/>
      <c r="IS287" s="30"/>
      <c r="IT287" s="30"/>
      <c r="IU287" s="30"/>
      <c r="IV287" s="30"/>
      <c r="IW287" s="30"/>
      <c r="IX287" s="30"/>
      <c r="IY287" s="30"/>
      <c r="IZ287" s="30"/>
      <c r="JA287" s="30"/>
      <c r="JB287" s="30"/>
      <c r="JC287" s="30"/>
      <c r="JD287" s="30"/>
      <c r="JE287" s="30"/>
      <c r="JF287" s="30"/>
      <c r="JG287" s="30"/>
      <c r="JH287" s="30"/>
      <c r="JI287" s="30"/>
      <c r="JJ287" s="30"/>
      <c r="JK287" s="30"/>
      <c r="JL287" s="30"/>
      <c r="JM287" s="30"/>
      <c r="JN287" s="30"/>
      <c r="JO287" s="30"/>
      <c r="JP287" s="30"/>
      <c r="JQ287" s="30"/>
      <c r="JR287" s="30"/>
      <c r="JS287" s="30"/>
      <c r="JT287" s="30"/>
      <c r="JU287" s="30"/>
      <c r="JV287" s="30"/>
      <c r="JW287" s="30"/>
      <c r="JX287" s="30"/>
      <c r="JY287" s="30"/>
      <c r="JZ287" s="30"/>
      <c r="KA287" s="30"/>
      <c r="KB287" s="30"/>
      <c r="KC287" s="30"/>
      <c r="KD287" s="30"/>
      <c r="KE287" s="30"/>
      <c r="KF287" s="30"/>
      <c r="KG287" s="30"/>
      <c r="KH287" s="30"/>
      <c r="KI287" s="30"/>
      <c r="KJ287" s="30"/>
      <c r="KK287" s="30"/>
      <c r="KL287" s="30"/>
      <c r="KM287" s="30"/>
      <c r="KN287" s="30"/>
      <c r="KO287" s="30"/>
      <c r="KP287" s="30"/>
      <c r="KQ287" s="30"/>
      <c r="KR287" s="30"/>
      <c r="KS287" s="30"/>
      <c r="KT287" s="30"/>
      <c r="KU287" s="30"/>
      <c r="KV287" s="30"/>
      <c r="KW287" s="30"/>
      <c r="KX287" s="30"/>
      <c r="KY287" s="30"/>
      <c r="KZ287" s="30"/>
      <c r="LA287" s="30"/>
      <c r="LB287" s="30"/>
      <c r="LC287" s="30"/>
      <c r="LD287" s="30"/>
      <c r="LE287" s="30"/>
      <c r="LF287" s="30"/>
      <c r="LG287" s="30"/>
      <c r="LH287" s="30"/>
      <c r="LI287" s="30"/>
      <c r="LJ287" s="30"/>
      <c r="LK287" s="30"/>
      <c r="LL287" s="30"/>
      <c r="LM287" s="30"/>
      <c r="LN287" s="30"/>
      <c r="LO287" s="30"/>
      <c r="LP287" s="30"/>
      <c r="LQ287" s="30"/>
      <c r="LR287" s="30"/>
      <c r="LS287" s="30"/>
      <c r="LT287" s="30"/>
      <c r="LU287" s="30"/>
      <c r="LV287" s="30"/>
      <c r="LW287" s="30"/>
      <c r="LX287" s="30"/>
      <c r="LY287" s="30"/>
      <c r="LZ287" s="30"/>
      <c r="MA287" s="30"/>
      <c r="MB287" s="30"/>
      <c r="MC287" s="30"/>
      <c r="MD287" s="30"/>
      <c r="ME287" s="30"/>
      <c r="MF287" s="30"/>
      <c r="MG287" s="30"/>
      <c r="MH287" s="30"/>
      <c r="MI287" s="30"/>
      <c r="MJ287" s="30"/>
      <c r="MK287" s="30"/>
      <c r="ML287" s="30"/>
      <c r="MM287" s="30"/>
      <c r="MN287" s="30"/>
      <c r="MO287" s="30"/>
      <c r="MP287" s="30"/>
      <c r="MQ287" s="30"/>
      <c r="MR287" s="30"/>
      <c r="MS287" s="30"/>
      <c r="MT287" s="30"/>
      <c r="MU287" s="30"/>
      <c r="MV287" s="30"/>
      <c r="MW287" s="30"/>
      <c r="MX287" s="30"/>
      <c r="MY287" s="30"/>
      <c r="MZ287" s="30"/>
      <c r="NA287" s="30"/>
      <c r="NB287" s="30"/>
      <c r="NC287" s="30"/>
      <c r="ND287" s="30"/>
      <c r="NE287" s="30"/>
      <c r="NF287" s="30"/>
      <c r="NG287" s="30"/>
      <c r="NH287" s="30"/>
      <c r="NI287" s="30"/>
      <c r="NJ287" s="30"/>
      <c r="NK287" s="30"/>
      <c r="NL287" s="30"/>
      <c r="NM287" s="30"/>
      <c r="NN287" s="30"/>
      <c r="NO287" s="30"/>
      <c r="NP287" s="30"/>
      <c r="NQ287" s="30"/>
      <c r="NR287" s="30"/>
    </row>
    <row r="288" spans="1:382" s="3" customFormat="1" ht="20.100000000000001" customHeight="1" x14ac:dyDescent="0.4">
      <c r="A288" s="29">
        <v>1</v>
      </c>
      <c r="B288" s="5">
        <v>1722</v>
      </c>
      <c r="C288" s="5" t="s">
        <v>409</v>
      </c>
      <c r="D288" s="5" t="s">
        <v>193</v>
      </c>
      <c r="E288" s="5" t="s">
        <v>6</v>
      </c>
      <c r="F288" s="5" t="s">
        <v>32</v>
      </c>
      <c r="G288" s="5" t="s">
        <v>32</v>
      </c>
      <c r="H288" s="5" t="s">
        <v>32</v>
      </c>
      <c r="I288" s="8">
        <v>45939.625</v>
      </c>
      <c r="J288" s="8"/>
      <c r="K288" s="8" t="str">
        <f>IF(OR(J288="",E288=""),"",J288+IFERROR(VLOOKUP(E288,リードタイム!$A$2:$C$9,3,FALSE),0))</f>
        <v/>
      </c>
      <c r="L288" s="5" t="s">
        <v>531</v>
      </c>
      <c r="M288" s="8"/>
      <c r="N288" s="8" t="str">
        <f>IF(OR(M288="",E288=""),"",M288+IFERROR(VLOOKUP(E288,リードタイム!$A$2:$D$9,4,FALSE),0))</f>
        <v/>
      </c>
      <c r="O288" s="5" t="s">
        <v>531</v>
      </c>
      <c r="P288" s="5" t="s">
        <v>532</v>
      </c>
      <c r="Q288" s="5" t="s">
        <v>386</v>
      </c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  <c r="FS288" s="30"/>
      <c r="FT288" s="30"/>
      <c r="FU288" s="30"/>
      <c r="FV288" s="30"/>
      <c r="FW288" s="30"/>
      <c r="FX288" s="30"/>
      <c r="FY288" s="30"/>
      <c r="FZ288" s="30"/>
      <c r="GA288" s="30"/>
      <c r="GB288" s="30"/>
      <c r="GC288" s="30"/>
      <c r="GD288" s="30"/>
      <c r="GE288" s="30"/>
      <c r="GF288" s="30"/>
      <c r="GG288" s="30"/>
      <c r="GH288" s="30"/>
      <c r="GI288" s="30"/>
      <c r="GJ288" s="30"/>
      <c r="GK288" s="30"/>
      <c r="GL288" s="30"/>
      <c r="GM288" s="30"/>
      <c r="GN288" s="30"/>
      <c r="GO288" s="30"/>
      <c r="GP288" s="30"/>
      <c r="GQ288" s="30"/>
      <c r="GR288" s="30"/>
      <c r="GS288" s="30"/>
      <c r="GT288" s="30"/>
      <c r="GU288" s="30"/>
      <c r="GV288" s="30"/>
      <c r="GW288" s="30"/>
      <c r="GX288" s="30"/>
      <c r="GY288" s="30"/>
      <c r="GZ288" s="30"/>
      <c r="HA288" s="30"/>
      <c r="HB288" s="30"/>
      <c r="HC288" s="30"/>
      <c r="HD288" s="30"/>
      <c r="HE288" s="30"/>
      <c r="HF288" s="30"/>
      <c r="HG288" s="30"/>
      <c r="HH288" s="30"/>
      <c r="HI288" s="30"/>
      <c r="HJ288" s="30"/>
      <c r="HK288" s="30"/>
      <c r="HL288" s="30"/>
      <c r="HM288" s="30"/>
      <c r="HN288" s="30"/>
      <c r="HO288" s="30"/>
      <c r="HP288" s="30"/>
      <c r="HQ288" s="30"/>
      <c r="HR288" s="30"/>
      <c r="HS288" s="30"/>
      <c r="HT288" s="30"/>
      <c r="HU288" s="30"/>
      <c r="HV288" s="30"/>
      <c r="HW288" s="30"/>
      <c r="HX288" s="30"/>
      <c r="HY288" s="30"/>
      <c r="HZ288" s="30"/>
      <c r="IA288" s="30"/>
      <c r="IB288" s="30"/>
      <c r="IC288" s="30"/>
      <c r="ID288" s="30"/>
      <c r="IE288" s="30"/>
      <c r="IF288" s="30"/>
      <c r="IG288" s="30"/>
      <c r="IH288" s="30"/>
      <c r="II288" s="30"/>
      <c r="IJ288" s="30"/>
      <c r="IK288" s="30"/>
      <c r="IL288" s="30"/>
      <c r="IM288" s="30"/>
      <c r="IN288" s="30"/>
      <c r="IO288" s="30"/>
      <c r="IP288" s="30"/>
      <c r="IQ288" s="30"/>
      <c r="IR288" s="30"/>
      <c r="IS288" s="30"/>
      <c r="IT288" s="30"/>
      <c r="IU288" s="30"/>
      <c r="IV288" s="30"/>
      <c r="IW288" s="30"/>
      <c r="IX288" s="30"/>
      <c r="IY288" s="30"/>
      <c r="IZ288" s="30"/>
      <c r="JA288" s="30"/>
      <c r="JB288" s="30"/>
      <c r="JC288" s="30"/>
      <c r="JD288" s="30"/>
      <c r="JE288" s="30"/>
      <c r="JF288" s="30"/>
      <c r="JG288" s="30"/>
      <c r="JH288" s="30"/>
      <c r="JI288" s="30"/>
      <c r="JJ288" s="30"/>
      <c r="JK288" s="30"/>
      <c r="JL288" s="30"/>
      <c r="JM288" s="30"/>
      <c r="JN288" s="30"/>
      <c r="JO288" s="30"/>
      <c r="JP288" s="30"/>
      <c r="JQ288" s="30"/>
      <c r="JR288" s="30"/>
      <c r="JS288" s="30"/>
      <c r="JT288" s="30"/>
      <c r="JU288" s="30"/>
      <c r="JV288" s="30"/>
      <c r="JW288" s="30"/>
      <c r="JX288" s="30"/>
      <c r="JY288" s="30"/>
      <c r="JZ288" s="30"/>
      <c r="KA288" s="30"/>
      <c r="KB288" s="30"/>
      <c r="KC288" s="30"/>
      <c r="KD288" s="30"/>
      <c r="KE288" s="30"/>
      <c r="KF288" s="30"/>
      <c r="KG288" s="30"/>
      <c r="KH288" s="30"/>
      <c r="KI288" s="30"/>
      <c r="KJ288" s="30"/>
      <c r="KK288" s="30"/>
      <c r="KL288" s="30"/>
      <c r="KM288" s="30"/>
      <c r="KN288" s="30"/>
      <c r="KO288" s="30"/>
      <c r="KP288" s="30"/>
      <c r="KQ288" s="30"/>
      <c r="KR288" s="30"/>
      <c r="KS288" s="30"/>
      <c r="KT288" s="30"/>
      <c r="KU288" s="30"/>
      <c r="KV288" s="30"/>
      <c r="KW288" s="30"/>
      <c r="KX288" s="30"/>
      <c r="KY288" s="30"/>
      <c r="KZ288" s="30"/>
      <c r="LA288" s="30"/>
      <c r="LB288" s="30"/>
      <c r="LC288" s="30"/>
      <c r="LD288" s="30"/>
      <c r="LE288" s="30"/>
      <c r="LF288" s="30"/>
      <c r="LG288" s="30"/>
      <c r="LH288" s="30"/>
      <c r="LI288" s="30"/>
      <c r="LJ288" s="30"/>
      <c r="LK288" s="30"/>
      <c r="LL288" s="30"/>
      <c r="LM288" s="30"/>
      <c r="LN288" s="30"/>
      <c r="LO288" s="30"/>
      <c r="LP288" s="30"/>
      <c r="LQ288" s="30"/>
      <c r="LR288" s="30"/>
      <c r="LS288" s="30"/>
      <c r="LT288" s="30"/>
      <c r="LU288" s="30"/>
      <c r="LV288" s="30"/>
      <c r="LW288" s="30"/>
      <c r="LX288" s="30"/>
      <c r="LY288" s="30"/>
      <c r="LZ288" s="30"/>
      <c r="MA288" s="30"/>
      <c r="MB288" s="30"/>
      <c r="MC288" s="30"/>
      <c r="MD288" s="30"/>
      <c r="ME288" s="30"/>
      <c r="MF288" s="30"/>
      <c r="MG288" s="30"/>
      <c r="MH288" s="30"/>
      <c r="MI288" s="30"/>
      <c r="MJ288" s="30"/>
      <c r="MK288" s="30"/>
      <c r="ML288" s="30"/>
      <c r="MM288" s="30"/>
      <c r="MN288" s="30"/>
      <c r="MO288" s="30"/>
      <c r="MP288" s="30"/>
      <c r="MQ288" s="30"/>
      <c r="MR288" s="30"/>
      <c r="MS288" s="30"/>
      <c r="MT288" s="30"/>
      <c r="MU288" s="30"/>
      <c r="MV288" s="30"/>
      <c r="MW288" s="30"/>
      <c r="MX288" s="30"/>
      <c r="MY288" s="30"/>
      <c r="MZ288" s="30"/>
      <c r="NA288" s="30"/>
      <c r="NB288" s="30"/>
      <c r="NC288" s="30"/>
      <c r="ND288" s="30"/>
      <c r="NE288" s="30"/>
      <c r="NF288" s="30"/>
      <c r="NG288" s="30"/>
      <c r="NH288" s="30"/>
      <c r="NI288" s="30"/>
      <c r="NJ288" s="30"/>
      <c r="NK288" s="30"/>
      <c r="NL288" s="30"/>
      <c r="NM288" s="30"/>
      <c r="NN288" s="30"/>
      <c r="NO288" s="30"/>
      <c r="NP288" s="30"/>
      <c r="NQ288" s="30"/>
      <c r="NR288" s="30"/>
    </row>
    <row r="289" spans="1:382" s="3" customFormat="1" ht="20.100000000000001" customHeight="1" x14ac:dyDescent="0.4">
      <c r="A289" s="29">
        <v>2</v>
      </c>
      <c r="B289" s="5">
        <v>1723</v>
      </c>
      <c r="C289" s="5" t="s">
        <v>409</v>
      </c>
      <c r="D289" s="5" t="s">
        <v>220</v>
      </c>
      <c r="E289" s="5" t="s">
        <v>8</v>
      </c>
      <c r="F289" s="5" t="s">
        <v>32</v>
      </c>
      <c r="G289" s="5" t="s">
        <v>32</v>
      </c>
      <c r="H289" s="5" t="s">
        <v>32</v>
      </c>
      <c r="I289" s="8"/>
      <c r="J289" s="8"/>
      <c r="K289" s="8" t="str">
        <f>IF(OR(J289="",E289=""),"",J289+IFERROR(VLOOKUP(E289,リードタイム!$A$2:$C$9,3,FALSE),0))</f>
        <v/>
      </c>
      <c r="L289" s="5" t="s">
        <v>530</v>
      </c>
      <c r="M289" s="8"/>
      <c r="N289" s="8" t="str">
        <f>IF(OR(M289="",E289=""),"",M289+IFERROR(VLOOKUP(E289,リードタイム!$A$2:$D$9,4,FALSE),0))</f>
        <v/>
      </c>
      <c r="O289" s="5" t="s">
        <v>530</v>
      </c>
      <c r="P289" s="5" t="s">
        <v>530</v>
      </c>
      <c r="Q289" s="5">
        <v>14000</v>
      </c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  <c r="FS289" s="30"/>
      <c r="FT289" s="30"/>
      <c r="FU289" s="30"/>
      <c r="FV289" s="30"/>
      <c r="FW289" s="30"/>
      <c r="FX289" s="30"/>
      <c r="FY289" s="30"/>
      <c r="FZ289" s="30"/>
      <c r="GA289" s="30"/>
      <c r="GB289" s="30"/>
      <c r="GC289" s="30"/>
      <c r="GD289" s="30"/>
      <c r="GE289" s="30"/>
      <c r="GF289" s="30"/>
      <c r="GG289" s="30"/>
      <c r="GH289" s="30"/>
      <c r="GI289" s="30"/>
      <c r="GJ289" s="30"/>
      <c r="GK289" s="30"/>
      <c r="GL289" s="30"/>
      <c r="GM289" s="30"/>
      <c r="GN289" s="30"/>
      <c r="GO289" s="30"/>
      <c r="GP289" s="30"/>
      <c r="GQ289" s="30"/>
      <c r="GR289" s="30"/>
      <c r="GS289" s="30"/>
      <c r="GT289" s="30"/>
      <c r="GU289" s="30"/>
      <c r="GV289" s="30"/>
      <c r="GW289" s="30"/>
      <c r="GX289" s="30"/>
      <c r="GY289" s="30"/>
      <c r="GZ289" s="30"/>
      <c r="HA289" s="30"/>
      <c r="HB289" s="30"/>
      <c r="HC289" s="30"/>
      <c r="HD289" s="30"/>
      <c r="HE289" s="30"/>
      <c r="HF289" s="30"/>
      <c r="HG289" s="30"/>
      <c r="HH289" s="30"/>
      <c r="HI289" s="30"/>
      <c r="HJ289" s="30"/>
      <c r="HK289" s="30"/>
      <c r="HL289" s="30"/>
      <c r="HM289" s="30"/>
      <c r="HN289" s="30"/>
      <c r="HO289" s="30"/>
      <c r="HP289" s="30"/>
      <c r="HQ289" s="30"/>
      <c r="HR289" s="30"/>
      <c r="HS289" s="30"/>
      <c r="HT289" s="30"/>
      <c r="HU289" s="30"/>
      <c r="HV289" s="30"/>
      <c r="HW289" s="30"/>
      <c r="HX289" s="30"/>
      <c r="HY289" s="30"/>
      <c r="HZ289" s="30"/>
      <c r="IA289" s="30"/>
      <c r="IB289" s="30"/>
      <c r="IC289" s="30"/>
      <c r="ID289" s="30"/>
      <c r="IE289" s="30"/>
      <c r="IF289" s="30"/>
      <c r="IG289" s="30"/>
      <c r="IH289" s="30"/>
      <c r="II289" s="30"/>
      <c r="IJ289" s="30"/>
      <c r="IK289" s="30"/>
      <c r="IL289" s="30"/>
      <c r="IM289" s="30"/>
      <c r="IN289" s="30"/>
      <c r="IO289" s="30"/>
      <c r="IP289" s="30"/>
      <c r="IQ289" s="30"/>
      <c r="IR289" s="30"/>
      <c r="IS289" s="30"/>
      <c r="IT289" s="30"/>
      <c r="IU289" s="30"/>
      <c r="IV289" s="30"/>
      <c r="IW289" s="30"/>
      <c r="IX289" s="30"/>
      <c r="IY289" s="30"/>
      <c r="IZ289" s="30"/>
      <c r="JA289" s="30"/>
      <c r="JB289" s="30"/>
      <c r="JC289" s="30"/>
      <c r="JD289" s="30"/>
      <c r="JE289" s="30"/>
      <c r="JF289" s="30"/>
      <c r="JG289" s="30"/>
      <c r="JH289" s="30"/>
      <c r="JI289" s="30"/>
      <c r="JJ289" s="30"/>
      <c r="JK289" s="30"/>
      <c r="JL289" s="30"/>
      <c r="JM289" s="30"/>
      <c r="JN289" s="30"/>
      <c r="JO289" s="30"/>
      <c r="JP289" s="30"/>
      <c r="JQ289" s="30"/>
      <c r="JR289" s="30"/>
      <c r="JS289" s="30"/>
      <c r="JT289" s="30"/>
      <c r="JU289" s="30"/>
      <c r="JV289" s="30"/>
      <c r="JW289" s="30"/>
      <c r="JX289" s="30"/>
      <c r="JY289" s="30"/>
      <c r="JZ289" s="30"/>
      <c r="KA289" s="30"/>
      <c r="KB289" s="30"/>
      <c r="KC289" s="30"/>
      <c r="KD289" s="30"/>
      <c r="KE289" s="30"/>
      <c r="KF289" s="30"/>
      <c r="KG289" s="30"/>
      <c r="KH289" s="30"/>
      <c r="KI289" s="30"/>
      <c r="KJ289" s="30"/>
      <c r="KK289" s="30"/>
      <c r="KL289" s="30"/>
      <c r="KM289" s="30"/>
      <c r="KN289" s="30"/>
      <c r="KO289" s="30"/>
      <c r="KP289" s="30"/>
      <c r="KQ289" s="30"/>
      <c r="KR289" s="30"/>
      <c r="KS289" s="30"/>
      <c r="KT289" s="30"/>
      <c r="KU289" s="30"/>
      <c r="KV289" s="30"/>
      <c r="KW289" s="30"/>
      <c r="KX289" s="30"/>
      <c r="KY289" s="30"/>
      <c r="KZ289" s="30"/>
      <c r="LA289" s="30"/>
      <c r="LB289" s="30"/>
      <c r="LC289" s="30"/>
      <c r="LD289" s="30"/>
      <c r="LE289" s="30"/>
      <c r="LF289" s="30"/>
      <c r="LG289" s="30"/>
      <c r="LH289" s="30"/>
      <c r="LI289" s="30"/>
      <c r="LJ289" s="30"/>
      <c r="LK289" s="30"/>
      <c r="LL289" s="30"/>
      <c r="LM289" s="30"/>
      <c r="LN289" s="30"/>
      <c r="LO289" s="30"/>
      <c r="LP289" s="30"/>
      <c r="LQ289" s="30"/>
      <c r="LR289" s="30"/>
      <c r="LS289" s="30"/>
      <c r="LT289" s="30"/>
      <c r="LU289" s="30"/>
      <c r="LV289" s="30"/>
      <c r="LW289" s="30"/>
      <c r="LX289" s="30"/>
      <c r="LY289" s="30"/>
      <c r="LZ289" s="30"/>
      <c r="MA289" s="30"/>
      <c r="MB289" s="30"/>
      <c r="MC289" s="30"/>
      <c r="MD289" s="30"/>
      <c r="ME289" s="30"/>
      <c r="MF289" s="30"/>
      <c r="MG289" s="30"/>
      <c r="MH289" s="30"/>
      <c r="MI289" s="30"/>
      <c r="MJ289" s="30"/>
      <c r="MK289" s="30"/>
      <c r="ML289" s="30"/>
      <c r="MM289" s="30"/>
      <c r="MN289" s="30"/>
      <c r="MO289" s="30"/>
      <c r="MP289" s="30"/>
      <c r="MQ289" s="30"/>
      <c r="MR289" s="30"/>
      <c r="MS289" s="30"/>
      <c r="MT289" s="30"/>
      <c r="MU289" s="30"/>
      <c r="MV289" s="30"/>
      <c r="MW289" s="30"/>
      <c r="MX289" s="30"/>
      <c r="MY289" s="30"/>
      <c r="MZ289" s="30"/>
      <c r="NA289" s="30"/>
      <c r="NB289" s="30"/>
      <c r="NC289" s="30"/>
      <c r="ND289" s="30"/>
      <c r="NE289" s="30"/>
      <c r="NF289" s="30"/>
      <c r="NG289" s="30"/>
      <c r="NH289" s="30"/>
      <c r="NI289" s="30"/>
      <c r="NJ289" s="30"/>
      <c r="NK289" s="30"/>
      <c r="NL289" s="30"/>
      <c r="NM289" s="30"/>
      <c r="NN289" s="30"/>
      <c r="NO289" s="30"/>
      <c r="NP289" s="30"/>
      <c r="NQ289" s="30"/>
      <c r="NR289" s="30"/>
    </row>
    <row r="290" spans="1:382" s="3" customFormat="1" ht="20.100000000000001" customHeight="1" x14ac:dyDescent="0.4">
      <c r="A290" s="29">
        <v>3</v>
      </c>
      <c r="B290" s="5">
        <v>1722</v>
      </c>
      <c r="C290" s="5" t="s">
        <v>409</v>
      </c>
      <c r="D290" s="5" t="s">
        <v>193</v>
      </c>
      <c r="E290" s="5" t="s">
        <v>6</v>
      </c>
      <c r="F290" s="5" t="s">
        <v>32</v>
      </c>
      <c r="G290" s="5" t="s">
        <v>32</v>
      </c>
      <c r="H290" s="5" t="s">
        <v>32</v>
      </c>
      <c r="I290" s="8"/>
      <c r="J290" s="8"/>
      <c r="K290" s="8" t="str">
        <f>IF(OR(J290="",E290=""),"",J290+IFERROR(VLOOKUP(E290,リードタイム!$A$2:$C$9,3,FALSE),0))</f>
        <v/>
      </c>
      <c r="L290" s="5" t="s">
        <v>530</v>
      </c>
      <c r="M290" s="8"/>
      <c r="N290" s="8" t="str">
        <f>IF(OR(M290="",E290=""),"",M290+IFERROR(VLOOKUP(E290,リードタイム!$A$2:$D$9,4,FALSE),0))</f>
        <v/>
      </c>
      <c r="O290" s="5" t="s">
        <v>530</v>
      </c>
      <c r="P290" s="5" t="s">
        <v>530</v>
      </c>
      <c r="Q290" s="5" t="s">
        <v>410</v>
      </c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  <c r="FS290" s="30"/>
      <c r="FT290" s="30"/>
      <c r="FU290" s="30"/>
      <c r="FV290" s="30"/>
      <c r="FW290" s="30"/>
      <c r="FX290" s="30"/>
      <c r="FY290" s="30"/>
      <c r="FZ290" s="30"/>
      <c r="GA290" s="30"/>
      <c r="GB290" s="30"/>
      <c r="GC290" s="30"/>
      <c r="GD290" s="30"/>
      <c r="GE290" s="30"/>
      <c r="GF290" s="30"/>
      <c r="GG290" s="30"/>
      <c r="GH290" s="30"/>
      <c r="GI290" s="30"/>
      <c r="GJ290" s="30"/>
      <c r="GK290" s="30"/>
      <c r="GL290" s="30"/>
      <c r="GM290" s="30"/>
      <c r="GN290" s="30"/>
      <c r="GO290" s="30"/>
      <c r="GP290" s="30"/>
      <c r="GQ290" s="30"/>
      <c r="GR290" s="30"/>
      <c r="GS290" s="30"/>
      <c r="GT290" s="30"/>
      <c r="GU290" s="30"/>
      <c r="GV290" s="30"/>
      <c r="GW290" s="30"/>
      <c r="GX290" s="30"/>
      <c r="GY290" s="30"/>
      <c r="GZ290" s="30"/>
      <c r="HA290" s="30"/>
      <c r="HB290" s="30"/>
      <c r="HC290" s="30"/>
      <c r="HD290" s="30"/>
      <c r="HE290" s="30"/>
      <c r="HF290" s="30"/>
      <c r="HG290" s="30"/>
      <c r="HH290" s="30"/>
      <c r="HI290" s="30"/>
      <c r="HJ290" s="30"/>
      <c r="HK290" s="30"/>
      <c r="HL290" s="30"/>
      <c r="HM290" s="30"/>
      <c r="HN290" s="30"/>
      <c r="HO290" s="30"/>
      <c r="HP290" s="30"/>
      <c r="HQ290" s="30"/>
      <c r="HR290" s="30"/>
      <c r="HS290" s="30"/>
      <c r="HT290" s="30"/>
      <c r="HU290" s="30"/>
      <c r="HV290" s="30"/>
      <c r="HW290" s="30"/>
      <c r="HX290" s="30"/>
      <c r="HY290" s="30"/>
      <c r="HZ290" s="30"/>
      <c r="IA290" s="30"/>
      <c r="IB290" s="30"/>
      <c r="IC290" s="30"/>
      <c r="ID290" s="30"/>
      <c r="IE290" s="30"/>
      <c r="IF290" s="30"/>
      <c r="IG290" s="30"/>
      <c r="IH290" s="30"/>
      <c r="II290" s="30"/>
      <c r="IJ290" s="30"/>
      <c r="IK290" s="30"/>
      <c r="IL290" s="30"/>
      <c r="IM290" s="30"/>
      <c r="IN290" s="30"/>
      <c r="IO290" s="30"/>
      <c r="IP290" s="30"/>
      <c r="IQ290" s="30"/>
      <c r="IR290" s="30"/>
      <c r="IS290" s="30"/>
      <c r="IT290" s="30"/>
      <c r="IU290" s="30"/>
      <c r="IV290" s="30"/>
      <c r="IW290" s="30"/>
      <c r="IX290" s="30"/>
      <c r="IY290" s="30"/>
      <c r="IZ290" s="30"/>
      <c r="JA290" s="30"/>
      <c r="JB290" s="30"/>
      <c r="JC290" s="30"/>
      <c r="JD290" s="30"/>
      <c r="JE290" s="30"/>
      <c r="JF290" s="30"/>
      <c r="JG290" s="30"/>
      <c r="JH290" s="30"/>
      <c r="JI290" s="30"/>
      <c r="JJ290" s="30"/>
      <c r="JK290" s="30"/>
      <c r="JL290" s="30"/>
      <c r="JM290" s="30"/>
      <c r="JN290" s="30"/>
      <c r="JO290" s="30"/>
      <c r="JP290" s="30"/>
      <c r="JQ290" s="30"/>
      <c r="JR290" s="30"/>
      <c r="JS290" s="30"/>
      <c r="JT290" s="30"/>
      <c r="JU290" s="30"/>
      <c r="JV290" s="30"/>
      <c r="JW290" s="30"/>
      <c r="JX290" s="30"/>
      <c r="JY290" s="30"/>
      <c r="JZ290" s="30"/>
      <c r="KA290" s="30"/>
      <c r="KB290" s="30"/>
      <c r="KC290" s="30"/>
      <c r="KD290" s="30"/>
      <c r="KE290" s="30"/>
      <c r="KF290" s="30"/>
      <c r="KG290" s="30"/>
      <c r="KH290" s="30"/>
      <c r="KI290" s="30"/>
      <c r="KJ290" s="30"/>
      <c r="KK290" s="30"/>
      <c r="KL290" s="30"/>
      <c r="KM290" s="30"/>
      <c r="KN290" s="30"/>
      <c r="KO290" s="30"/>
      <c r="KP290" s="30"/>
      <c r="KQ290" s="30"/>
      <c r="KR290" s="30"/>
      <c r="KS290" s="30"/>
      <c r="KT290" s="30"/>
      <c r="KU290" s="30"/>
      <c r="KV290" s="30"/>
      <c r="KW290" s="30"/>
      <c r="KX290" s="30"/>
      <c r="KY290" s="30"/>
      <c r="KZ290" s="30"/>
      <c r="LA290" s="30"/>
      <c r="LB290" s="30"/>
      <c r="LC290" s="30"/>
      <c r="LD290" s="30"/>
      <c r="LE290" s="30"/>
      <c r="LF290" s="30"/>
      <c r="LG290" s="30"/>
      <c r="LH290" s="30"/>
      <c r="LI290" s="30"/>
      <c r="LJ290" s="30"/>
      <c r="LK290" s="30"/>
      <c r="LL290" s="30"/>
      <c r="LM290" s="30"/>
      <c r="LN290" s="30"/>
      <c r="LO290" s="30"/>
      <c r="LP290" s="30"/>
      <c r="LQ290" s="30"/>
      <c r="LR290" s="30"/>
      <c r="LS290" s="30"/>
      <c r="LT290" s="30"/>
      <c r="LU290" s="30"/>
      <c r="LV290" s="30"/>
      <c r="LW290" s="30"/>
      <c r="LX290" s="30"/>
      <c r="LY290" s="30"/>
      <c r="LZ290" s="30"/>
      <c r="MA290" s="30"/>
      <c r="MB290" s="30"/>
      <c r="MC290" s="30"/>
      <c r="MD290" s="30"/>
      <c r="ME290" s="30"/>
      <c r="MF290" s="30"/>
      <c r="MG290" s="30"/>
      <c r="MH290" s="30"/>
      <c r="MI290" s="30"/>
      <c r="MJ290" s="30"/>
      <c r="MK290" s="30"/>
      <c r="ML290" s="30"/>
      <c r="MM290" s="30"/>
      <c r="MN290" s="30"/>
      <c r="MO290" s="30"/>
      <c r="MP290" s="30"/>
      <c r="MQ290" s="30"/>
      <c r="MR290" s="30"/>
      <c r="MS290" s="30"/>
      <c r="MT290" s="30"/>
      <c r="MU290" s="30"/>
      <c r="MV290" s="30"/>
      <c r="MW290" s="30"/>
      <c r="MX290" s="30"/>
      <c r="MY290" s="30"/>
      <c r="MZ290" s="30"/>
      <c r="NA290" s="30"/>
      <c r="NB290" s="30"/>
      <c r="NC290" s="30"/>
      <c r="ND290" s="30"/>
      <c r="NE290" s="30"/>
      <c r="NF290" s="30"/>
      <c r="NG290" s="30"/>
      <c r="NH290" s="30"/>
      <c r="NI290" s="30"/>
      <c r="NJ290" s="30"/>
      <c r="NK290" s="30"/>
      <c r="NL290" s="30"/>
      <c r="NM290" s="30"/>
      <c r="NN290" s="30"/>
      <c r="NO290" s="30"/>
      <c r="NP290" s="30"/>
      <c r="NQ290" s="30"/>
      <c r="NR290" s="30"/>
    </row>
    <row r="291" spans="1:382" s="3" customFormat="1" ht="20.100000000000001" customHeight="1" x14ac:dyDescent="0.4">
      <c r="A291" s="29">
        <v>1</v>
      </c>
      <c r="B291" s="5">
        <v>1729</v>
      </c>
      <c r="C291" s="5" t="s">
        <v>411</v>
      </c>
      <c r="D291" s="5" t="s">
        <v>412</v>
      </c>
      <c r="E291" s="5" t="s">
        <v>10</v>
      </c>
      <c r="F291" s="5" t="s">
        <v>32</v>
      </c>
      <c r="G291" s="5" t="s">
        <v>32</v>
      </c>
      <c r="H291" s="5" t="s">
        <v>32</v>
      </c>
      <c r="I291" s="8">
        <v>45904.625</v>
      </c>
      <c r="J291" s="8"/>
      <c r="K291" s="8" t="str">
        <f>IF(OR(J291="",E291=""),"",J291+IFERROR(VLOOKUP(E291,リードタイム!$A$2:$C$9,3,FALSE),0))</f>
        <v/>
      </c>
      <c r="L291" s="5" t="s">
        <v>531</v>
      </c>
      <c r="M291" s="8"/>
      <c r="N291" s="8" t="str">
        <f>IF(OR(M291="",E291=""),"",M291+IFERROR(VLOOKUP(E291,リードタイム!$A$2:$D$9,4,FALSE),0))</f>
        <v/>
      </c>
      <c r="O291" s="5" t="s">
        <v>531</v>
      </c>
      <c r="P291" s="5" t="s">
        <v>533</v>
      </c>
      <c r="Q291" s="5" t="s">
        <v>32</v>
      </c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  <c r="FS291" s="30"/>
      <c r="FT291" s="30"/>
      <c r="FU291" s="30"/>
      <c r="FV291" s="30"/>
      <c r="FW291" s="30"/>
      <c r="FX291" s="30"/>
      <c r="FY291" s="30"/>
      <c r="FZ291" s="30"/>
      <c r="GA291" s="30"/>
      <c r="GB291" s="30"/>
      <c r="GC291" s="30"/>
      <c r="GD291" s="30"/>
      <c r="GE291" s="30"/>
      <c r="GF291" s="30"/>
      <c r="GG291" s="30"/>
      <c r="GH291" s="30"/>
      <c r="GI291" s="30"/>
      <c r="GJ291" s="30"/>
      <c r="GK291" s="30"/>
      <c r="GL291" s="30"/>
      <c r="GM291" s="30"/>
      <c r="GN291" s="30"/>
      <c r="GO291" s="30"/>
      <c r="GP291" s="30"/>
      <c r="GQ291" s="30"/>
      <c r="GR291" s="30"/>
      <c r="GS291" s="30"/>
      <c r="GT291" s="30"/>
      <c r="GU291" s="30"/>
      <c r="GV291" s="30"/>
      <c r="GW291" s="30"/>
      <c r="GX291" s="30"/>
      <c r="GY291" s="30"/>
      <c r="GZ291" s="30"/>
      <c r="HA291" s="30"/>
      <c r="HB291" s="30"/>
      <c r="HC291" s="30"/>
      <c r="HD291" s="30"/>
      <c r="HE291" s="30"/>
      <c r="HF291" s="30"/>
      <c r="HG291" s="30"/>
      <c r="HH291" s="30"/>
      <c r="HI291" s="30"/>
      <c r="HJ291" s="30"/>
      <c r="HK291" s="30"/>
      <c r="HL291" s="30"/>
      <c r="HM291" s="30"/>
      <c r="HN291" s="30"/>
      <c r="HO291" s="30"/>
      <c r="HP291" s="30"/>
      <c r="HQ291" s="30"/>
      <c r="HR291" s="30"/>
      <c r="HS291" s="30"/>
      <c r="HT291" s="30"/>
      <c r="HU291" s="30"/>
      <c r="HV291" s="30"/>
      <c r="HW291" s="30"/>
      <c r="HX291" s="30"/>
      <c r="HY291" s="30"/>
      <c r="HZ291" s="30"/>
      <c r="IA291" s="30"/>
      <c r="IB291" s="30"/>
      <c r="IC291" s="30"/>
      <c r="ID291" s="30"/>
      <c r="IE291" s="30"/>
      <c r="IF291" s="30"/>
      <c r="IG291" s="30"/>
      <c r="IH291" s="30"/>
      <c r="II291" s="30"/>
      <c r="IJ291" s="30"/>
      <c r="IK291" s="30"/>
      <c r="IL291" s="30"/>
      <c r="IM291" s="30"/>
      <c r="IN291" s="30"/>
      <c r="IO291" s="30"/>
      <c r="IP291" s="30"/>
      <c r="IQ291" s="30"/>
      <c r="IR291" s="30"/>
      <c r="IS291" s="30"/>
      <c r="IT291" s="30"/>
      <c r="IU291" s="30"/>
      <c r="IV291" s="30"/>
      <c r="IW291" s="30"/>
      <c r="IX291" s="30"/>
      <c r="IY291" s="30"/>
      <c r="IZ291" s="30"/>
      <c r="JA291" s="30"/>
      <c r="JB291" s="30"/>
      <c r="JC291" s="30"/>
      <c r="JD291" s="30"/>
      <c r="JE291" s="30"/>
      <c r="JF291" s="30"/>
      <c r="JG291" s="30"/>
      <c r="JH291" s="30"/>
      <c r="JI291" s="30"/>
      <c r="JJ291" s="30"/>
      <c r="JK291" s="30"/>
      <c r="JL291" s="30"/>
      <c r="JM291" s="30"/>
      <c r="JN291" s="30"/>
      <c r="JO291" s="30"/>
      <c r="JP291" s="30"/>
      <c r="JQ291" s="30"/>
      <c r="JR291" s="30"/>
      <c r="JS291" s="30"/>
      <c r="JT291" s="30"/>
      <c r="JU291" s="30"/>
      <c r="JV291" s="30"/>
      <c r="JW291" s="30"/>
      <c r="JX291" s="30"/>
      <c r="JY291" s="30"/>
      <c r="JZ291" s="30"/>
      <c r="KA291" s="30"/>
      <c r="KB291" s="30"/>
      <c r="KC291" s="30"/>
      <c r="KD291" s="30"/>
      <c r="KE291" s="30"/>
      <c r="KF291" s="30"/>
      <c r="KG291" s="30"/>
      <c r="KH291" s="30"/>
      <c r="KI291" s="30"/>
      <c r="KJ291" s="30"/>
      <c r="KK291" s="30"/>
      <c r="KL291" s="30"/>
      <c r="KM291" s="30"/>
      <c r="KN291" s="30"/>
      <c r="KO291" s="30"/>
      <c r="KP291" s="30"/>
      <c r="KQ291" s="30"/>
      <c r="KR291" s="30"/>
      <c r="KS291" s="30"/>
      <c r="KT291" s="30"/>
      <c r="KU291" s="30"/>
      <c r="KV291" s="30"/>
      <c r="KW291" s="30"/>
      <c r="KX291" s="30"/>
      <c r="KY291" s="30"/>
      <c r="KZ291" s="30"/>
      <c r="LA291" s="30"/>
      <c r="LB291" s="30"/>
      <c r="LC291" s="30"/>
      <c r="LD291" s="30"/>
      <c r="LE291" s="30"/>
      <c r="LF291" s="30"/>
      <c r="LG291" s="30"/>
      <c r="LH291" s="30"/>
      <c r="LI291" s="30"/>
      <c r="LJ291" s="30"/>
      <c r="LK291" s="30"/>
      <c r="LL291" s="30"/>
      <c r="LM291" s="30"/>
      <c r="LN291" s="30"/>
      <c r="LO291" s="30"/>
      <c r="LP291" s="30"/>
      <c r="LQ291" s="30"/>
      <c r="LR291" s="30"/>
      <c r="LS291" s="30"/>
      <c r="LT291" s="30"/>
      <c r="LU291" s="30"/>
      <c r="LV291" s="30"/>
      <c r="LW291" s="30"/>
      <c r="LX291" s="30"/>
      <c r="LY291" s="30"/>
      <c r="LZ291" s="30"/>
      <c r="MA291" s="30"/>
      <c r="MB291" s="30"/>
      <c r="MC291" s="30"/>
      <c r="MD291" s="30"/>
      <c r="ME291" s="30"/>
      <c r="MF291" s="30"/>
      <c r="MG291" s="30"/>
      <c r="MH291" s="30"/>
      <c r="MI291" s="30"/>
      <c r="MJ291" s="30"/>
      <c r="MK291" s="30"/>
      <c r="ML291" s="30"/>
      <c r="MM291" s="30"/>
      <c r="MN291" s="30"/>
      <c r="MO291" s="30"/>
      <c r="MP291" s="30"/>
      <c r="MQ291" s="30"/>
      <c r="MR291" s="30"/>
      <c r="MS291" s="30"/>
      <c r="MT291" s="30"/>
      <c r="MU291" s="30"/>
      <c r="MV291" s="30"/>
      <c r="MW291" s="30"/>
      <c r="MX291" s="30"/>
      <c r="MY291" s="30"/>
      <c r="MZ291" s="30"/>
      <c r="NA291" s="30"/>
      <c r="NB291" s="30"/>
      <c r="NC291" s="30"/>
      <c r="ND291" s="30"/>
      <c r="NE291" s="30"/>
      <c r="NF291" s="30"/>
      <c r="NG291" s="30"/>
      <c r="NH291" s="30"/>
      <c r="NI291" s="30"/>
      <c r="NJ291" s="30"/>
      <c r="NK291" s="30"/>
      <c r="NL291" s="30"/>
      <c r="NM291" s="30"/>
      <c r="NN291" s="30"/>
      <c r="NO291" s="30"/>
      <c r="NP291" s="30"/>
      <c r="NQ291" s="30"/>
      <c r="NR291" s="30"/>
    </row>
    <row r="292" spans="1:382" s="3" customFormat="1" ht="20.100000000000001" customHeight="1" x14ac:dyDescent="0.4">
      <c r="A292" s="29">
        <v>2</v>
      </c>
      <c r="B292" s="5">
        <v>1729</v>
      </c>
      <c r="C292" s="5" t="s">
        <v>411</v>
      </c>
      <c r="D292" s="5" t="s">
        <v>413</v>
      </c>
      <c r="E292" s="5" t="s">
        <v>10</v>
      </c>
      <c r="F292" s="5" t="s">
        <v>32</v>
      </c>
      <c r="G292" s="5" t="s">
        <v>32</v>
      </c>
      <c r="H292" s="5" t="s">
        <v>32</v>
      </c>
      <c r="I292" s="8">
        <v>45904.625</v>
      </c>
      <c r="J292" s="8"/>
      <c r="K292" s="8" t="str">
        <f>IF(OR(J292="",E292=""),"",J292+IFERROR(VLOOKUP(E292,リードタイム!$A$2:$C$9,3,FALSE),0))</f>
        <v/>
      </c>
      <c r="L292" s="5" t="s">
        <v>531</v>
      </c>
      <c r="M292" s="8"/>
      <c r="N292" s="8" t="str">
        <f>IF(OR(M292="",E292=""),"",M292+IFERROR(VLOOKUP(E292,リードタイム!$A$2:$D$9,4,FALSE),0))</f>
        <v/>
      </c>
      <c r="O292" s="5" t="s">
        <v>531</v>
      </c>
      <c r="P292" s="5" t="s">
        <v>533</v>
      </c>
      <c r="Q292" s="5" t="s">
        <v>32</v>
      </c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  <c r="FS292" s="30"/>
      <c r="FT292" s="30"/>
      <c r="FU292" s="30"/>
      <c r="FV292" s="30"/>
      <c r="FW292" s="30"/>
      <c r="FX292" s="30"/>
      <c r="FY292" s="30"/>
      <c r="FZ292" s="30"/>
      <c r="GA292" s="30"/>
      <c r="GB292" s="30"/>
      <c r="GC292" s="30"/>
      <c r="GD292" s="30"/>
      <c r="GE292" s="30"/>
      <c r="GF292" s="30"/>
      <c r="GG292" s="30"/>
      <c r="GH292" s="30"/>
      <c r="GI292" s="30"/>
      <c r="GJ292" s="30"/>
      <c r="GK292" s="30"/>
      <c r="GL292" s="30"/>
      <c r="GM292" s="30"/>
      <c r="GN292" s="30"/>
      <c r="GO292" s="30"/>
      <c r="GP292" s="30"/>
      <c r="GQ292" s="30"/>
      <c r="GR292" s="30"/>
      <c r="GS292" s="30"/>
      <c r="GT292" s="30"/>
      <c r="GU292" s="30"/>
      <c r="GV292" s="30"/>
      <c r="GW292" s="30"/>
      <c r="GX292" s="30"/>
      <c r="GY292" s="30"/>
      <c r="GZ292" s="30"/>
      <c r="HA292" s="30"/>
      <c r="HB292" s="30"/>
      <c r="HC292" s="30"/>
      <c r="HD292" s="30"/>
      <c r="HE292" s="30"/>
      <c r="HF292" s="30"/>
      <c r="HG292" s="30"/>
      <c r="HH292" s="30"/>
      <c r="HI292" s="30"/>
      <c r="HJ292" s="30"/>
      <c r="HK292" s="30"/>
      <c r="HL292" s="30"/>
      <c r="HM292" s="30"/>
      <c r="HN292" s="30"/>
      <c r="HO292" s="30"/>
      <c r="HP292" s="30"/>
      <c r="HQ292" s="30"/>
      <c r="HR292" s="30"/>
      <c r="HS292" s="30"/>
      <c r="HT292" s="30"/>
      <c r="HU292" s="30"/>
      <c r="HV292" s="30"/>
      <c r="HW292" s="30"/>
      <c r="HX292" s="30"/>
      <c r="HY292" s="30"/>
      <c r="HZ292" s="30"/>
      <c r="IA292" s="30"/>
      <c r="IB292" s="30"/>
      <c r="IC292" s="30"/>
      <c r="ID292" s="30"/>
      <c r="IE292" s="30"/>
      <c r="IF292" s="30"/>
      <c r="IG292" s="30"/>
      <c r="IH292" s="30"/>
      <c r="II292" s="30"/>
      <c r="IJ292" s="30"/>
      <c r="IK292" s="30"/>
      <c r="IL292" s="30"/>
      <c r="IM292" s="30"/>
      <c r="IN292" s="30"/>
      <c r="IO292" s="30"/>
      <c r="IP292" s="30"/>
      <c r="IQ292" s="30"/>
      <c r="IR292" s="30"/>
      <c r="IS292" s="30"/>
      <c r="IT292" s="30"/>
      <c r="IU292" s="30"/>
      <c r="IV292" s="30"/>
      <c r="IW292" s="30"/>
      <c r="IX292" s="30"/>
      <c r="IY292" s="30"/>
      <c r="IZ292" s="30"/>
      <c r="JA292" s="30"/>
      <c r="JB292" s="30"/>
      <c r="JC292" s="30"/>
      <c r="JD292" s="30"/>
      <c r="JE292" s="30"/>
      <c r="JF292" s="30"/>
      <c r="JG292" s="30"/>
      <c r="JH292" s="30"/>
      <c r="JI292" s="30"/>
      <c r="JJ292" s="30"/>
      <c r="JK292" s="30"/>
      <c r="JL292" s="30"/>
      <c r="JM292" s="30"/>
      <c r="JN292" s="30"/>
      <c r="JO292" s="30"/>
      <c r="JP292" s="30"/>
      <c r="JQ292" s="30"/>
      <c r="JR292" s="30"/>
      <c r="JS292" s="30"/>
      <c r="JT292" s="30"/>
      <c r="JU292" s="30"/>
      <c r="JV292" s="30"/>
      <c r="JW292" s="30"/>
      <c r="JX292" s="30"/>
      <c r="JY292" s="30"/>
      <c r="JZ292" s="30"/>
      <c r="KA292" s="30"/>
      <c r="KB292" s="30"/>
      <c r="KC292" s="30"/>
      <c r="KD292" s="30"/>
      <c r="KE292" s="30"/>
      <c r="KF292" s="30"/>
      <c r="KG292" s="30"/>
      <c r="KH292" s="30"/>
      <c r="KI292" s="30"/>
      <c r="KJ292" s="30"/>
      <c r="KK292" s="30"/>
      <c r="KL292" s="30"/>
      <c r="KM292" s="30"/>
      <c r="KN292" s="30"/>
      <c r="KO292" s="30"/>
      <c r="KP292" s="30"/>
      <c r="KQ292" s="30"/>
      <c r="KR292" s="30"/>
      <c r="KS292" s="30"/>
      <c r="KT292" s="30"/>
      <c r="KU292" s="30"/>
      <c r="KV292" s="30"/>
      <c r="KW292" s="30"/>
      <c r="KX292" s="30"/>
      <c r="KY292" s="30"/>
      <c r="KZ292" s="30"/>
      <c r="LA292" s="30"/>
      <c r="LB292" s="30"/>
      <c r="LC292" s="30"/>
      <c r="LD292" s="30"/>
      <c r="LE292" s="30"/>
      <c r="LF292" s="30"/>
      <c r="LG292" s="30"/>
      <c r="LH292" s="30"/>
      <c r="LI292" s="30"/>
      <c r="LJ292" s="30"/>
      <c r="LK292" s="30"/>
      <c r="LL292" s="30"/>
      <c r="LM292" s="30"/>
      <c r="LN292" s="30"/>
      <c r="LO292" s="30"/>
      <c r="LP292" s="30"/>
      <c r="LQ292" s="30"/>
      <c r="LR292" s="30"/>
      <c r="LS292" s="30"/>
      <c r="LT292" s="30"/>
      <c r="LU292" s="30"/>
      <c r="LV292" s="30"/>
      <c r="LW292" s="30"/>
      <c r="LX292" s="30"/>
      <c r="LY292" s="30"/>
      <c r="LZ292" s="30"/>
      <c r="MA292" s="30"/>
      <c r="MB292" s="30"/>
      <c r="MC292" s="30"/>
      <c r="MD292" s="30"/>
      <c r="ME292" s="30"/>
      <c r="MF292" s="30"/>
      <c r="MG292" s="30"/>
      <c r="MH292" s="30"/>
      <c r="MI292" s="30"/>
      <c r="MJ292" s="30"/>
      <c r="MK292" s="30"/>
      <c r="ML292" s="30"/>
      <c r="MM292" s="30"/>
      <c r="MN292" s="30"/>
      <c r="MO292" s="30"/>
      <c r="MP292" s="30"/>
      <c r="MQ292" s="30"/>
      <c r="MR292" s="30"/>
      <c r="MS292" s="30"/>
      <c r="MT292" s="30"/>
      <c r="MU292" s="30"/>
      <c r="MV292" s="30"/>
      <c r="MW292" s="30"/>
      <c r="MX292" s="30"/>
      <c r="MY292" s="30"/>
      <c r="MZ292" s="30"/>
      <c r="NA292" s="30"/>
      <c r="NB292" s="30"/>
      <c r="NC292" s="30"/>
      <c r="ND292" s="30"/>
      <c r="NE292" s="30"/>
      <c r="NF292" s="30"/>
      <c r="NG292" s="30"/>
      <c r="NH292" s="30"/>
      <c r="NI292" s="30"/>
      <c r="NJ292" s="30"/>
      <c r="NK292" s="30"/>
      <c r="NL292" s="30"/>
      <c r="NM292" s="30"/>
      <c r="NN292" s="30"/>
      <c r="NO292" s="30"/>
      <c r="NP292" s="30"/>
      <c r="NQ292" s="30"/>
      <c r="NR292" s="30"/>
    </row>
    <row r="293" spans="1:382" s="3" customFormat="1" ht="20.100000000000001" customHeight="1" x14ac:dyDescent="0.4">
      <c r="A293" s="29">
        <v>3</v>
      </c>
      <c r="B293" s="5">
        <v>1751</v>
      </c>
      <c r="C293" s="5" t="s">
        <v>411</v>
      </c>
      <c r="D293" s="5" t="s">
        <v>414</v>
      </c>
      <c r="E293" s="5" t="s">
        <v>12</v>
      </c>
      <c r="F293" s="5" t="s">
        <v>32</v>
      </c>
      <c r="G293" s="5" t="s">
        <v>32</v>
      </c>
      <c r="H293" s="5" t="s">
        <v>32</v>
      </c>
      <c r="I293" s="8">
        <v>45951.625</v>
      </c>
      <c r="J293" s="8"/>
      <c r="K293" s="8" t="str">
        <f>IF(OR(J293="",E293=""),"",J293+IFERROR(VLOOKUP(E293,リードタイム!$A$2:$C$9,3,FALSE),0))</f>
        <v/>
      </c>
      <c r="L293" s="5" t="s">
        <v>531</v>
      </c>
      <c r="M293" s="8"/>
      <c r="N293" s="8" t="str">
        <f>IF(OR(M293="",E293=""),"",M293+IFERROR(VLOOKUP(E293,リードタイム!$A$2:$D$9,4,FALSE),0))</f>
        <v/>
      </c>
      <c r="O293" s="5" t="s">
        <v>531</v>
      </c>
      <c r="P293" s="5" t="s">
        <v>532</v>
      </c>
      <c r="Q293" s="5" t="s">
        <v>32</v>
      </c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  <c r="FS293" s="30"/>
      <c r="FT293" s="30"/>
      <c r="FU293" s="30"/>
      <c r="FV293" s="30"/>
      <c r="FW293" s="30"/>
      <c r="FX293" s="30"/>
      <c r="FY293" s="30"/>
      <c r="FZ293" s="30"/>
      <c r="GA293" s="30"/>
      <c r="GB293" s="30"/>
      <c r="GC293" s="30"/>
      <c r="GD293" s="30"/>
      <c r="GE293" s="30"/>
      <c r="GF293" s="30"/>
      <c r="GG293" s="30"/>
      <c r="GH293" s="30"/>
      <c r="GI293" s="30"/>
      <c r="GJ293" s="30"/>
      <c r="GK293" s="30"/>
      <c r="GL293" s="30"/>
      <c r="GM293" s="30"/>
      <c r="GN293" s="30"/>
      <c r="GO293" s="30"/>
      <c r="GP293" s="30"/>
      <c r="GQ293" s="30"/>
      <c r="GR293" s="30"/>
      <c r="GS293" s="30"/>
      <c r="GT293" s="30"/>
      <c r="GU293" s="30"/>
      <c r="GV293" s="30"/>
      <c r="GW293" s="30"/>
      <c r="GX293" s="30"/>
      <c r="GY293" s="30"/>
      <c r="GZ293" s="30"/>
      <c r="HA293" s="30"/>
      <c r="HB293" s="30"/>
      <c r="HC293" s="30"/>
      <c r="HD293" s="30"/>
      <c r="HE293" s="30"/>
      <c r="HF293" s="30"/>
      <c r="HG293" s="30"/>
      <c r="HH293" s="30"/>
      <c r="HI293" s="30"/>
      <c r="HJ293" s="30"/>
      <c r="HK293" s="30"/>
      <c r="HL293" s="30"/>
      <c r="HM293" s="30"/>
      <c r="HN293" s="30"/>
      <c r="HO293" s="30"/>
      <c r="HP293" s="30"/>
      <c r="HQ293" s="30"/>
      <c r="HR293" s="30"/>
      <c r="HS293" s="30"/>
      <c r="HT293" s="30"/>
      <c r="HU293" s="30"/>
      <c r="HV293" s="30"/>
      <c r="HW293" s="30"/>
      <c r="HX293" s="30"/>
      <c r="HY293" s="30"/>
      <c r="HZ293" s="30"/>
      <c r="IA293" s="30"/>
      <c r="IB293" s="30"/>
      <c r="IC293" s="30"/>
      <c r="ID293" s="30"/>
      <c r="IE293" s="30"/>
      <c r="IF293" s="30"/>
      <c r="IG293" s="30"/>
      <c r="IH293" s="30"/>
      <c r="II293" s="30"/>
      <c r="IJ293" s="30"/>
      <c r="IK293" s="30"/>
      <c r="IL293" s="30"/>
      <c r="IM293" s="30"/>
      <c r="IN293" s="30"/>
      <c r="IO293" s="30"/>
      <c r="IP293" s="30"/>
      <c r="IQ293" s="30"/>
      <c r="IR293" s="30"/>
      <c r="IS293" s="30"/>
      <c r="IT293" s="30"/>
      <c r="IU293" s="30"/>
      <c r="IV293" s="30"/>
      <c r="IW293" s="30"/>
      <c r="IX293" s="30"/>
      <c r="IY293" s="30"/>
      <c r="IZ293" s="30"/>
      <c r="JA293" s="30"/>
      <c r="JB293" s="30"/>
      <c r="JC293" s="30"/>
      <c r="JD293" s="30"/>
      <c r="JE293" s="30"/>
      <c r="JF293" s="30"/>
      <c r="JG293" s="30"/>
      <c r="JH293" s="30"/>
      <c r="JI293" s="30"/>
      <c r="JJ293" s="30"/>
      <c r="JK293" s="30"/>
      <c r="JL293" s="30"/>
      <c r="JM293" s="30"/>
      <c r="JN293" s="30"/>
      <c r="JO293" s="30"/>
      <c r="JP293" s="30"/>
      <c r="JQ293" s="30"/>
      <c r="JR293" s="30"/>
      <c r="JS293" s="30"/>
      <c r="JT293" s="30"/>
      <c r="JU293" s="30"/>
      <c r="JV293" s="30"/>
      <c r="JW293" s="30"/>
      <c r="JX293" s="30"/>
      <c r="JY293" s="30"/>
      <c r="JZ293" s="30"/>
      <c r="KA293" s="30"/>
      <c r="KB293" s="30"/>
      <c r="KC293" s="30"/>
      <c r="KD293" s="30"/>
      <c r="KE293" s="30"/>
      <c r="KF293" s="30"/>
      <c r="KG293" s="30"/>
      <c r="KH293" s="30"/>
      <c r="KI293" s="30"/>
      <c r="KJ293" s="30"/>
      <c r="KK293" s="30"/>
      <c r="KL293" s="30"/>
      <c r="KM293" s="30"/>
      <c r="KN293" s="30"/>
      <c r="KO293" s="30"/>
      <c r="KP293" s="30"/>
      <c r="KQ293" s="30"/>
      <c r="KR293" s="30"/>
      <c r="KS293" s="30"/>
      <c r="KT293" s="30"/>
      <c r="KU293" s="30"/>
      <c r="KV293" s="30"/>
      <c r="KW293" s="30"/>
      <c r="KX293" s="30"/>
      <c r="KY293" s="30"/>
      <c r="KZ293" s="30"/>
      <c r="LA293" s="30"/>
      <c r="LB293" s="30"/>
      <c r="LC293" s="30"/>
      <c r="LD293" s="30"/>
      <c r="LE293" s="30"/>
      <c r="LF293" s="30"/>
      <c r="LG293" s="30"/>
      <c r="LH293" s="30"/>
      <c r="LI293" s="30"/>
      <c r="LJ293" s="30"/>
      <c r="LK293" s="30"/>
      <c r="LL293" s="30"/>
      <c r="LM293" s="30"/>
      <c r="LN293" s="30"/>
      <c r="LO293" s="30"/>
      <c r="LP293" s="30"/>
      <c r="LQ293" s="30"/>
      <c r="LR293" s="30"/>
      <c r="LS293" s="30"/>
      <c r="LT293" s="30"/>
      <c r="LU293" s="30"/>
      <c r="LV293" s="30"/>
      <c r="LW293" s="30"/>
      <c r="LX293" s="30"/>
      <c r="LY293" s="30"/>
      <c r="LZ293" s="30"/>
      <c r="MA293" s="30"/>
      <c r="MB293" s="30"/>
      <c r="MC293" s="30"/>
      <c r="MD293" s="30"/>
      <c r="ME293" s="30"/>
      <c r="MF293" s="30"/>
      <c r="MG293" s="30"/>
      <c r="MH293" s="30"/>
      <c r="MI293" s="30"/>
      <c r="MJ293" s="30"/>
      <c r="MK293" s="30"/>
      <c r="ML293" s="30"/>
      <c r="MM293" s="30"/>
      <c r="MN293" s="30"/>
      <c r="MO293" s="30"/>
      <c r="MP293" s="30"/>
      <c r="MQ293" s="30"/>
      <c r="MR293" s="30"/>
      <c r="MS293" s="30"/>
      <c r="MT293" s="30"/>
      <c r="MU293" s="30"/>
      <c r="MV293" s="30"/>
      <c r="MW293" s="30"/>
      <c r="MX293" s="30"/>
      <c r="MY293" s="30"/>
      <c r="MZ293" s="30"/>
      <c r="NA293" s="30"/>
      <c r="NB293" s="30"/>
      <c r="NC293" s="30"/>
      <c r="ND293" s="30"/>
      <c r="NE293" s="30"/>
      <c r="NF293" s="30"/>
      <c r="NG293" s="30"/>
      <c r="NH293" s="30"/>
      <c r="NI293" s="30"/>
      <c r="NJ293" s="30"/>
      <c r="NK293" s="30"/>
      <c r="NL293" s="30"/>
      <c r="NM293" s="30"/>
      <c r="NN293" s="30"/>
      <c r="NO293" s="30"/>
      <c r="NP293" s="30"/>
      <c r="NQ293" s="30"/>
      <c r="NR293" s="30"/>
    </row>
    <row r="294" spans="1:382" s="3" customFormat="1" ht="20.100000000000001" customHeight="1" x14ac:dyDescent="0.4">
      <c r="A294" s="29">
        <v>4</v>
      </c>
      <c r="B294" s="5">
        <v>1876</v>
      </c>
      <c r="C294" s="5" t="s">
        <v>411</v>
      </c>
      <c r="D294" s="5" t="s">
        <v>130</v>
      </c>
      <c r="E294" s="5" t="s">
        <v>4</v>
      </c>
      <c r="F294" s="5" t="s">
        <v>32</v>
      </c>
      <c r="G294" s="5" t="s">
        <v>32</v>
      </c>
      <c r="H294" s="5" t="s">
        <v>32</v>
      </c>
      <c r="I294" s="8">
        <v>46000.625</v>
      </c>
      <c r="J294" s="8"/>
      <c r="K294" s="8" t="str">
        <f>IF(OR(J294="",E294=""),"",J294+IFERROR(VLOOKUP(E294,リードタイム!$A$2:$C$9,3,FALSE),0))</f>
        <v/>
      </c>
      <c r="L294" s="5" t="s">
        <v>531</v>
      </c>
      <c r="M294" s="8"/>
      <c r="N294" s="8" t="str">
        <f>IF(OR(M294="",E294=""),"",M294+IFERROR(VLOOKUP(E294,リードタイム!$A$2:$D$9,4,FALSE),0))</f>
        <v/>
      </c>
      <c r="O294" s="5" t="s">
        <v>531</v>
      </c>
      <c r="P294" s="5" t="s">
        <v>533</v>
      </c>
      <c r="Q294" s="5" t="s">
        <v>400</v>
      </c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  <c r="FS294" s="30"/>
      <c r="FT294" s="30"/>
      <c r="FU294" s="30"/>
      <c r="FV294" s="30"/>
      <c r="FW294" s="30"/>
      <c r="FX294" s="30"/>
      <c r="FY294" s="30"/>
      <c r="FZ294" s="30"/>
      <c r="GA294" s="30"/>
      <c r="GB294" s="30"/>
      <c r="GC294" s="30"/>
      <c r="GD294" s="30"/>
      <c r="GE294" s="30"/>
      <c r="GF294" s="30"/>
      <c r="GG294" s="30"/>
      <c r="GH294" s="30"/>
      <c r="GI294" s="30"/>
      <c r="GJ294" s="30"/>
      <c r="GK294" s="30"/>
      <c r="GL294" s="30"/>
      <c r="GM294" s="30"/>
      <c r="GN294" s="30"/>
      <c r="GO294" s="30"/>
      <c r="GP294" s="30"/>
      <c r="GQ294" s="30"/>
      <c r="GR294" s="30"/>
      <c r="GS294" s="30"/>
      <c r="GT294" s="30"/>
      <c r="GU294" s="30"/>
      <c r="GV294" s="30"/>
      <c r="GW294" s="30"/>
      <c r="GX294" s="30"/>
      <c r="GY294" s="30"/>
      <c r="GZ294" s="30"/>
      <c r="HA294" s="30"/>
      <c r="HB294" s="30"/>
      <c r="HC294" s="30"/>
      <c r="HD294" s="30"/>
      <c r="HE294" s="30"/>
      <c r="HF294" s="30"/>
      <c r="HG294" s="30"/>
      <c r="HH294" s="30"/>
      <c r="HI294" s="30"/>
      <c r="HJ294" s="30"/>
      <c r="HK294" s="30"/>
      <c r="HL294" s="30"/>
      <c r="HM294" s="30"/>
      <c r="HN294" s="30"/>
      <c r="HO294" s="30"/>
      <c r="HP294" s="30"/>
      <c r="HQ294" s="30"/>
      <c r="HR294" s="30"/>
      <c r="HS294" s="30"/>
      <c r="HT294" s="30"/>
      <c r="HU294" s="30"/>
      <c r="HV294" s="30"/>
      <c r="HW294" s="30"/>
      <c r="HX294" s="30"/>
      <c r="HY294" s="30"/>
      <c r="HZ294" s="30"/>
      <c r="IA294" s="30"/>
      <c r="IB294" s="30"/>
      <c r="IC294" s="30"/>
      <c r="ID294" s="30"/>
      <c r="IE294" s="30"/>
      <c r="IF294" s="30"/>
      <c r="IG294" s="30"/>
      <c r="IH294" s="30"/>
      <c r="II294" s="30"/>
      <c r="IJ294" s="30"/>
      <c r="IK294" s="30"/>
      <c r="IL294" s="30"/>
      <c r="IM294" s="30"/>
      <c r="IN294" s="30"/>
      <c r="IO294" s="30"/>
      <c r="IP294" s="30"/>
      <c r="IQ294" s="30"/>
      <c r="IR294" s="30"/>
      <c r="IS294" s="30"/>
      <c r="IT294" s="30"/>
      <c r="IU294" s="30"/>
      <c r="IV294" s="30"/>
      <c r="IW294" s="30"/>
      <c r="IX294" s="30"/>
      <c r="IY294" s="30"/>
      <c r="IZ294" s="30"/>
      <c r="JA294" s="30"/>
      <c r="JB294" s="30"/>
      <c r="JC294" s="30"/>
      <c r="JD294" s="30"/>
      <c r="JE294" s="30"/>
      <c r="JF294" s="30"/>
      <c r="JG294" s="30"/>
      <c r="JH294" s="30"/>
      <c r="JI294" s="30"/>
      <c r="JJ294" s="30"/>
      <c r="JK294" s="30"/>
      <c r="JL294" s="30"/>
      <c r="JM294" s="30"/>
      <c r="JN294" s="30"/>
      <c r="JO294" s="30"/>
      <c r="JP294" s="30"/>
      <c r="JQ294" s="30"/>
      <c r="JR294" s="30"/>
      <c r="JS294" s="30"/>
      <c r="JT294" s="30"/>
      <c r="JU294" s="30"/>
      <c r="JV294" s="30"/>
      <c r="JW294" s="30"/>
      <c r="JX294" s="30"/>
      <c r="JY294" s="30"/>
      <c r="JZ294" s="30"/>
      <c r="KA294" s="30"/>
      <c r="KB294" s="30"/>
      <c r="KC294" s="30"/>
      <c r="KD294" s="30"/>
      <c r="KE294" s="30"/>
      <c r="KF294" s="30"/>
      <c r="KG294" s="30"/>
      <c r="KH294" s="30"/>
      <c r="KI294" s="30"/>
      <c r="KJ294" s="30"/>
      <c r="KK294" s="30"/>
      <c r="KL294" s="30"/>
      <c r="KM294" s="30"/>
      <c r="KN294" s="30"/>
      <c r="KO294" s="30"/>
      <c r="KP294" s="30"/>
      <c r="KQ294" s="30"/>
      <c r="KR294" s="30"/>
      <c r="KS294" s="30"/>
      <c r="KT294" s="30"/>
      <c r="KU294" s="30"/>
      <c r="KV294" s="30"/>
      <c r="KW294" s="30"/>
      <c r="KX294" s="30"/>
      <c r="KY294" s="30"/>
      <c r="KZ294" s="30"/>
      <c r="LA294" s="30"/>
      <c r="LB294" s="30"/>
      <c r="LC294" s="30"/>
      <c r="LD294" s="30"/>
      <c r="LE294" s="30"/>
      <c r="LF294" s="30"/>
      <c r="LG294" s="30"/>
      <c r="LH294" s="30"/>
      <c r="LI294" s="30"/>
      <c r="LJ294" s="30"/>
      <c r="LK294" s="30"/>
      <c r="LL294" s="30"/>
      <c r="LM294" s="30"/>
      <c r="LN294" s="30"/>
      <c r="LO294" s="30"/>
      <c r="LP294" s="30"/>
      <c r="LQ294" s="30"/>
      <c r="LR294" s="30"/>
      <c r="LS294" s="30"/>
      <c r="LT294" s="30"/>
      <c r="LU294" s="30"/>
      <c r="LV294" s="30"/>
      <c r="LW294" s="30"/>
      <c r="LX294" s="30"/>
      <c r="LY294" s="30"/>
      <c r="LZ294" s="30"/>
      <c r="MA294" s="30"/>
      <c r="MB294" s="30"/>
      <c r="MC294" s="30"/>
      <c r="MD294" s="30"/>
      <c r="ME294" s="30"/>
      <c r="MF294" s="30"/>
      <c r="MG294" s="30"/>
      <c r="MH294" s="30"/>
      <c r="MI294" s="30"/>
      <c r="MJ294" s="30"/>
      <c r="MK294" s="30"/>
      <c r="ML294" s="30"/>
      <c r="MM294" s="30"/>
      <c r="MN294" s="30"/>
      <c r="MO294" s="30"/>
      <c r="MP294" s="30"/>
      <c r="MQ294" s="30"/>
      <c r="MR294" s="30"/>
      <c r="MS294" s="30"/>
      <c r="MT294" s="30"/>
      <c r="MU294" s="30"/>
      <c r="MV294" s="30"/>
      <c r="MW294" s="30"/>
      <c r="MX294" s="30"/>
      <c r="MY294" s="30"/>
      <c r="MZ294" s="30"/>
      <c r="NA294" s="30"/>
      <c r="NB294" s="30"/>
      <c r="NC294" s="30"/>
      <c r="ND294" s="30"/>
      <c r="NE294" s="30"/>
      <c r="NF294" s="30"/>
      <c r="NG294" s="30"/>
      <c r="NH294" s="30"/>
      <c r="NI294" s="30"/>
      <c r="NJ294" s="30"/>
      <c r="NK294" s="30"/>
      <c r="NL294" s="30"/>
      <c r="NM294" s="30"/>
      <c r="NN294" s="30"/>
      <c r="NO294" s="30"/>
      <c r="NP294" s="30"/>
      <c r="NQ294" s="30"/>
      <c r="NR294" s="30"/>
    </row>
    <row r="295" spans="1:382" s="3" customFormat="1" ht="20.100000000000001" customHeight="1" x14ac:dyDescent="0.4">
      <c r="A295" s="29">
        <v>5</v>
      </c>
      <c r="B295" s="5">
        <v>1876</v>
      </c>
      <c r="C295" s="5" t="s">
        <v>411</v>
      </c>
      <c r="D295" s="5" t="s">
        <v>66</v>
      </c>
      <c r="E295" s="5" t="s">
        <v>4</v>
      </c>
      <c r="F295" s="5" t="s">
        <v>32</v>
      </c>
      <c r="G295" s="5" t="s">
        <v>32</v>
      </c>
      <c r="H295" s="5" t="s">
        <v>32</v>
      </c>
      <c r="I295" s="8">
        <v>46040.625</v>
      </c>
      <c r="J295" s="8"/>
      <c r="K295" s="8" t="str">
        <f>IF(OR(J295="",E295=""),"",J295+IFERROR(VLOOKUP(E295,リードタイム!$A$2:$C$9,3,FALSE),0))</f>
        <v/>
      </c>
      <c r="L295" s="5" t="s">
        <v>531</v>
      </c>
      <c r="M295" s="8"/>
      <c r="N295" s="8" t="str">
        <f>IF(OR(M295="",E295=""),"",M295+IFERROR(VLOOKUP(E295,リードタイム!$A$2:$D$9,4,FALSE),0))</f>
        <v/>
      </c>
      <c r="O295" s="5" t="s">
        <v>531</v>
      </c>
      <c r="P295" s="5" t="s">
        <v>532</v>
      </c>
      <c r="Q295" s="5" t="s">
        <v>401</v>
      </c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  <c r="FS295" s="30"/>
      <c r="FT295" s="30"/>
      <c r="FU295" s="30"/>
      <c r="FV295" s="30"/>
      <c r="FW295" s="30"/>
      <c r="FX295" s="30"/>
      <c r="FY295" s="30"/>
      <c r="FZ295" s="30"/>
      <c r="GA295" s="30"/>
      <c r="GB295" s="30"/>
      <c r="GC295" s="30"/>
      <c r="GD295" s="30"/>
      <c r="GE295" s="30"/>
      <c r="GF295" s="30"/>
      <c r="GG295" s="30"/>
      <c r="GH295" s="30"/>
      <c r="GI295" s="30"/>
      <c r="GJ295" s="30"/>
      <c r="GK295" s="30"/>
      <c r="GL295" s="30"/>
      <c r="GM295" s="30"/>
      <c r="GN295" s="30"/>
      <c r="GO295" s="30"/>
      <c r="GP295" s="30"/>
      <c r="GQ295" s="30"/>
      <c r="GR295" s="30"/>
      <c r="GS295" s="30"/>
      <c r="GT295" s="30"/>
      <c r="GU295" s="30"/>
      <c r="GV295" s="30"/>
      <c r="GW295" s="30"/>
      <c r="GX295" s="30"/>
      <c r="GY295" s="30"/>
      <c r="GZ295" s="30"/>
      <c r="HA295" s="30"/>
      <c r="HB295" s="30"/>
      <c r="HC295" s="30"/>
      <c r="HD295" s="30"/>
      <c r="HE295" s="30"/>
      <c r="HF295" s="30"/>
      <c r="HG295" s="30"/>
      <c r="HH295" s="30"/>
      <c r="HI295" s="30"/>
      <c r="HJ295" s="30"/>
      <c r="HK295" s="30"/>
      <c r="HL295" s="30"/>
      <c r="HM295" s="30"/>
      <c r="HN295" s="30"/>
      <c r="HO295" s="30"/>
      <c r="HP295" s="30"/>
      <c r="HQ295" s="30"/>
      <c r="HR295" s="30"/>
      <c r="HS295" s="30"/>
      <c r="HT295" s="30"/>
      <c r="HU295" s="30"/>
      <c r="HV295" s="30"/>
      <c r="HW295" s="30"/>
      <c r="HX295" s="30"/>
      <c r="HY295" s="30"/>
      <c r="HZ295" s="30"/>
      <c r="IA295" s="30"/>
      <c r="IB295" s="30"/>
      <c r="IC295" s="30"/>
      <c r="ID295" s="30"/>
      <c r="IE295" s="30"/>
      <c r="IF295" s="30"/>
      <c r="IG295" s="30"/>
      <c r="IH295" s="30"/>
      <c r="II295" s="30"/>
      <c r="IJ295" s="30"/>
      <c r="IK295" s="30"/>
      <c r="IL295" s="30"/>
      <c r="IM295" s="30"/>
      <c r="IN295" s="30"/>
      <c r="IO295" s="30"/>
      <c r="IP295" s="30"/>
      <c r="IQ295" s="30"/>
      <c r="IR295" s="30"/>
      <c r="IS295" s="30"/>
      <c r="IT295" s="30"/>
      <c r="IU295" s="30"/>
      <c r="IV295" s="30"/>
      <c r="IW295" s="30"/>
      <c r="IX295" s="30"/>
      <c r="IY295" s="30"/>
      <c r="IZ295" s="30"/>
      <c r="JA295" s="30"/>
      <c r="JB295" s="30"/>
      <c r="JC295" s="30"/>
      <c r="JD295" s="30"/>
      <c r="JE295" s="30"/>
      <c r="JF295" s="30"/>
      <c r="JG295" s="30"/>
      <c r="JH295" s="30"/>
      <c r="JI295" s="30"/>
      <c r="JJ295" s="30"/>
      <c r="JK295" s="30"/>
      <c r="JL295" s="30"/>
      <c r="JM295" s="30"/>
      <c r="JN295" s="30"/>
      <c r="JO295" s="30"/>
      <c r="JP295" s="30"/>
      <c r="JQ295" s="30"/>
      <c r="JR295" s="30"/>
      <c r="JS295" s="30"/>
      <c r="JT295" s="30"/>
      <c r="JU295" s="30"/>
      <c r="JV295" s="30"/>
      <c r="JW295" s="30"/>
      <c r="JX295" s="30"/>
      <c r="JY295" s="30"/>
      <c r="JZ295" s="30"/>
      <c r="KA295" s="30"/>
      <c r="KB295" s="30"/>
      <c r="KC295" s="30"/>
      <c r="KD295" s="30"/>
      <c r="KE295" s="30"/>
      <c r="KF295" s="30"/>
      <c r="KG295" s="30"/>
      <c r="KH295" s="30"/>
      <c r="KI295" s="30"/>
      <c r="KJ295" s="30"/>
      <c r="KK295" s="30"/>
      <c r="KL295" s="30"/>
      <c r="KM295" s="30"/>
      <c r="KN295" s="30"/>
      <c r="KO295" s="30"/>
      <c r="KP295" s="30"/>
      <c r="KQ295" s="30"/>
      <c r="KR295" s="30"/>
      <c r="KS295" s="30"/>
      <c r="KT295" s="30"/>
      <c r="KU295" s="30"/>
      <c r="KV295" s="30"/>
      <c r="KW295" s="30"/>
      <c r="KX295" s="30"/>
      <c r="KY295" s="30"/>
      <c r="KZ295" s="30"/>
      <c r="LA295" s="30"/>
      <c r="LB295" s="30"/>
      <c r="LC295" s="30"/>
      <c r="LD295" s="30"/>
      <c r="LE295" s="30"/>
      <c r="LF295" s="30"/>
      <c r="LG295" s="30"/>
      <c r="LH295" s="30"/>
      <c r="LI295" s="30"/>
      <c r="LJ295" s="30"/>
      <c r="LK295" s="30"/>
      <c r="LL295" s="30"/>
      <c r="LM295" s="30"/>
      <c r="LN295" s="30"/>
      <c r="LO295" s="30"/>
      <c r="LP295" s="30"/>
      <c r="LQ295" s="30"/>
      <c r="LR295" s="30"/>
      <c r="LS295" s="30"/>
      <c r="LT295" s="30"/>
      <c r="LU295" s="30"/>
      <c r="LV295" s="30"/>
      <c r="LW295" s="30"/>
      <c r="LX295" s="30"/>
      <c r="LY295" s="30"/>
      <c r="LZ295" s="30"/>
      <c r="MA295" s="30"/>
      <c r="MB295" s="30"/>
      <c r="MC295" s="30"/>
      <c r="MD295" s="30"/>
      <c r="ME295" s="30"/>
      <c r="MF295" s="30"/>
      <c r="MG295" s="30"/>
      <c r="MH295" s="30"/>
      <c r="MI295" s="30"/>
      <c r="MJ295" s="30"/>
      <c r="MK295" s="30"/>
      <c r="ML295" s="30"/>
      <c r="MM295" s="30"/>
      <c r="MN295" s="30"/>
      <c r="MO295" s="30"/>
      <c r="MP295" s="30"/>
      <c r="MQ295" s="30"/>
      <c r="MR295" s="30"/>
      <c r="MS295" s="30"/>
      <c r="MT295" s="30"/>
      <c r="MU295" s="30"/>
      <c r="MV295" s="30"/>
      <c r="MW295" s="30"/>
      <c r="MX295" s="30"/>
      <c r="MY295" s="30"/>
      <c r="MZ295" s="30"/>
      <c r="NA295" s="30"/>
      <c r="NB295" s="30"/>
      <c r="NC295" s="30"/>
      <c r="ND295" s="30"/>
      <c r="NE295" s="30"/>
      <c r="NF295" s="30"/>
      <c r="NG295" s="30"/>
      <c r="NH295" s="30"/>
      <c r="NI295" s="30"/>
      <c r="NJ295" s="30"/>
      <c r="NK295" s="30"/>
      <c r="NL295" s="30"/>
      <c r="NM295" s="30"/>
      <c r="NN295" s="30"/>
      <c r="NO295" s="30"/>
      <c r="NP295" s="30"/>
      <c r="NQ295" s="30"/>
      <c r="NR295" s="30"/>
    </row>
    <row r="296" spans="1:382" s="3" customFormat="1" ht="20.100000000000001" customHeight="1" x14ac:dyDescent="0.4">
      <c r="A296" s="29">
        <v>6</v>
      </c>
      <c r="B296" s="5">
        <v>1</v>
      </c>
      <c r="C296" s="5" t="s">
        <v>411</v>
      </c>
      <c r="D296" s="5" t="s">
        <v>50</v>
      </c>
      <c r="E296" s="5" t="s">
        <v>4</v>
      </c>
      <c r="F296" s="5" t="s">
        <v>32</v>
      </c>
      <c r="G296" s="5" t="s">
        <v>32</v>
      </c>
      <c r="H296" s="5" t="s">
        <v>32</v>
      </c>
      <c r="I296" s="8"/>
      <c r="J296" s="8"/>
      <c r="K296" s="8" t="str">
        <f>IF(OR(J296="",E296=""),"",J296+IFERROR(VLOOKUP(E296,リードタイム!$A$2:$C$9,3,FALSE),0))</f>
        <v/>
      </c>
      <c r="L296" s="5" t="s">
        <v>530</v>
      </c>
      <c r="M296" s="8"/>
      <c r="N296" s="8" t="str">
        <f>IF(OR(M296="",E296=""),"",M296+IFERROR(VLOOKUP(E296,リードタイム!$A$2:$D$9,4,FALSE),0))</f>
        <v/>
      </c>
      <c r="O296" s="5" t="s">
        <v>530</v>
      </c>
      <c r="P296" s="5" t="s">
        <v>530</v>
      </c>
      <c r="Q296" s="5" t="s">
        <v>415</v>
      </c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  <c r="FS296" s="30"/>
      <c r="FT296" s="30"/>
      <c r="FU296" s="30"/>
      <c r="FV296" s="30"/>
      <c r="FW296" s="30"/>
      <c r="FX296" s="30"/>
      <c r="FY296" s="30"/>
      <c r="FZ296" s="30"/>
      <c r="GA296" s="30"/>
      <c r="GB296" s="30"/>
      <c r="GC296" s="30"/>
      <c r="GD296" s="30"/>
      <c r="GE296" s="30"/>
      <c r="GF296" s="30"/>
      <c r="GG296" s="30"/>
      <c r="GH296" s="30"/>
      <c r="GI296" s="30"/>
      <c r="GJ296" s="30"/>
      <c r="GK296" s="30"/>
      <c r="GL296" s="30"/>
      <c r="GM296" s="30"/>
      <c r="GN296" s="30"/>
      <c r="GO296" s="30"/>
      <c r="GP296" s="30"/>
      <c r="GQ296" s="30"/>
      <c r="GR296" s="30"/>
      <c r="GS296" s="30"/>
      <c r="GT296" s="30"/>
      <c r="GU296" s="30"/>
      <c r="GV296" s="30"/>
      <c r="GW296" s="30"/>
      <c r="GX296" s="30"/>
      <c r="GY296" s="30"/>
      <c r="GZ296" s="30"/>
      <c r="HA296" s="30"/>
      <c r="HB296" s="30"/>
      <c r="HC296" s="30"/>
      <c r="HD296" s="30"/>
      <c r="HE296" s="30"/>
      <c r="HF296" s="30"/>
      <c r="HG296" s="30"/>
      <c r="HH296" s="30"/>
      <c r="HI296" s="30"/>
      <c r="HJ296" s="30"/>
      <c r="HK296" s="30"/>
      <c r="HL296" s="30"/>
      <c r="HM296" s="30"/>
      <c r="HN296" s="30"/>
      <c r="HO296" s="30"/>
      <c r="HP296" s="30"/>
      <c r="HQ296" s="30"/>
      <c r="HR296" s="30"/>
      <c r="HS296" s="30"/>
      <c r="HT296" s="30"/>
      <c r="HU296" s="30"/>
      <c r="HV296" s="30"/>
      <c r="HW296" s="30"/>
      <c r="HX296" s="30"/>
      <c r="HY296" s="30"/>
      <c r="HZ296" s="30"/>
      <c r="IA296" s="30"/>
      <c r="IB296" s="30"/>
      <c r="IC296" s="30"/>
      <c r="ID296" s="30"/>
      <c r="IE296" s="30"/>
      <c r="IF296" s="30"/>
      <c r="IG296" s="30"/>
      <c r="IH296" s="30"/>
      <c r="II296" s="30"/>
      <c r="IJ296" s="30"/>
      <c r="IK296" s="30"/>
      <c r="IL296" s="30"/>
      <c r="IM296" s="30"/>
      <c r="IN296" s="30"/>
      <c r="IO296" s="30"/>
      <c r="IP296" s="30"/>
      <c r="IQ296" s="30"/>
      <c r="IR296" s="30"/>
      <c r="IS296" s="30"/>
      <c r="IT296" s="30"/>
      <c r="IU296" s="30"/>
      <c r="IV296" s="30"/>
      <c r="IW296" s="30"/>
      <c r="IX296" s="30"/>
      <c r="IY296" s="30"/>
      <c r="IZ296" s="30"/>
      <c r="JA296" s="30"/>
      <c r="JB296" s="30"/>
      <c r="JC296" s="30"/>
      <c r="JD296" s="30"/>
      <c r="JE296" s="30"/>
      <c r="JF296" s="30"/>
      <c r="JG296" s="30"/>
      <c r="JH296" s="30"/>
      <c r="JI296" s="30"/>
      <c r="JJ296" s="30"/>
      <c r="JK296" s="30"/>
      <c r="JL296" s="30"/>
      <c r="JM296" s="30"/>
      <c r="JN296" s="30"/>
      <c r="JO296" s="30"/>
      <c r="JP296" s="30"/>
      <c r="JQ296" s="30"/>
      <c r="JR296" s="30"/>
      <c r="JS296" s="30"/>
      <c r="JT296" s="30"/>
      <c r="JU296" s="30"/>
      <c r="JV296" s="30"/>
      <c r="JW296" s="30"/>
      <c r="JX296" s="30"/>
      <c r="JY296" s="30"/>
      <c r="JZ296" s="30"/>
      <c r="KA296" s="30"/>
      <c r="KB296" s="30"/>
      <c r="KC296" s="30"/>
      <c r="KD296" s="30"/>
      <c r="KE296" s="30"/>
      <c r="KF296" s="30"/>
      <c r="KG296" s="30"/>
      <c r="KH296" s="30"/>
      <c r="KI296" s="30"/>
      <c r="KJ296" s="30"/>
      <c r="KK296" s="30"/>
      <c r="KL296" s="30"/>
      <c r="KM296" s="30"/>
      <c r="KN296" s="30"/>
      <c r="KO296" s="30"/>
      <c r="KP296" s="30"/>
      <c r="KQ296" s="30"/>
      <c r="KR296" s="30"/>
      <c r="KS296" s="30"/>
      <c r="KT296" s="30"/>
      <c r="KU296" s="30"/>
      <c r="KV296" s="30"/>
      <c r="KW296" s="30"/>
      <c r="KX296" s="30"/>
      <c r="KY296" s="30"/>
      <c r="KZ296" s="30"/>
      <c r="LA296" s="30"/>
      <c r="LB296" s="30"/>
      <c r="LC296" s="30"/>
      <c r="LD296" s="30"/>
      <c r="LE296" s="30"/>
      <c r="LF296" s="30"/>
      <c r="LG296" s="30"/>
      <c r="LH296" s="30"/>
      <c r="LI296" s="30"/>
      <c r="LJ296" s="30"/>
      <c r="LK296" s="30"/>
      <c r="LL296" s="30"/>
      <c r="LM296" s="30"/>
      <c r="LN296" s="30"/>
      <c r="LO296" s="30"/>
      <c r="LP296" s="30"/>
      <c r="LQ296" s="30"/>
      <c r="LR296" s="30"/>
      <c r="LS296" s="30"/>
      <c r="LT296" s="30"/>
      <c r="LU296" s="30"/>
      <c r="LV296" s="30"/>
      <c r="LW296" s="30"/>
      <c r="LX296" s="30"/>
      <c r="LY296" s="30"/>
      <c r="LZ296" s="30"/>
      <c r="MA296" s="30"/>
      <c r="MB296" s="30"/>
      <c r="MC296" s="30"/>
      <c r="MD296" s="30"/>
      <c r="ME296" s="30"/>
      <c r="MF296" s="30"/>
      <c r="MG296" s="30"/>
      <c r="MH296" s="30"/>
      <c r="MI296" s="30"/>
      <c r="MJ296" s="30"/>
      <c r="MK296" s="30"/>
      <c r="ML296" s="30"/>
      <c r="MM296" s="30"/>
      <c r="MN296" s="30"/>
      <c r="MO296" s="30"/>
      <c r="MP296" s="30"/>
      <c r="MQ296" s="30"/>
      <c r="MR296" s="30"/>
      <c r="MS296" s="30"/>
      <c r="MT296" s="30"/>
      <c r="MU296" s="30"/>
      <c r="MV296" s="30"/>
      <c r="MW296" s="30"/>
      <c r="MX296" s="30"/>
      <c r="MY296" s="30"/>
      <c r="MZ296" s="30"/>
      <c r="NA296" s="30"/>
      <c r="NB296" s="30"/>
      <c r="NC296" s="30"/>
      <c r="ND296" s="30"/>
      <c r="NE296" s="30"/>
      <c r="NF296" s="30"/>
      <c r="NG296" s="30"/>
      <c r="NH296" s="30"/>
      <c r="NI296" s="30"/>
      <c r="NJ296" s="30"/>
      <c r="NK296" s="30"/>
      <c r="NL296" s="30"/>
      <c r="NM296" s="30"/>
      <c r="NN296" s="30"/>
      <c r="NO296" s="30"/>
      <c r="NP296" s="30"/>
      <c r="NQ296" s="30"/>
      <c r="NR296" s="30"/>
    </row>
    <row r="297" spans="1:382" s="3" customFormat="1" ht="20.100000000000001" customHeight="1" x14ac:dyDescent="0.4">
      <c r="A297" s="29">
        <v>7</v>
      </c>
      <c r="B297" s="5">
        <v>1751</v>
      </c>
      <c r="C297" s="5" t="s">
        <v>411</v>
      </c>
      <c r="D297" s="5" t="s">
        <v>414</v>
      </c>
      <c r="E297" s="5" t="s">
        <v>12</v>
      </c>
      <c r="F297" s="5" t="s">
        <v>32</v>
      </c>
      <c r="G297" s="5" t="s">
        <v>32</v>
      </c>
      <c r="H297" s="5" t="s">
        <v>32</v>
      </c>
      <c r="I297" s="8">
        <v>46095.625</v>
      </c>
      <c r="J297" s="8"/>
      <c r="K297" s="8" t="str">
        <f>IF(OR(J297="",E297=""),"",J297+IFERROR(VLOOKUP(E297,リードタイム!$A$2:$C$9,3,FALSE),0))</f>
        <v/>
      </c>
      <c r="L297" s="5" t="s">
        <v>531</v>
      </c>
      <c r="M297" s="8"/>
      <c r="N297" s="8" t="str">
        <f>IF(OR(M297="",E297=""),"",M297+IFERROR(VLOOKUP(E297,リードタイム!$A$2:$D$9,4,FALSE),0))</f>
        <v/>
      </c>
      <c r="O297" s="5" t="s">
        <v>531</v>
      </c>
      <c r="P297" s="5" t="s">
        <v>532</v>
      </c>
      <c r="Q297" s="5" t="s">
        <v>416</v>
      </c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  <c r="FS297" s="30"/>
      <c r="FT297" s="30"/>
      <c r="FU297" s="30"/>
      <c r="FV297" s="30"/>
      <c r="FW297" s="30"/>
      <c r="FX297" s="30"/>
      <c r="FY297" s="30"/>
      <c r="FZ297" s="30"/>
      <c r="GA297" s="30"/>
      <c r="GB297" s="30"/>
      <c r="GC297" s="30"/>
      <c r="GD297" s="30"/>
      <c r="GE297" s="30"/>
      <c r="GF297" s="30"/>
      <c r="GG297" s="30"/>
      <c r="GH297" s="30"/>
      <c r="GI297" s="30"/>
      <c r="GJ297" s="30"/>
      <c r="GK297" s="30"/>
      <c r="GL297" s="30"/>
      <c r="GM297" s="30"/>
      <c r="GN297" s="30"/>
      <c r="GO297" s="30"/>
      <c r="GP297" s="30"/>
      <c r="GQ297" s="30"/>
      <c r="GR297" s="30"/>
      <c r="GS297" s="30"/>
      <c r="GT297" s="30"/>
      <c r="GU297" s="30"/>
      <c r="GV297" s="30"/>
      <c r="GW297" s="30"/>
      <c r="GX297" s="30"/>
      <c r="GY297" s="30"/>
      <c r="GZ297" s="30"/>
      <c r="HA297" s="30"/>
      <c r="HB297" s="30"/>
      <c r="HC297" s="30"/>
      <c r="HD297" s="30"/>
      <c r="HE297" s="30"/>
      <c r="HF297" s="30"/>
      <c r="HG297" s="30"/>
      <c r="HH297" s="30"/>
      <c r="HI297" s="30"/>
      <c r="HJ297" s="30"/>
      <c r="HK297" s="30"/>
      <c r="HL297" s="30"/>
      <c r="HM297" s="30"/>
      <c r="HN297" s="30"/>
      <c r="HO297" s="30"/>
      <c r="HP297" s="30"/>
      <c r="HQ297" s="30"/>
      <c r="HR297" s="30"/>
      <c r="HS297" s="30"/>
      <c r="HT297" s="30"/>
      <c r="HU297" s="30"/>
      <c r="HV297" s="30"/>
      <c r="HW297" s="30"/>
      <c r="HX297" s="30"/>
      <c r="HY297" s="30"/>
      <c r="HZ297" s="30"/>
      <c r="IA297" s="30"/>
      <c r="IB297" s="30"/>
      <c r="IC297" s="30"/>
      <c r="ID297" s="30"/>
      <c r="IE297" s="30"/>
      <c r="IF297" s="30"/>
      <c r="IG297" s="30"/>
      <c r="IH297" s="30"/>
      <c r="II297" s="30"/>
      <c r="IJ297" s="30"/>
      <c r="IK297" s="30"/>
      <c r="IL297" s="30"/>
      <c r="IM297" s="30"/>
      <c r="IN297" s="30"/>
      <c r="IO297" s="30"/>
      <c r="IP297" s="30"/>
      <c r="IQ297" s="30"/>
      <c r="IR297" s="30"/>
      <c r="IS297" s="30"/>
      <c r="IT297" s="30"/>
      <c r="IU297" s="30"/>
      <c r="IV297" s="30"/>
      <c r="IW297" s="30"/>
      <c r="IX297" s="30"/>
      <c r="IY297" s="30"/>
      <c r="IZ297" s="30"/>
      <c r="JA297" s="30"/>
      <c r="JB297" s="30"/>
      <c r="JC297" s="30"/>
      <c r="JD297" s="30"/>
      <c r="JE297" s="30"/>
      <c r="JF297" s="30"/>
      <c r="JG297" s="30"/>
      <c r="JH297" s="30"/>
      <c r="JI297" s="30"/>
      <c r="JJ297" s="30"/>
      <c r="JK297" s="30"/>
      <c r="JL297" s="30"/>
      <c r="JM297" s="30"/>
      <c r="JN297" s="30"/>
      <c r="JO297" s="30"/>
      <c r="JP297" s="30"/>
      <c r="JQ297" s="30"/>
      <c r="JR297" s="30"/>
      <c r="JS297" s="30"/>
      <c r="JT297" s="30"/>
      <c r="JU297" s="30"/>
      <c r="JV297" s="30"/>
      <c r="JW297" s="30"/>
      <c r="JX297" s="30"/>
      <c r="JY297" s="30"/>
      <c r="JZ297" s="30"/>
      <c r="KA297" s="30"/>
      <c r="KB297" s="30"/>
      <c r="KC297" s="30"/>
      <c r="KD297" s="30"/>
      <c r="KE297" s="30"/>
      <c r="KF297" s="30"/>
      <c r="KG297" s="30"/>
      <c r="KH297" s="30"/>
      <c r="KI297" s="30"/>
      <c r="KJ297" s="30"/>
      <c r="KK297" s="30"/>
      <c r="KL297" s="30"/>
      <c r="KM297" s="30"/>
      <c r="KN297" s="30"/>
      <c r="KO297" s="30"/>
      <c r="KP297" s="30"/>
      <c r="KQ297" s="30"/>
      <c r="KR297" s="30"/>
      <c r="KS297" s="30"/>
      <c r="KT297" s="30"/>
      <c r="KU297" s="30"/>
      <c r="KV297" s="30"/>
      <c r="KW297" s="30"/>
      <c r="KX297" s="30"/>
      <c r="KY297" s="30"/>
      <c r="KZ297" s="30"/>
      <c r="LA297" s="30"/>
      <c r="LB297" s="30"/>
      <c r="LC297" s="30"/>
      <c r="LD297" s="30"/>
      <c r="LE297" s="30"/>
      <c r="LF297" s="30"/>
      <c r="LG297" s="30"/>
      <c r="LH297" s="30"/>
      <c r="LI297" s="30"/>
      <c r="LJ297" s="30"/>
      <c r="LK297" s="30"/>
      <c r="LL297" s="30"/>
      <c r="LM297" s="30"/>
      <c r="LN297" s="30"/>
      <c r="LO297" s="30"/>
      <c r="LP297" s="30"/>
      <c r="LQ297" s="30"/>
      <c r="LR297" s="30"/>
      <c r="LS297" s="30"/>
      <c r="LT297" s="30"/>
      <c r="LU297" s="30"/>
      <c r="LV297" s="30"/>
      <c r="LW297" s="30"/>
      <c r="LX297" s="30"/>
      <c r="LY297" s="30"/>
      <c r="LZ297" s="30"/>
      <c r="MA297" s="30"/>
      <c r="MB297" s="30"/>
      <c r="MC297" s="30"/>
      <c r="MD297" s="30"/>
      <c r="ME297" s="30"/>
      <c r="MF297" s="30"/>
      <c r="MG297" s="30"/>
      <c r="MH297" s="30"/>
      <c r="MI297" s="30"/>
      <c r="MJ297" s="30"/>
      <c r="MK297" s="30"/>
      <c r="ML297" s="30"/>
      <c r="MM297" s="30"/>
      <c r="MN297" s="30"/>
      <c r="MO297" s="30"/>
      <c r="MP297" s="30"/>
      <c r="MQ297" s="30"/>
      <c r="MR297" s="30"/>
      <c r="MS297" s="30"/>
      <c r="MT297" s="30"/>
      <c r="MU297" s="30"/>
      <c r="MV297" s="30"/>
      <c r="MW297" s="30"/>
      <c r="MX297" s="30"/>
      <c r="MY297" s="30"/>
      <c r="MZ297" s="30"/>
      <c r="NA297" s="30"/>
      <c r="NB297" s="30"/>
      <c r="NC297" s="30"/>
      <c r="ND297" s="30"/>
      <c r="NE297" s="30"/>
      <c r="NF297" s="30"/>
      <c r="NG297" s="30"/>
      <c r="NH297" s="30"/>
      <c r="NI297" s="30"/>
      <c r="NJ297" s="30"/>
      <c r="NK297" s="30"/>
      <c r="NL297" s="30"/>
      <c r="NM297" s="30"/>
      <c r="NN297" s="30"/>
      <c r="NO297" s="30"/>
      <c r="NP297" s="30"/>
      <c r="NQ297" s="30"/>
      <c r="NR297" s="30"/>
    </row>
    <row r="298" spans="1:382" s="3" customFormat="1" ht="20.100000000000001" customHeight="1" x14ac:dyDescent="0.4">
      <c r="A298" s="29">
        <v>8</v>
      </c>
      <c r="B298" s="5">
        <v>1774</v>
      </c>
      <c r="C298" s="5" t="s">
        <v>411</v>
      </c>
      <c r="D298" s="5" t="s">
        <v>404</v>
      </c>
      <c r="E298" s="5" t="s">
        <v>14</v>
      </c>
      <c r="F298" s="5" t="s">
        <v>32</v>
      </c>
      <c r="G298" s="5" t="s">
        <v>32</v>
      </c>
      <c r="H298" s="5" t="s">
        <v>32</v>
      </c>
      <c r="I298" s="8"/>
      <c r="J298" s="8"/>
      <c r="K298" s="8" t="str">
        <f>IF(OR(J298="",E298=""),"",J298+IFERROR(VLOOKUP(E298,リードタイム!$A$2:$C$9,3,FALSE),0))</f>
        <v/>
      </c>
      <c r="L298" s="5" t="s">
        <v>531</v>
      </c>
      <c r="M298" s="8"/>
      <c r="N298" s="8" t="str">
        <f>IF(OR(M298="",E298=""),"",M298+IFERROR(VLOOKUP(E298,リードタイム!$A$2:$D$9,4,FALSE),0))</f>
        <v/>
      </c>
      <c r="O298" s="5" t="s">
        <v>531</v>
      </c>
      <c r="P298" s="5" t="s">
        <v>532</v>
      </c>
      <c r="Q298" s="5">
        <v>45954</v>
      </c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  <c r="FS298" s="30"/>
      <c r="FT298" s="30"/>
      <c r="FU298" s="30"/>
      <c r="FV298" s="30"/>
      <c r="FW298" s="30"/>
      <c r="FX298" s="30"/>
      <c r="FY298" s="30"/>
      <c r="FZ298" s="30"/>
      <c r="GA298" s="30"/>
      <c r="GB298" s="30"/>
      <c r="GC298" s="30"/>
      <c r="GD298" s="30"/>
      <c r="GE298" s="30"/>
      <c r="GF298" s="30"/>
      <c r="GG298" s="30"/>
      <c r="GH298" s="30"/>
      <c r="GI298" s="30"/>
      <c r="GJ298" s="30"/>
      <c r="GK298" s="30"/>
      <c r="GL298" s="30"/>
      <c r="GM298" s="30"/>
      <c r="GN298" s="30"/>
      <c r="GO298" s="30"/>
      <c r="GP298" s="30"/>
      <c r="GQ298" s="30"/>
      <c r="GR298" s="30"/>
      <c r="GS298" s="30"/>
      <c r="GT298" s="30"/>
      <c r="GU298" s="30"/>
      <c r="GV298" s="30"/>
      <c r="GW298" s="30"/>
      <c r="GX298" s="30"/>
      <c r="GY298" s="30"/>
      <c r="GZ298" s="30"/>
      <c r="HA298" s="30"/>
      <c r="HB298" s="30"/>
      <c r="HC298" s="30"/>
      <c r="HD298" s="30"/>
      <c r="HE298" s="30"/>
      <c r="HF298" s="30"/>
      <c r="HG298" s="30"/>
      <c r="HH298" s="30"/>
      <c r="HI298" s="30"/>
      <c r="HJ298" s="30"/>
      <c r="HK298" s="30"/>
      <c r="HL298" s="30"/>
      <c r="HM298" s="30"/>
      <c r="HN298" s="30"/>
      <c r="HO298" s="30"/>
      <c r="HP298" s="30"/>
      <c r="HQ298" s="30"/>
      <c r="HR298" s="30"/>
      <c r="HS298" s="30"/>
      <c r="HT298" s="30"/>
      <c r="HU298" s="30"/>
      <c r="HV298" s="30"/>
      <c r="HW298" s="30"/>
      <c r="HX298" s="30"/>
      <c r="HY298" s="30"/>
      <c r="HZ298" s="30"/>
      <c r="IA298" s="30"/>
      <c r="IB298" s="30"/>
      <c r="IC298" s="30"/>
      <c r="ID298" s="30"/>
      <c r="IE298" s="30"/>
      <c r="IF298" s="30"/>
      <c r="IG298" s="30"/>
      <c r="IH298" s="30"/>
      <c r="II298" s="30"/>
      <c r="IJ298" s="30"/>
      <c r="IK298" s="30"/>
      <c r="IL298" s="30"/>
      <c r="IM298" s="30"/>
      <c r="IN298" s="30"/>
      <c r="IO298" s="30"/>
      <c r="IP298" s="30"/>
      <c r="IQ298" s="30"/>
      <c r="IR298" s="30"/>
      <c r="IS298" s="30"/>
      <c r="IT298" s="30"/>
      <c r="IU298" s="30"/>
      <c r="IV298" s="30"/>
      <c r="IW298" s="30"/>
      <c r="IX298" s="30"/>
      <c r="IY298" s="30"/>
      <c r="IZ298" s="30"/>
      <c r="JA298" s="30"/>
      <c r="JB298" s="30"/>
      <c r="JC298" s="30"/>
      <c r="JD298" s="30"/>
      <c r="JE298" s="30"/>
      <c r="JF298" s="30"/>
      <c r="JG298" s="30"/>
      <c r="JH298" s="30"/>
      <c r="JI298" s="30"/>
      <c r="JJ298" s="30"/>
      <c r="JK298" s="30"/>
      <c r="JL298" s="30"/>
      <c r="JM298" s="30"/>
      <c r="JN298" s="30"/>
      <c r="JO298" s="30"/>
      <c r="JP298" s="30"/>
      <c r="JQ298" s="30"/>
      <c r="JR298" s="30"/>
      <c r="JS298" s="30"/>
      <c r="JT298" s="30"/>
      <c r="JU298" s="30"/>
      <c r="JV298" s="30"/>
      <c r="JW298" s="30"/>
      <c r="JX298" s="30"/>
      <c r="JY298" s="30"/>
      <c r="JZ298" s="30"/>
      <c r="KA298" s="30"/>
      <c r="KB298" s="30"/>
      <c r="KC298" s="30"/>
      <c r="KD298" s="30"/>
      <c r="KE298" s="30"/>
      <c r="KF298" s="30"/>
      <c r="KG298" s="30"/>
      <c r="KH298" s="30"/>
      <c r="KI298" s="30"/>
      <c r="KJ298" s="30"/>
      <c r="KK298" s="30"/>
      <c r="KL298" s="30"/>
      <c r="KM298" s="30"/>
      <c r="KN298" s="30"/>
      <c r="KO298" s="30"/>
      <c r="KP298" s="30"/>
      <c r="KQ298" s="30"/>
      <c r="KR298" s="30"/>
      <c r="KS298" s="30"/>
      <c r="KT298" s="30"/>
      <c r="KU298" s="30"/>
      <c r="KV298" s="30"/>
      <c r="KW298" s="30"/>
      <c r="KX298" s="30"/>
      <c r="KY298" s="30"/>
      <c r="KZ298" s="30"/>
      <c r="LA298" s="30"/>
      <c r="LB298" s="30"/>
      <c r="LC298" s="30"/>
      <c r="LD298" s="30"/>
      <c r="LE298" s="30"/>
      <c r="LF298" s="30"/>
      <c r="LG298" s="30"/>
      <c r="LH298" s="30"/>
      <c r="LI298" s="30"/>
      <c r="LJ298" s="30"/>
      <c r="LK298" s="30"/>
      <c r="LL298" s="30"/>
      <c r="LM298" s="30"/>
      <c r="LN298" s="30"/>
      <c r="LO298" s="30"/>
      <c r="LP298" s="30"/>
      <c r="LQ298" s="30"/>
      <c r="LR298" s="30"/>
      <c r="LS298" s="30"/>
      <c r="LT298" s="30"/>
      <c r="LU298" s="30"/>
      <c r="LV298" s="30"/>
      <c r="LW298" s="30"/>
      <c r="LX298" s="30"/>
      <c r="LY298" s="30"/>
      <c r="LZ298" s="30"/>
      <c r="MA298" s="30"/>
      <c r="MB298" s="30"/>
      <c r="MC298" s="30"/>
      <c r="MD298" s="30"/>
      <c r="ME298" s="30"/>
      <c r="MF298" s="30"/>
      <c r="MG298" s="30"/>
      <c r="MH298" s="30"/>
      <c r="MI298" s="30"/>
      <c r="MJ298" s="30"/>
      <c r="MK298" s="30"/>
      <c r="ML298" s="30"/>
      <c r="MM298" s="30"/>
      <c r="MN298" s="30"/>
      <c r="MO298" s="30"/>
      <c r="MP298" s="30"/>
      <c r="MQ298" s="30"/>
      <c r="MR298" s="30"/>
      <c r="MS298" s="30"/>
      <c r="MT298" s="30"/>
      <c r="MU298" s="30"/>
      <c r="MV298" s="30"/>
      <c r="MW298" s="30"/>
      <c r="MX298" s="30"/>
      <c r="MY298" s="30"/>
      <c r="MZ298" s="30"/>
      <c r="NA298" s="30"/>
      <c r="NB298" s="30"/>
      <c r="NC298" s="30"/>
      <c r="ND298" s="30"/>
      <c r="NE298" s="30"/>
      <c r="NF298" s="30"/>
      <c r="NG298" s="30"/>
      <c r="NH298" s="30"/>
      <c r="NI298" s="30"/>
      <c r="NJ298" s="30"/>
      <c r="NK298" s="30"/>
      <c r="NL298" s="30"/>
      <c r="NM298" s="30"/>
      <c r="NN298" s="30"/>
      <c r="NO298" s="30"/>
      <c r="NP298" s="30"/>
      <c r="NQ298" s="30"/>
      <c r="NR298" s="30"/>
    </row>
    <row r="299" spans="1:382" s="3" customFormat="1" ht="20.100000000000001" customHeight="1" x14ac:dyDescent="0.4">
      <c r="A299" s="29">
        <v>1</v>
      </c>
      <c r="B299" s="5">
        <v>1986</v>
      </c>
      <c r="C299" s="5" t="s">
        <v>417</v>
      </c>
      <c r="D299" s="5" t="s">
        <v>41</v>
      </c>
      <c r="E299" s="5" t="s">
        <v>6</v>
      </c>
      <c r="F299" s="5" t="s">
        <v>32</v>
      </c>
      <c r="G299" s="5" t="s">
        <v>32</v>
      </c>
      <c r="H299" s="5" t="s">
        <v>32</v>
      </c>
      <c r="I299" s="8">
        <v>46170.625</v>
      </c>
      <c r="J299" s="8"/>
      <c r="K299" s="8" t="str">
        <f>IF(OR(J299="",E299=""),"",J299+IFERROR(VLOOKUP(E299,リードタイム!$A$2:$C$9,3,FALSE),0))</f>
        <v/>
      </c>
      <c r="L299" s="5" t="s">
        <v>531</v>
      </c>
      <c r="M299" s="8"/>
      <c r="N299" s="8" t="str">
        <f>IF(OR(M299="",E299=""),"",M299+IFERROR(VLOOKUP(E299,リードタイム!$A$2:$D$9,4,FALSE),0))</f>
        <v/>
      </c>
      <c r="O299" s="5" t="s">
        <v>531</v>
      </c>
      <c r="P299" s="5" t="s">
        <v>532</v>
      </c>
      <c r="Q299" s="5" t="s">
        <v>418</v>
      </c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  <c r="FS299" s="30"/>
      <c r="FT299" s="30"/>
      <c r="FU299" s="30"/>
      <c r="FV299" s="30"/>
      <c r="FW299" s="30"/>
      <c r="FX299" s="30"/>
      <c r="FY299" s="30"/>
      <c r="FZ299" s="30"/>
      <c r="GA299" s="30"/>
      <c r="GB299" s="30"/>
      <c r="GC299" s="30"/>
      <c r="GD299" s="30"/>
      <c r="GE299" s="30"/>
      <c r="GF299" s="30"/>
      <c r="GG299" s="30"/>
      <c r="GH299" s="30"/>
      <c r="GI299" s="30"/>
      <c r="GJ299" s="30"/>
      <c r="GK299" s="30"/>
      <c r="GL299" s="30"/>
      <c r="GM299" s="30"/>
      <c r="GN299" s="30"/>
      <c r="GO299" s="30"/>
      <c r="GP299" s="30"/>
      <c r="GQ299" s="30"/>
      <c r="GR299" s="30"/>
      <c r="GS299" s="30"/>
      <c r="GT299" s="30"/>
      <c r="GU299" s="30"/>
      <c r="GV299" s="30"/>
      <c r="GW299" s="30"/>
      <c r="GX299" s="30"/>
      <c r="GY299" s="30"/>
      <c r="GZ299" s="30"/>
      <c r="HA299" s="30"/>
      <c r="HB299" s="30"/>
      <c r="HC299" s="30"/>
      <c r="HD299" s="30"/>
      <c r="HE299" s="30"/>
      <c r="HF299" s="30"/>
      <c r="HG299" s="30"/>
      <c r="HH299" s="30"/>
      <c r="HI299" s="30"/>
      <c r="HJ299" s="30"/>
      <c r="HK299" s="30"/>
      <c r="HL299" s="30"/>
      <c r="HM299" s="30"/>
      <c r="HN299" s="30"/>
      <c r="HO299" s="30"/>
      <c r="HP299" s="30"/>
      <c r="HQ299" s="30"/>
      <c r="HR299" s="30"/>
      <c r="HS299" s="30"/>
      <c r="HT299" s="30"/>
      <c r="HU299" s="30"/>
      <c r="HV299" s="30"/>
      <c r="HW299" s="30"/>
      <c r="HX299" s="30"/>
      <c r="HY299" s="30"/>
      <c r="HZ299" s="30"/>
      <c r="IA299" s="30"/>
      <c r="IB299" s="30"/>
      <c r="IC299" s="30"/>
      <c r="ID299" s="30"/>
      <c r="IE299" s="30"/>
      <c r="IF299" s="30"/>
      <c r="IG299" s="30"/>
      <c r="IH299" s="30"/>
      <c r="II299" s="30"/>
      <c r="IJ299" s="30"/>
      <c r="IK299" s="30"/>
      <c r="IL299" s="30"/>
      <c r="IM299" s="30"/>
      <c r="IN299" s="30"/>
      <c r="IO299" s="30"/>
      <c r="IP299" s="30"/>
      <c r="IQ299" s="30"/>
      <c r="IR299" s="30"/>
      <c r="IS299" s="30"/>
      <c r="IT299" s="30"/>
      <c r="IU299" s="30"/>
      <c r="IV299" s="30"/>
      <c r="IW299" s="30"/>
      <c r="IX299" s="30"/>
      <c r="IY299" s="30"/>
      <c r="IZ299" s="30"/>
      <c r="JA299" s="30"/>
      <c r="JB299" s="30"/>
      <c r="JC299" s="30"/>
      <c r="JD299" s="30"/>
      <c r="JE299" s="30"/>
      <c r="JF299" s="30"/>
      <c r="JG299" s="30"/>
      <c r="JH299" s="30"/>
      <c r="JI299" s="30"/>
      <c r="JJ299" s="30"/>
      <c r="JK299" s="30"/>
      <c r="JL299" s="30"/>
      <c r="JM299" s="30"/>
      <c r="JN299" s="30"/>
      <c r="JO299" s="30"/>
      <c r="JP299" s="30"/>
      <c r="JQ299" s="30"/>
      <c r="JR299" s="30"/>
      <c r="JS299" s="30"/>
      <c r="JT299" s="30"/>
      <c r="JU299" s="30"/>
      <c r="JV299" s="30"/>
      <c r="JW299" s="30"/>
      <c r="JX299" s="30"/>
      <c r="JY299" s="30"/>
      <c r="JZ299" s="30"/>
      <c r="KA299" s="30"/>
      <c r="KB299" s="30"/>
      <c r="KC299" s="30"/>
      <c r="KD299" s="30"/>
      <c r="KE299" s="30"/>
      <c r="KF299" s="30"/>
      <c r="KG299" s="30"/>
      <c r="KH299" s="30"/>
      <c r="KI299" s="30"/>
      <c r="KJ299" s="30"/>
      <c r="KK299" s="30"/>
      <c r="KL299" s="30"/>
      <c r="KM299" s="30"/>
      <c r="KN299" s="30"/>
      <c r="KO299" s="30"/>
      <c r="KP299" s="30"/>
      <c r="KQ299" s="30"/>
      <c r="KR299" s="30"/>
      <c r="KS299" s="30"/>
      <c r="KT299" s="30"/>
      <c r="KU299" s="30"/>
      <c r="KV299" s="30"/>
      <c r="KW299" s="30"/>
      <c r="KX299" s="30"/>
      <c r="KY299" s="30"/>
      <c r="KZ299" s="30"/>
      <c r="LA299" s="30"/>
      <c r="LB299" s="30"/>
      <c r="LC299" s="30"/>
      <c r="LD299" s="30"/>
      <c r="LE299" s="30"/>
      <c r="LF299" s="30"/>
      <c r="LG299" s="30"/>
      <c r="LH299" s="30"/>
      <c r="LI299" s="30"/>
      <c r="LJ299" s="30"/>
      <c r="LK299" s="30"/>
      <c r="LL299" s="30"/>
      <c r="LM299" s="30"/>
      <c r="LN299" s="30"/>
      <c r="LO299" s="30"/>
      <c r="LP299" s="30"/>
      <c r="LQ299" s="30"/>
      <c r="LR299" s="30"/>
      <c r="LS299" s="30"/>
      <c r="LT299" s="30"/>
      <c r="LU299" s="30"/>
      <c r="LV299" s="30"/>
      <c r="LW299" s="30"/>
      <c r="LX299" s="30"/>
      <c r="LY299" s="30"/>
      <c r="LZ299" s="30"/>
      <c r="MA299" s="30"/>
      <c r="MB299" s="30"/>
      <c r="MC299" s="30"/>
      <c r="MD299" s="30"/>
      <c r="ME299" s="30"/>
      <c r="MF299" s="30"/>
      <c r="MG299" s="30"/>
      <c r="MH299" s="30"/>
      <c r="MI299" s="30"/>
      <c r="MJ299" s="30"/>
      <c r="MK299" s="30"/>
      <c r="ML299" s="30"/>
      <c r="MM299" s="30"/>
      <c r="MN299" s="30"/>
      <c r="MO299" s="30"/>
      <c r="MP299" s="30"/>
      <c r="MQ299" s="30"/>
      <c r="MR299" s="30"/>
      <c r="MS299" s="30"/>
      <c r="MT299" s="30"/>
      <c r="MU299" s="30"/>
      <c r="MV299" s="30"/>
      <c r="MW299" s="30"/>
      <c r="MX299" s="30"/>
      <c r="MY299" s="30"/>
      <c r="MZ299" s="30"/>
      <c r="NA299" s="30"/>
      <c r="NB299" s="30"/>
      <c r="NC299" s="30"/>
      <c r="ND299" s="30"/>
      <c r="NE299" s="30"/>
      <c r="NF299" s="30"/>
      <c r="NG299" s="30"/>
      <c r="NH299" s="30"/>
      <c r="NI299" s="30"/>
      <c r="NJ299" s="30"/>
      <c r="NK299" s="30"/>
      <c r="NL299" s="30"/>
      <c r="NM299" s="30"/>
      <c r="NN299" s="30"/>
      <c r="NO299" s="30"/>
      <c r="NP299" s="30"/>
      <c r="NQ299" s="30"/>
      <c r="NR299" s="30"/>
    </row>
    <row r="300" spans="1:382" s="3" customFormat="1" ht="20.100000000000001" customHeight="1" x14ac:dyDescent="0.4">
      <c r="A300" s="29">
        <v>2</v>
      </c>
      <c r="B300" s="5">
        <v>1987</v>
      </c>
      <c r="C300" s="5" t="s">
        <v>417</v>
      </c>
      <c r="D300" s="5" t="s">
        <v>62</v>
      </c>
      <c r="E300" s="5" t="s">
        <v>8</v>
      </c>
      <c r="F300" s="5" t="s">
        <v>32</v>
      </c>
      <c r="G300" s="5" t="s">
        <v>32</v>
      </c>
      <c r="H300" s="5" t="s">
        <v>32</v>
      </c>
      <c r="I300" s="8">
        <v>46170.625</v>
      </c>
      <c r="J300" s="8"/>
      <c r="K300" s="8" t="str">
        <f>IF(OR(J300="",E300=""),"",J300+IFERROR(VLOOKUP(E300,リードタイム!$A$2:$C$9,3,FALSE),0))</f>
        <v/>
      </c>
      <c r="L300" s="5" t="s">
        <v>531</v>
      </c>
      <c r="M300" s="8"/>
      <c r="N300" s="8" t="str">
        <f>IF(OR(M300="",E300=""),"",M300+IFERROR(VLOOKUP(E300,リードタイム!$A$2:$D$9,4,FALSE),0))</f>
        <v/>
      </c>
      <c r="O300" s="5" t="s">
        <v>531</v>
      </c>
      <c r="P300" s="5" t="s">
        <v>532</v>
      </c>
      <c r="Q300" s="5" t="s">
        <v>418</v>
      </c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  <c r="FS300" s="30"/>
      <c r="FT300" s="30"/>
      <c r="FU300" s="30"/>
      <c r="FV300" s="30"/>
      <c r="FW300" s="30"/>
      <c r="FX300" s="30"/>
      <c r="FY300" s="30"/>
      <c r="FZ300" s="30"/>
      <c r="GA300" s="30"/>
      <c r="GB300" s="30"/>
      <c r="GC300" s="30"/>
      <c r="GD300" s="30"/>
      <c r="GE300" s="30"/>
      <c r="GF300" s="30"/>
      <c r="GG300" s="30"/>
      <c r="GH300" s="30"/>
      <c r="GI300" s="30"/>
      <c r="GJ300" s="30"/>
      <c r="GK300" s="30"/>
      <c r="GL300" s="30"/>
      <c r="GM300" s="30"/>
      <c r="GN300" s="30"/>
      <c r="GO300" s="30"/>
      <c r="GP300" s="30"/>
      <c r="GQ300" s="30"/>
      <c r="GR300" s="30"/>
      <c r="GS300" s="30"/>
      <c r="GT300" s="30"/>
      <c r="GU300" s="30"/>
      <c r="GV300" s="30"/>
      <c r="GW300" s="30"/>
      <c r="GX300" s="30"/>
      <c r="GY300" s="30"/>
      <c r="GZ300" s="30"/>
      <c r="HA300" s="30"/>
      <c r="HB300" s="30"/>
      <c r="HC300" s="30"/>
      <c r="HD300" s="30"/>
      <c r="HE300" s="30"/>
      <c r="HF300" s="30"/>
      <c r="HG300" s="30"/>
      <c r="HH300" s="30"/>
      <c r="HI300" s="30"/>
      <c r="HJ300" s="30"/>
      <c r="HK300" s="30"/>
      <c r="HL300" s="30"/>
      <c r="HM300" s="30"/>
      <c r="HN300" s="30"/>
      <c r="HO300" s="30"/>
      <c r="HP300" s="30"/>
      <c r="HQ300" s="30"/>
      <c r="HR300" s="30"/>
      <c r="HS300" s="30"/>
      <c r="HT300" s="30"/>
      <c r="HU300" s="30"/>
      <c r="HV300" s="30"/>
      <c r="HW300" s="30"/>
      <c r="HX300" s="30"/>
      <c r="HY300" s="30"/>
      <c r="HZ300" s="30"/>
      <c r="IA300" s="30"/>
      <c r="IB300" s="30"/>
      <c r="IC300" s="30"/>
      <c r="ID300" s="30"/>
      <c r="IE300" s="30"/>
      <c r="IF300" s="30"/>
      <c r="IG300" s="30"/>
      <c r="IH300" s="30"/>
      <c r="II300" s="30"/>
      <c r="IJ300" s="30"/>
      <c r="IK300" s="30"/>
      <c r="IL300" s="30"/>
      <c r="IM300" s="30"/>
      <c r="IN300" s="30"/>
      <c r="IO300" s="30"/>
      <c r="IP300" s="30"/>
      <c r="IQ300" s="30"/>
      <c r="IR300" s="30"/>
      <c r="IS300" s="30"/>
      <c r="IT300" s="30"/>
      <c r="IU300" s="30"/>
      <c r="IV300" s="30"/>
      <c r="IW300" s="30"/>
      <c r="IX300" s="30"/>
      <c r="IY300" s="30"/>
      <c r="IZ300" s="30"/>
      <c r="JA300" s="30"/>
      <c r="JB300" s="30"/>
      <c r="JC300" s="30"/>
      <c r="JD300" s="30"/>
      <c r="JE300" s="30"/>
      <c r="JF300" s="30"/>
      <c r="JG300" s="30"/>
      <c r="JH300" s="30"/>
      <c r="JI300" s="30"/>
      <c r="JJ300" s="30"/>
      <c r="JK300" s="30"/>
      <c r="JL300" s="30"/>
      <c r="JM300" s="30"/>
      <c r="JN300" s="30"/>
      <c r="JO300" s="30"/>
      <c r="JP300" s="30"/>
      <c r="JQ300" s="30"/>
      <c r="JR300" s="30"/>
      <c r="JS300" s="30"/>
      <c r="JT300" s="30"/>
      <c r="JU300" s="30"/>
      <c r="JV300" s="30"/>
      <c r="JW300" s="30"/>
      <c r="JX300" s="30"/>
      <c r="JY300" s="30"/>
      <c r="JZ300" s="30"/>
      <c r="KA300" s="30"/>
      <c r="KB300" s="30"/>
      <c r="KC300" s="30"/>
      <c r="KD300" s="30"/>
      <c r="KE300" s="30"/>
      <c r="KF300" s="30"/>
      <c r="KG300" s="30"/>
      <c r="KH300" s="30"/>
      <c r="KI300" s="30"/>
      <c r="KJ300" s="30"/>
      <c r="KK300" s="30"/>
      <c r="KL300" s="30"/>
      <c r="KM300" s="30"/>
      <c r="KN300" s="30"/>
      <c r="KO300" s="30"/>
      <c r="KP300" s="30"/>
      <c r="KQ300" s="30"/>
      <c r="KR300" s="30"/>
      <c r="KS300" s="30"/>
      <c r="KT300" s="30"/>
      <c r="KU300" s="30"/>
      <c r="KV300" s="30"/>
      <c r="KW300" s="30"/>
      <c r="KX300" s="30"/>
      <c r="KY300" s="30"/>
      <c r="KZ300" s="30"/>
      <c r="LA300" s="30"/>
      <c r="LB300" s="30"/>
      <c r="LC300" s="30"/>
      <c r="LD300" s="30"/>
      <c r="LE300" s="30"/>
      <c r="LF300" s="30"/>
      <c r="LG300" s="30"/>
      <c r="LH300" s="30"/>
      <c r="LI300" s="30"/>
      <c r="LJ300" s="30"/>
      <c r="LK300" s="30"/>
      <c r="LL300" s="30"/>
      <c r="LM300" s="30"/>
      <c r="LN300" s="30"/>
      <c r="LO300" s="30"/>
      <c r="LP300" s="30"/>
      <c r="LQ300" s="30"/>
      <c r="LR300" s="30"/>
      <c r="LS300" s="30"/>
      <c r="LT300" s="30"/>
      <c r="LU300" s="30"/>
      <c r="LV300" s="30"/>
      <c r="LW300" s="30"/>
      <c r="LX300" s="30"/>
      <c r="LY300" s="30"/>
      <c r="LZ300" s="30"/>
      <c r="MA300" s="30"/>
      <c r="MB300" s="30"/>
      <c r="MC300" s="30"/>
      <c r="MD300" s="30"/>
      <c r="ME300" s="30"/>
      <c r="MF300" s="30"/>
      <c r="MG300" s="30"/>
      <c r="MH300" s="30"/>
      <c r="MI300" s="30"/>
      <c r="MJ300" s="30"/>
      <c r="MK300" s="30"/>
      <c r="ML300" s="30"/>
      <c r="MM300" s="30"/>
      <c r="MN300" s="30"/>
      <c r="MO300" s="30"/>
      <c r="MP300" s="30"/>
      <c r="MQ300" s="30"/>
      <c r="MR300" s="30"/>
      <c r="MS300" s="30"/>
      <c r="MT300" s="30"/>
      <c r="MU300" s="30"/>
      <c r="MV300" s="30"/>
      <c r="MW300" s="30"/>
      <c r="MX300" s="30"/>
      <c r="MY300" s="30"/>
      <c r="MZ300" s="30"/>
      <c r="NA300" s="30"/>
      <c r="NB300" s="30"/>
      <c r="NC300" s="30"/>
      <c r="ND300" s="30"/>
      <c r="NE300" s="30"/>
      <c r="NF300" s="30"/>
      <c r="NG300" s="30"/>
      <c r="NH300" s="30"/>
      <c r="NI300" s="30"/>
      <c r="NJ300" s="30"/>
      <c r="NK300" s="30"/>
      <c r="NL300" s="30"/>
      <c r="NM300" s="30"/>
      <c r="NN300" s="30"/>
      <c r="NO300" s="30"/>
      <c r="NP300" s="30"/>
      <c r="NQ300" s="30"/>
      <c r="NR300" s="30"/>
    </row>
    <row r="301" spans="1:382" s="3" customFormat="1" ht="20.100000000000001" customHeight="1" x14ac:dyDescent="0.4">
      <c r="A301" s="29">
        <v>1</v>
      </c>
      <c r="B301" s="5">
        <v>1988</v>
      </c>
      <c r="C301" s="5" t="s">
        <v>419</v>
      </c>
      <c r="D301" s="5" t="s">
        <v>41</v>
      </c>
      <c r="E301" s="5" t="s">
        <v>6</v>
      </c>
      <c r="F301" s="5" t="s">
        <v>32</v>
      </c>
      <c r="G301" s="5" t="s">
        <v>32</v>
      </c>
      <c r="H301" s="5" t="s">
        <v>32</v>
      </c>
      <c r="I301" s="8">
        <v>46170.625</v>
      </c>
      <c r="J301" s="8"/>
      <c r="K301" s="8" t="str">
        <f>IF(OR(J301="",E301=""),"",J301+IFERROR(VLOOKUP(E301,リードタイム!$A$2:$C$9,3,FALSE),0))</f>
        <v/>
      </c>
      <c r="L301" s="5" t="s">
        <v>531</v>
      </c>
      <c r="M301" s="8"/>
      <c r="N301" s="8" t="str">
        <f>IF(OR(M301="",E301=""),"",M301+IFERROR(VLOOKUP(E301,リードタイム!$A$2:$D$9,4,FALSE),0))</f>
        <v/>
      </c>
      <c r="O301" s="5" t="s">
        <v>531</v>
      </c>
      <c r="P301" s="5" t="s">
        <v>532</v>
      </c>
      <c r="Q301" s="5" t="s">
        <v>418</v>
      </c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  <c r="FS301" s="30"/>
      <c r="FT301" s="30"/>
      <c r="FU301" s="30"/>
      <c r="FV301" s="30"/>
      <c r="FW301" s="30"/>
      <c r="FX301" s="30"/>
      <c r="FY301" s="30"/>
      <c r="FZ301" s="30"/>
      <c r="GA301" s="30"/>
      <c r="GB301" s="30"/>
      <c r="GC301" s="30"/>
      <c r="GD301" s="30"/>
      <c r="GE301" s="30"/>
      <c r="GF301" s="30"/>
      <c r="GG301" s="30"/>
      <c r="GH301" s="30"/>
      <c r="GI301" s="30"/>
      <c r="GJ301" s="30"/>
      <c r="GK301" s="30"/>
      <c r="GL301" s="30"/>
      <c r="GM301" s="30"/>
      <c r="GN301" s="30"/>
      <c r="GO301" s="30"/>
      <c r="GP301" s="30"/>
      <c r="GQ301" s="30"/>
      <c r="GR301" s="30"/>
      <c r="GS301" s="30"/>
      <c r="GT301" s="30"/>
      <c r="GU301" s="30"/>
      <c r="GV301" s="30"/>
      <c r="GW301" s="30"/>
      <c r="GX301" s="30"/>
      <c r="GY301" s="30"/>
      <c r="GZ301" s="30"/>
      <c r="HA301" s="30"/>
      <c r="HB301" s="30"/>
      <c r="HC301" s="30"/>
      <c r="HD301" s="30"/>
      <c r="HE301" s="30"/>
      <c r="HF301" s="30"/>
      <c r="HG301" s="30"/>
      <c r="HH301" s="30"/>
      <c r="HI301" s="30"/>
      <c r="HJ301" s="30"/>
      <c r="HK301" s="30"/>
      <c r="HL301" s="30"/>
      <c r="HM301" s="30"/>
      <c r="HN301" s="30"/>
      <c r="HO301" s="30"/>
      <c r="HP301" s="30"/>
      <c r="HQ301" s="30"/>
      <c r="HR301" s="30"/>
      <c r="HS301" s="30"/>
      <c r="HT301" s="30"/>
      <c r="HU301" s="30"/>
      <c r="HV301" s="30"/>
      <c r="HW301" s="30"/>
      <c r="HX301" s="30"/>
      <c r="HY301" s="30"/>
      <c r="HZ301" s="30"/>
      <c r="IA301" s="30"/>
      <c r="IB301" s="30"/>
      <c r="IC301" s="30"/>
      <c r="ID301" s="30"/>
      <c r="IE301" s="30"/>
      <c r="IF301" s="30"/>
      <c r="IG301" s="30"/>
      <c r="IH301" s="30"/>
      <c r="II301" s="30"/>
      <c r="IJ301" s="30"/>
      <c r="IK301" s="30"/>
      <c r="IL301" s="30"/>
      <c r="IM301" s="30"/>
      <c r="IN301" s="30"/>
      <c r="IO301" s="30"/>
      <c r="IP301" s="30"/>
      <c r="IQ301" s="30"/>
      <c r="IR301" s="30"/>
      <c r="IS301" s="30"/>
      <c r="IT301" s="30"/>
      <c r="IU301" s="30"/>
      <c r="IV301" s="30"/>
      <c r="IW301" s="30"/>
      <c r="IX301" s="30"/>
      <c r="IY301" s="30"/>
      <c r="IZ301" s="30"/>
      <c r="JA301" s="30"/>
      <c r="JB301" s="30"/>
      <c r="JC301" s="30"/>
      <c r="JD301" s="30"/>
      <c r="JE301" s="30"/>
      <c r="JF301" s="30"/>
      <c r="JG301" s="30"/>
      <c r="JH301" s="30"/>
      <c r="JI301" s="30"/>
      <c r="JJ301" s="30"/>
      <c r="JK301" s="30"/>
      <c r="JL301" s="30"/>
      <c r="JM301" s="30"/>
      <c r="JN301" s="30"/>
      <c r="JO301" s="30"/>
      <c r="JP301" s="30"/>
      <c r="JQ301" s="30"/>
      <c r="JR301" s="30"/>
      <c r="JS301" s="30"/>
      <c r="JT301" s="30"/>
      <c r="JU301" s="30"/>
      <c r="JV301" s="30"/>
      <c r="JW301" s="30"/>
      <c r="JX301" s="30"/>
      <c r="JY301" s="30"/>
      <c r="JZ301" s="30"/>
      <c r="KA301" s="30"/>
      <c r="KB301" s="30"/>
      <c r="KC301" s="30"/>
      <c r="KD301" s="30"/>
      <c r="KE301" s="30"/>
      <c r="KF301" s="30"/>
      <c r="KG301" s="30"/>
      <c r="KH301" s="30"/>
      <c r="KI301" s="30"/>
      <c r="KJ301" s="30"/>
      <c r="KK301" s="30"/>
      <c r="KL301" s="30"/>
      <c r="KM301" s="30"/>
      <c r="KN301" s="30"/>
      <c r="KO301" s="30"/>
      <c r="KP301" s="30"/>
      <c r="KQ301" s="30"/>
      <c r="KR301" s="30"/>
      <c r="KS301" s="30"/>
      <c r="KT301" s="30"/>
      <c r="KU301" s="30"/>
      <c r="KV301" s="30"/>
      <c r="KW301" s="30"/>
      <c r="KX301" s="30"/>
      <c r="KY301" s="30"/>
      <c r="KZ301" s="30"/>
      <c r="LA301" s="30"/>
      <c r="LB301" s="30"/>
      <c r="LC301" s="30"/>
      <c r="LD301" s="30"/>
      <c r="LE301" s="30"/>
      <c r="LF301" s="30"/>
      <c r="LG301" s="30"/>
      <c r="LH301" s="30"/>
      <c r="LI301" s="30"/>
      <c r="LJ301" s="30"/>
      <c r="LK301" s="30"/>
      <c r="LL301" s="30"/>
      <c r="LM301" s="30"/>
      <c r="LN301" s="30"/>
      <c r="LO301" s="30"/>
      <c r="LP301" s="30"/>
      <c r="LQ301" s="30"/>
      <c r="LR301" s="30"/>
      <c r="LS301" s="30"/>
      <c r="LT301" s="30"/>
      <c r="LU301" s="30"/>
      <c r="LV301" s="30"/>
      <c r="LW301" s="30"/>
      <c r="LX301" s="30"/>
      <c r="LY301" s="30"/>
      <c r="LZ301" s="30"/>
      <c r="MA301" s="30"/>
      <c r="MB301" s="30"/>
      <c r="MC301" s="30"/>
      <c r="MD301" s="30"/>
      <c r="ME301" s="30"/>
      <c r="MF301" s="30"/>
      <c r="MG301" s="30"/>
      <c r="MH301" s="30"/>
      <c r="MI301" s="30"/>
      <c r="MJ301" s="30"/>
      <c r="MK301" s="30"/>
      <c r="ML301" s="30"/>
      <c r="MM301" s="30"/>
      <c r="MN301" s="30"/>
      <c r="MO301" s="30"/>
      <c r="MP301" s="30"/>
      <c r="MQ301" s="30"/>
      <c r="MR301" s="30"/>
      <c r="MS301" s="30"/>
      <c r="MT301" s="30"/>
      <c r="MU301" s="30"/>
      <c r="MV301" s="30"/>
      <c r="MW301" s="30"/>
      <c r="MX301" s="30"/>
      <c r="MY301" s="30"/>
      <c r="MZ301" s="30"/>
      <c r="NA301" s="30"/>
      <c r="NB301" s="30"/>
      <c r="NC301" s="30"/>
      <c r="ND301" s="30"/>
      <c r="NE301" s="30"/>
      <c r="NF301" s="30"/>
      <c r="NG301" s="30"/>
      <c r="NH301" s="30"/>
      <c r="NI301" s="30"/>
      <c r="NJ301" s="30"/>
      <c r="NK301" s="30"/>
      <c r="NL301" s="30"/>
      <c r="NM301" s="30"/>
      <c r="NN301" s="30"/>
      <c r="NO301" s="30"/>
      <c r="NP301" s="30"/>
      <c r="NQ301" s="30"/>
      <c r="NR301" s="30"/>
    </row>
    <row r="302" spans="1:382" s="3" customFormat="1" ht="20.100000000000001" customHeight="1" x14ac:dyDescent="0.4">
      <c r="A302" s="29">
        <v>2</v>
      </c>
      <c r="B302" s="5">
        <v>1989</v>
      </c>
      <c r="C302" s="5" t="s">
        <v>419</v>
      </c>
      <c r="D302" s="5" t="s">
        <v>62</v>
      </c>
      <c r="E302" s="5" t="s">
        <v>8</v>
      </c>
      <c r="F302" s="5" t="s">
        <v>32</v>
      </c>
      <c r="G302" s="5" t="s">
        <v>32</v>
      </c>
      <c r="H302" s="5" t="s">
        <v>32</v>
      </c>
      <c r="I302" s="8">
        <v>46170.625</v>
      </c>
      <c r="J302" s="8"/>
      <c r="K302" s="8" t="str">
        <f>IF(OR(J302="",E302=""),"",J302+IFERROR(VLOOKUP(E302,リードタイム!$A$2:$C$9,3,FALSE),0))</f>
        <v/>
      </c>
      <c r="L302" s="5" t="s">
        <v>531</v>
      </c>
      <c r="M302" s="8"/>
      <c r="N302" s="8" t="str">
        <f>IF(OR(M302="",E302=""),"",M302+IFERROR(VLOOKUP(E302,リードタイム!$A$2:$D$9,4,FALSE),0))</f>
        <v/>
      </c>
      <c r="O302" s="5" t="s">
        <v>531</v>
      </c>
      <c r="P302" s="5" t="s">
        <v>532</v>
      </c>
      <c r="Q302" s="5" t="s">
        <v>418</v>
      </c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  <c r="FS302" s="30"/>
      <c r="FT302" s="30"/>
      <c r="FU302" s="30"/>
      <c r="FV302" s="30"/>
      <c r="FW302" s="30"/>
      <c r="FX302" s="30"/>
      <c r="FY302" s="30"/>
      <c r="FZ302" s="30"/>
      <c r="GA302" s="30"/>
      <c r="GB302" s="30"/>
      <c r="GC302" s="30"/>
      <c r="GD302" s="30"/>
      <c r="GE302" s="30"/>
      <c r="GF302" s="30"/>
      <c r="GG302" s="30"/>
      <c r="GH302" s="30"/>
      <c r="GI302" s="30"/>
      <c r="GJ302" s="30"/>
      <c r="GK302" s="30"/>
      <c r="GL302" s="30"/>
      <c r="GM302" s="30"/>
      <c r="GN302" s="30"/>
      <c r="GO302" s="30"/>
      <c r="GP302" s="30"/>
      <c r="GQ302" s="30"/>
      <c r="GR302" s="30"/>
      <c r="GS302" s="30"/>
      <c r="GT302" s="30"/>
      <c r="GU302" s="30"/>
      <c r="GV302" s="30"/>
      <c r="GW302" s="30"/>
      <c r="GX302" s="30"/>
      <c r="GY302" s="30"/>
      <c r="GZ302" s="30"/>
      <c r="HA302" s="30"/>
      <c r="HB302" s="30"/>
      <c r="HC302" s="30"/>
      <c r="HD302" s="30"/>
      <c r="HE302" s="30"/>
      <c r="HF302" s="30"/>
      <c r="HG302" s="30"/>
      <c r="HH302" s="30"/>
      <c r="HI302" s="30"/>
      <c r="HJ302" s="30"/>
      <c r="HK302" s="30"/>
      <c r="HL302" s="30"/>
      <c r="HM302" s="30"/>
      <c r="HN302" s="30"/>
      <c r="HO302" s="30"/>
      <c r="HP302" s="30"/>
      <c r="HQ302" s="30"/>
      <c r="HR302" s="30"/>
      <c r="HS302" s="30"/>
      <c r="HT302" s="30"/>
      <c r="HU302" s="30"/>
      <c r="HV302" s="30"/>
      <c r="HW302" s="30"/>
      <c r="HX302" s="30"/>
      <c r="HY302" s="30"/>
      <c r="HZ302" s="30"/>
      <c r="IA302" s="30"/>
      <c r="IB302" s="30"/>
      <c r="IC302" s="30"/>
      <c r="ID302" s="30"/>
      <c r="IE302" s="30"/>
      <c r="IF302" s="30"/>
      <c r="IG302" s="30"/>
      <c r="IH302" s="30"/>
      <c r="II302" s="30"/>
      <c r="IJ302" s="30"/>
      <c r="IK302" s="30"/>
      <c r="IL302" s="30"/>
      <c r="IM302" s="30"/>
      <c r="IN302" s="30"/>
      <c r="IO302" s="30"/>
      <c r="IP302" s="30"/>
      <c r="IQ302" s="30"/>
      <c r="IR302" s="30"/>
      <c r="IS302" s="30"/>
      <c r="IT302" s="30"/>
      <c r="IU302" s="30"/>
      <c r="IV302" s="30"/>
      <c r="IW302" s="30"/>
      <c r="IX302" s="30"/>
      <c r="IY302" s="30"/>
      <c r="IZ302" s="30"/>
      <c r="JA302" s="30"/>
      <c r="JB302" s="30"/>
      <c r="JC302" s="30"/>
      <c r="JD302" s="30"/>
      <c r="JE302" s="30"/>
      <c r="JF302" s="30"/>
      <c r="JG302" s="30"/>
      <c r="JH302" s="30"/>
      <c r="JI302" s="30"/>
      <c r="JJ302" s="30"/>
      <c r="JK302" s="30"/>
      <c r="JL302" s="30"/>
      <c r="JM302" s="30"/>
      <c r="JN302" s="30"/>
      <c r="JO302" s="30"/>
      <c r="JP302" s="30"/>
      <c r="JQ302" s="30"/>
      <c r="JR302" s="30"/>
      <c r="JS302" s="30"/>
      <c r="JT302" s="30"/>
      <c r="JU302" s="30"/>
      <c r="JV302" s="30"/>
      <c r="JW302" s="30"/>
      <c r="JX302" s="30"/>
      <c r="JY302" s="30"/>
      <c r="JZ302" s="30"/>
      <c r="KA302" s="30"/>
      <c r="KB302" s="30"/>
      <c r="KC302" s="30"/>
      <c r="KD302" s="30"/>
      <c r="KE302" s="30"/>
      <c r="KF302" s="30"/>
      <c r="KG302" s="30"/>
      <c r="KH302" s="30"/>
      <c r="KI302" s="30"/>
      <c r="KJ302" s="30"/>
      <c r="KK302" s="30"/>
      <c r="KL302" s="30"/>
      <c r="KM302" s="30"/>
      <c r="KN302" s="30"/>
      <c r="KO302" s="30"/>
      <c r="KP302" s="30"/>
      <c r="KQ302" s="30"/>
      <c r="KR302" s="30"/>
      <c r="KS302" s="30"/>
      <c r="KT302" s="30"/>
      <c r="KU302" s="30"/>
      <c r="KV302" s="30"/>
      <c r="KW302" s="30"/>
      <c r="KX302" s="30"/>
      <c r="KY302" s="30"/>
      <c r="KZ302" s="30"/>
      <c r="LA302" s="30"/>
      <c r="LB302" s="30"/>
      <c r="LC302" s="30"/>
      <c r="LD302" s="30"/>
      <c r="LE302" s="30"/>
      <c r="LF302" s="30"/>
      <c r="LG302" s="30"/>
      <c r="LH302" s="30"/>
      <c r="LI302" s="30"/>
      <c r="LJ302" s="30"/>
      <c r="LK302" s="30"/>
      <c r="LL302" s="30"/>
      <c r="LM302" s="30"/>
      <c r="LN302" s="30"/>
      <c r="LO302" s="30"/>
      <c r="LP302" s="30"/>
      <c r="LQ302" s="30"/>
      <c r="LR302" s="30"/>
      <c r="LS302" s="30"/>
      <c r="LT302" s="30"/>
      <c r="LU302" s="30"/>
      <c r="LV302" s="30"/>
      <c r="LW302" s="30"/>
      <c r="LX302" s="30"/>
      <c r="LY302" s="30"/>
      <c r="LZ302" s="30"/>
      <c r="MA302" s="30"/>
      <c r="MB302" s="30"/>
      <c r="MC302" s="30"/>
      <c r="MD302" s="30"/>
      <c r="ME302" s="30"/>
      <c r="MF302" s="30"/>
      <c r="MG302" s="30"/>
      <c r="MH302" s="30"/>
      <c r="MI302" s="30"/>
      <c r="MJ302" s="30"/>
      <c r="MK302" s="30"/>
      <c r="ML302" s="30"/>
      <c r="MM302" s="30"/>
      <c r="MN302" s="30"/>
      <c r="MO302" s="30"/>
      <c r="MP302" s="30"/>
      <c r="MQ302" s="30"/>
      <c r="MR302" s="30"/>
      <c r="MS302" s="30"/>
      <c r="MT302" s="30"/>
      <c r="MU302" s="30"/>
      <c r="MV302" s="30"/>
      <c r="MW302" s="30"/>
      <c r="MX302" s="30"/>
      <c r="MY302" s="30"/>
      <c r="MZ302" s="30"/>
      <c r="NA302" s="30"/>
      <c r="NB302" s="30"/>
      <c r="NC302" s="30"/>
      <c r="ND302" s="30"/>
      <c r="NE302" s="30"/>
      <c r="NF302" s="30"/>
      <c r="NG302" s="30"/>
      <c r="NH302" s="30"/>
      <c r="NI302" s="30"/>
      <c r="NJ302" s="30"/>
      <c r="NK302" s="30"/>
      <c r="NL302" s="30"/>
      <c r="NM302" s="30"/>
      <c r="NN302" s="30"/>
      <c r="NO302" s="30"/>
      <c r="NP302" s="30"/>
      <c r="NQ302" s="30"/>
      <c r="NR302" s="30"/>
    </row>
    <row r="303" spans="1:382" s="3" customFormat="1" ht="20.100000000000001" customHeight="1" x14ac:dyDescent="0.4">
      <c r="A303" s="29">
        <v>1</v>
      </c>
      <c r="B303" s="5" t="s">
        <v>32</v>
      </c>
      <c r="C303" s="5" t="s">
        <v>420</v>
      </c>
      <c r="D303" s="5" t="s">
        <v>168</v>
      </c>
      <c r="E303" s="5" t="s">
        <v>10</v>
      </c>
      <c r="F303" s="5" t="s">
        <v>32</v>
      </c>
      <c r="G303" s="5" t="s">
        <v>32</v>
      </c>
      <c r="H303" s="5" t="s">
        <v>32</v>
      </c>
      <c r="I303" s="8">
        <v>46141.625</v>
      </c>
      <c r="J303" s="8"/>
      <c r="K303" s="8" t="str">
        <f>IF(OR(J303="",E303=""),"",J303+IFERROR(VLOOKUP(E303,リードタイム!$A$2:$C$9,3,FALSE),0))</f>
        <v/>
      </c>
      <c r="L303" s="5" t="s">
        <v>531</v>
      </c>
      <c r="M303" s="8"/>
      <c r="N303" s="8" t="str">
        <f>IF(OR(M303="",E303=""),"",M303+IFERROR(VLOOKUP(E303,リードタイム!$A$2:$D$9,4,FALSE),0))</f>
        <v/>
      </c>
      <c r="O303" s="5" t="s">
        <v>531</v>
      </c>
      <c r="P303" s="5" t="s">
        <v>532</v>
      </c>
      <c r="Q303" s="5" t="s">
        <v>421</v>
      </c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  <c r="FS303" s="30"/>
      <c r="FT303" s="30"/>
      <c r="FU303" s="30"/>
      <c r="FV303" s="30"/>
      <c r="FW303" s="30"/>
      <c r="FX303" s="30"/>
      <c r="FY303" s="30"/>
      <c r="FZ303" s="30"/>
      <c r="GA303" s="30"/>
      <c r="GB303" s="30"/>
      <c r="GC303" s="30"/>
      <c r="GD303" s="30"/>
      <c r="GE303" s="30"/>
      <c r="GF303" s="30"/>
      <c r="GG303" s="30"/>
      <c r="GH303" s="30"/>
      <c r="GI303" s="30"/>
      <c r="GJ303" s="30"/>
      <c r="GK303" s="30"/>
      <c r="GL303" s="30"/>
      <c r="GM303" s="30"/>
      <c r="GN303" s="30"/>
      <c r="GO303" s="30"/>
      <c r="GP303" s="30"/>
      <c r="GQ303" s="30"/>
      <c r="GR303" s="30"/>
      <c r="GS303" s="30"/>
      <c r="GT303" s="30"/>
      <c r="GU303" s="30"/>
      <c r="GV303" s="30"/>
      <c r="GW303" s="30"/>
      <c r="GX303" s="30"/>
      <c r="GY303" s="30"/>
      <c r="GZ303" s="30"/>
      <c r="HA303" s="30"/>
      <c r="HB303" s="30"/>
      <c r="HC303" s="30"/>
      <c r="HD303" s="30"/>
      <c r="HE303" s="30"/>
      <c r="HF303" s="30"/>
      <c r="HG303" s="30"/>
      <c r="HH303" s="30"/>
      <c r="HI303" s="30"/>
      <c r="HJ303" s="30"/>
      <c r="HK303" s="30"/>
      <c r="HL303" s="30"/>
      <c r="HM303" s="30"/>
      <c r="HN303" s="30"/>
      <c r="HO303" s="30"/>
      <c r="HP303" s="30"/>
      <c r="HQ303" s="30"/>
      <c r="HR303" s="30"/>
      <c r="HS303" s="30"/>
      <c r="HT303" s="30"/>
      <c r="HU303" s="30"/>
      <c r="HV303" s="30"/>
      <c r="HW303" s="30"/>
      <c r="HX303" s="30"/>
      <c r="HY303" s="30"/>
      <c r="HZ303" s="30"/>
      <c r="IA303" s="30"/>
      <c r="IB303" s="30"/>
      <c r="IC303" s="30"/>
      <c r="ID303" s="30"/>
      <c r="IE303" s="30"/>
      <c r="IF303" s="30"/>
      <c r="IG303" s="30"/>
      <c r="IH303" s="30"/>
      <c r="II303" s="30"/>
      <c r="IJ303" s="30"/>
      <c r="IK303" s="30"/>
      <c r="IL303" s="30"/>
      <c r="IM303" s="30"/>
      <c r="IN303" s="30"/>
      <c r="IO303" s="30"/>
      <c r="IP303" s="30"/>
      <c r="IQ303" s="30"/>
      <c r="IR303" s="30"/>
      <c r="IS303" s="30"/>
      <c r="IT303" s="30"/>
      <c r="IU303" s="30"/>
      <c r="IV303" s="30"/>
      <c r="IW303" s="30"/>
      <c r="IX303" s="30"/>
      <c r="IY303" s="30"/>
      <c r="IZ303" s="30"/>
      <c r="JA303" s="30"/>
      <c r="JB303" s="30"/>
      <c r="JC303" s="30"/>
      <c r="JD303" s="30"/>
      <c r="JE303" s="30"/>
      <c r="JF303" s="30"/>
      <c r="JG303" s="30"/>
      <c r="JH303" s="30"/>
      <c r="JI303" s="30"/>
      <c r="JJ303" s="30"/>
      <c r="JK303" s="30"/>
      <c r="JL303" s="30"/>
      <c r="JM303" s="30"/>
      <c r="JN303" s="30"/>
      <c r="JO303" s="30"/>
      <c r="JP303" s="30"/>
      <c r="JQ303" s="30"/>
      <c r="JR303" s="30"/>
      <c r="JS303" s="30"/>
      <c r="JT303" s="30"/>
      <c r="JU303" s="30"/>
      <c r="JV303" s="30"/>
      <c r="JW303" s="30"/>
      <c r="JX303" s="30"/>
      <c r="JY303" s="30"/>
      <c r="JZ303" s="30"/>
      <c r="KA303" s="30"/>
      <c r="KB303" s="30"/>
      <c r="KC303" s="30"/>
      <c r="KD303" s="30"/>
      <c r="KE303" s="30"/>
      <c r="KF303" s="30"/>
      <c r="KG303" s="30"/>
      <c r="KH303" s="30"/>
      <c r="KI303" s="30"/>
      <c r="KJ303" s="30"/>
      <c r="KK303" s="30"/>
      <c r="KL303" s="30"/>
      <c r="KM303" s="30"/>
      <c r="KN303" s="30"/>
      <c r="KO303" s="30"/>
      <c r="KP303" s="30"/>
      <c r="KQ303" s="30"/>
      <c r="KR303" s="30"/>
      <c r="KS303" s="30"/>
      <c r="KT303" s="30"/>
      <c r="KU303" s="30"/>
      <c r="KV303" s="30"/>
      <c r="KW303" s="30"/>
      <c r="KX303" s="30"/>
      <c r="KY303" s="30"/>
      <c r="KZ303" s="30"/>
      <c r="LA303" s="30"/>
      <c r="LB303" s="30"/>
      <c r="LC303" s="30"/>
      <c r="LD303" s="30"/>
      <c r="LE303" s="30"/>
      <c r="LF303" s="30"/>
      <c r="LG303" s="30"/>
      <c r="LH303" s="30"/>
      <c r="LI303" s="30"/>
      <c r="LJ303" s="30"/>
      <c r="LK303" s="30"/>
      <c r="LL303" s="30"/>
      <c r="LM303" s="30"/>
      <c r="LN303" s="30"/>
      <c r="LO303" s="30"/>
      <c r="LP303" s="30"/>
      <c r="LQ303" s="30"/>
      <c r="LR303" s="30"/>
      <c r="LS303" s="30"/>
      <c r="LT303" s="30"/>
      <c r="LU303" s="30"/>
      <c r="LV303" s="30"/>
      <c r="LW303" s="30"/>
      <c r="LX303" s="30"/>
      <c r="LY303" s="30"/>
      <c r="LZ303" s="30"/>
      <c r="MA303" s="30"/>
      <c r="MB303" s="30"/>
      <c r="MC303" s="30"/>
      <c r="MD303" s="30"/>
      <c r="ME303" s="30"/>
      <c r="MF303" s="30"/>
      <c r="MG303" s="30"/>
      <c r="MH303" s="30"/>
      <c r="MI303" s="30"/>
      <c r="MJ303" s="30"/>
      <c r="MK303" s="30"/>
      <c r="ML303" s="30"/>
      <c r="MM303" s="30"/>
      <c r="MN303" s="30"/>
      <c r="MO303" s="30"/>
      <c r="MP303" s="30"/>
      <c r="MQ303" s="30"/>
      <c r="MR303" s="30"/>
      <c r="MS303" s="30"/>
      <c r="MT303" s="30"/>
      <c r="MU303" s="30"/>
      <c r="MV303" s="30"/>
      <c r="MW303" s="30"/>
      <c r="MX303" s="30"/>
      <c r="MY303" s="30"/>
      <c r="MZ303" s="30"/>
      <c r="NA303" s="30"/>
      <c r="NB303" s="30"/>
      <c r="NC303" s="30"/>
      <c r="ND303" s="30"/>
      <c r="NE303" s="30"/>
      <c r="NF303" s="30"/>
      <c r="NG303" s="30"/>
      <c r="NH303" s="30"/>
      <c r="NI303" s="30"/>
      <c r="NJ303" s="30"/>
      <c r="NK303" s="30"/>
      <c r="NL303" s="30"/>
      <c r="NM303" s="30"/>
      <c r="NN303" s="30"/>
      <c r="NO303" s="30"/>
      <c r="NP303" s="30"/>
      <c r="NQ303" s="30"/>
      <c r="NR303" s="30"/>
    </row>
    <row r="304" spans="1:382" s="3" customFormat="1" ht="20.100000000000001" customHeight="1" x14ac:dyDescent="0.4">
      <c r="A304" s="29">
        <v>2</v>
      </c>
      <c r="B304" s="5" t="s">
        <v>32</v>
      </c>
      <c r="C304" s="5" t="s">
        <v>420</v>
      </c>
      <c r="D304" s="5" t="s">
        <v>41</v>
      </c>
      <c r="E304" s="5" t="s">
        <v>6</v>
      </c>
      <c r="F304" s="5" t="s">
        <v>32</v>
      </c>
      <c r="G304" s="5" t="s">
        <v>32</v>
      </c>
      <c r="H304" s="5" t="s">
        <v>32</v>
      </c>
      <c r="I304" s="8"/>
      <c r="J304" s="8"/>
      <c r="K304" s="8" t="str">
        <f>IF(OR(J304="",E304=""),"",J304+IFERROR(VLOOKUP(E304,リードタイム!$A$2:$C$9,3,FALSE),0))</f>
        <v/>
      </c>
      <c r="L304" s="5" t="s">
        <v>530</v>
      </c>
      <c r="M304" s="8"/>
      <c r="N304" s="8" t="str">
        <f>IF(OR(M304="",E304=""),"",M304+IFERROR(VLOOKUP(E304,リードタイム!$A$2:$D$9,4,FALSE),0))</f>
        <v/>
      </c>
      <c r="O304" s="5" t="s">
        <v>530</v>
      </c>
      <c r="P304" s="5" t="s">
        <v>530</v>
      </c>
      <c r="Q304" s="5" t="s">
        <v>422</v>
      </c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  <c r="FS304" s="30"/>
      <c r="FT304" s="30"/>
      <c r="FU304" s="30"/>
      <c r="FV304" s="30"/>
      <c r="FW304" s="30"/>
      <c r="FX304" s="30"/>
      <c r="FY304" s="30"/>
      <c r="FZ304" s="30"/>
      <c r="GA304" s="30"/>
      <c r="GB304" s="30"/>
      <c r="GC304" s="30"/>
      <c r="GD304" s="30"/>
      <c r="GE304" s="30"/>
      <c r="GF304" s="30"/>
      <c r="GG304" s="30"/>
      <c r="GH304" s="30"/>
      <c r="GI304" s="30"/>
      <c r="GJ304" s="30"/>
      <c r="GK304" s="30"/>
      <c r="GL304" s="30"/>
      <c r="GM304" s="30"/>
      <c r="GN304" s="30"/>
      <c r="GO304" s="30"/>
      <c r="GP304" s="30"/>
      <c r="GQ304" s="30"/>
      <c r="GR304" s="30"/>
      <c r="GS304" s="30"/>
      <c r="GT304" s="30"/>
      <c r="GU304" s="30"/>
      <c r="GV304" s="30"/>
      <c r="GW304" s="30"/>
      <c r="GX304" s="30"/>
      <c r="GY304" s="30"/>
      <c r="GZ304" s="30"/>
      <c r="HA304" s="30"/>
      <c r="HB304" s="30"/>
      <c r="HC304" s="30"/>
      <c r="HD304" s="30"/>
      <c r="HE304" s="30"/>
      <c r="HF304" s="30"/>
      <c r="HG304" s="30"/>
      <c r="HH304" s="30"/>
      <c r="HI304" s="30"/>
      <c r="HJ304" s="30"/>
      <c r="HK304" s="30"/>
      <c r="HL304" s="30"/>
      <c r="HM304" s="30"/>
      <c r="HN304" s="30"/>
      <c r="HO304" s="30"/>
      <c r="HP304" s="30"/>
      <c r="HQ304" s="30"/>
      <c r="HR304" s="30"/>
      <c r="HS304" s="30"/>
      <c r="HT304" s="30"/>
      <c r="HU304" s="30"/>
      <c r="HV304" s="30"/>
      <c r="HW304" s="30"/>
      <c r="HX304" s="30"/>
      <c r="HY304" s="30"/>
      <c r="HZ304" s="30"/>
      <c r="IA304" s="30"/>
      <c r="IB304" s="30"/>
      <c r="IC304" s="30"/>
      <c r="ID304" s="30"/>
      <c r="IE304" s="30"/>
      <c r="IF304" s="30"/>
      <c r="IG304" s="30"/>
      <c r="IH304" s="30"/>
      <c r="II304" s="30"/>
      <c r="IJ304" s="30"/>
      <c r="IK304" s="30"/>
      <c r="IL304" s="30"/>
      <c r="IM304" s="30"/>
      <c r="IN304" s="30"/>
      <c r="IO304" s="30"/>
      <c r="IP304" s="30"/>
      <c r="IQ304" s="30"/>
      <c r="IR304" s="30"/>
      <c r="IS304" s="30"/>
      <c r="IT304" s="30"/>
      <c r="IU304" s="30"/>
      <c r="IV304" s="30"/>
      <c r="IW304" s="30"/>
      <c r="IX304" s="30"/>
      <c r="IY304" s="30"/>
      <c r="IZ304" s="30"/>
      <c r="JA304" s="30"/>
      <c r="JB304" s="30"/>
      <c r="JC304" s="30"/>
      <c r="JD304" s="30"/>
      <c r="JE304" s="30"/>
      <c r="JF304" s="30"/>
      <c r="JG304" s="30"/>
      <c r="JH304" s="30"/>
      <c r="JI304" s="30"/>
      <c r="JJ304" s="30"/>
      <c r="JK304" s="30"/>
      <c r="JL304" s="30"/>
      <c r="JM304" s="30"/>
      <c r="JN304" s="30"/>
      <c r="JO304" s="30"/>
      <c r="JP304" s="30"/>
      <c r="JQ304" s="30"/>
      <c r="JR304" s="30"/>
      <c r="JS304" s="30"/>
      <c r="JT304" s="30"/>
      <c r="JU304" s="30"/>
      <c r="JV304" s="30"/>
      <c r="JW304" s="30"/>
      <c r="JX304" s="30"/>
      <c r="JY304" s="30"/>
      <c r="JZ304" s="30"/>
      <c r="KA304" s="30"/>
      <c r="KB304" s="30"/>
      <c r="KC304" s="30"/>
      <c r="KD304" s="30"/>
      <c r="KE304" s="30"/>
      <c r="KF304" s="30"/>
      <c r="KG304" s="30"/>
      <c r="KH304" s="30"/>
      <c r="KI304" s="30"/>
      <c r="KJ304" s="30"/>
      <c r="KK304" s="30"/>
      <c r="KL304" s="30"/>
      <c r="KM304" s="30"/>
      <c r="KN304" s="30"/>
      <c r="KO304" s="30"/>
      <c r="KP304" s="30"/>
      <c r="KQ304" s="30"/>
      <c r="KR304" s="30"/>
      <c r="KS304" s="30"/>
      <c r="KT304" s="30"/>
      <c r="KU304" s="30"/>
      <c r="KV304" s="30"/>
      <c r="KW304" s="30"/>
      <c r="KX304" s="30"/>
      <c r="KY304" s="30"/>
      <c r="KZ304" s="30"/>
      <c r="LA304" s="30"/>
      <c r="LB304" s="30"/>
      <c r="LC304" s="30"/>
      <c r="LD304" s="30"/>
      <c r="LE304" s="30"/>
      <c r="LF304" s="30"/>
      <c r="LG304" s="30"/>
      <c r="LH304" s="30"/>
      <c r="LI304" s="30"/>
      <c r="LJ304" s="30"/>
      <c r="LK304" s="30"/>
      <c r="LL304" s="30"/>
      <c r="LM304" s="30"/>
      <c r="LN304" s="30"/>
      <c r="LO304" s="30"/>
      <c r="LP304" s="30"/>
      <c r="LQ304" s="30"/>
      <c r="LR304" s="30"/>
      <c r="LS304" s="30"/>
      <c r="LT304" s="30"/>
      <c r="LU304" s="30"/>
      <c r="LV304" s="30"/>
      <c r="LW304" s="30"/>
      <c r="LX304" s="30"/>
      <c r="LY304" s="30"/>
      <c r="LZ304" s="30"/>
      <c r="MA304" s="30"/>
      <c r="MB304" s="30"/>
      <c r="MC304" s="30"/>
      <c r="MD304" s="30"/>
      <c r="ME304" s="30"/>
      <c r="MF304" s="30"/>
      <c r="MG304" s="30"/>
      <c r="MH304" s="30"/>
      <c r="MI304" s="30"/>
      <c r="MJ304" s="30"/>
      <c r="MK304" s="30"/>
      <c r="ML304" s="30"/>
      <c r="MM304" s="30"/>
      <c r="MN304" s="30"/>
      <c r="MO304" s="30"/>
      <c r="MP304" s="30"/>
      <c r="MQ304" s="30"/>
      <c r="MR304" s="30"/>
      <c r="MS304" s="30"/>
      <c r="MT304" s="30"/>
      <c r="MU304" s="30"/>
      <c r="MV304" s="30"/>
      <c r="MW304" s="30"/>
      <c r="MX304" s="30"/>
      <c r="MY304" s="30"/>
      <c r="MZ304" s="30"/>
      <c r="NA304" s="30"/>
      <c r="NB304" s="30"/>
      <c r="NC304" s="30"/>
      <c r="ND304" s="30"/>
      <c r="NE304" s="30"/>
      <c r="NF304" s="30"/>
      <c r="NG304" s="30"/>
      <c r="NH304" s="30"/>
      <c r="NI304" s="30"/>
      <c r="NJ304" s="30"/>
      <c r="NK304" s="30"/>
      <c r="NL304" s="30"/>
      <c r="NM304" s="30"/>
      <c r="NN304" s="30"/>
      <c r="NO304" s="30"/>
      <c r="NP304" s="30"/>
      <c r="NQ304" s="30"/>
      <c r="NR304" s="30"/>
    </row>
    <row r="305" spans="1:382" s="3" customFormat="1" ht="20.100000000000001" customHeight="1" x14ac:dyDescent="0.4">
      <c r="A305" s="29">
        <v>3</v>
      </c>
      <c r="B305" s="5" t="s">
        <v>32</v>
      </c>
      <c r="C305" s="5" t="s">
        <v>420</v>
      </c>
      <c r="D305" s="5" t="s">
        <v>61</v>
      </c>
      <c r="E305" s="5" t="s">
        <v>12</v>
      </c>
      <c r="F305" s="5" t="s">
        <v>32</v>
      </c>
      <c r="G305" s="5" t="s">
        <v>32</v>
      </c>
      <c r="H305" s="5" t="s">
        <v>32</v>
      </c>
      <c r="I305" s="8"/>
      <c r="J305" s="8"/>
      <c r="K305" s="8" t="str">
        <f>IF(OR(J305="",E305=""),"",J305+IFERROR(VLOOKUP(E305,リードタイム!$A$2:$C$9,3,FALSE),0))</f>
        <v/>
      </c>
      <c r="L305" s="5" t="s">
        <v>530</v>
      </c>
      <c r="M305" s="8"/>
      <c r="N305" s="8" t="str">
        <f>IF(OR(M305="",E305=""),"",M305+IFERROR(VLOOKUP(E305,リードタイム!$A$2:$D$9,4,FALSE),0))</f>
        <v/>
      </c>
      <c r="O305" s="5" t="s">
        <v>530</v>
      </c>
      <c r="P305" s="5" t="s">
        <v>530</v>
      </c>
      <c r="Q305" s="5" t="s">
        <v>422</v>
      </c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  <c r="FS305" s="30"/>
      <c r="FT305" s="30"/>
      <c r="FU305" s="30"/>
      <c r="FV305" s="30"/>
      <c r="FW305" s="30"/>
      <c r="FX305" s="30"/>
      <c r="FY305" s="30"/>
      <c r="FZ305" s="30"/>
      <c r="GA305" s="30"/>
      <c r="GB305" s="30"/>
      <c r="GC305" s="30"/>
      <c r="GD305" s="30"/>
      <c r="GE305" s="30"/>
      <c r="GF305" s="30"/>
      <c r="GG305" s="30"/>
      <c r="GH305" s="30"/>
      <c r="GI305" s="30"/>
      <c r="GJ305" s="30"/>
      <c r="GK305" s="30"/>
      <c r="GL305" s="30"/>
      <c r="GM305" s="30"/>
      <c r="GN305" s="30"/>
      <c r="GO305" s="30"/>
      <c r="GP305" s="30"/>
      <c r="GQ305" s="30"/>
      <c r="GR305" s="30"/>
      <c r="GS305" s="30"/>
      <c r="GT305" s="30"/>
      <c r="GU305" s="30"/>
      <c r="GV305" s="30"/>
      <c r="GW305" s="30"/>
      <c r="GX305" s="30"/>
      <c r="GY305" s="30"/>
      <c r="GZ305" s="30"/>
      <c r="HA305" s="30"/>
      <c r="HB305" s="30"/>
      <c r="HC305" s="30"/>
      <c r="HD305" s="30"/>
      <c r="HE305" s="30"/>
      <c r="HF305" s="30"/>
      <c r="HG305" s="30"/>
      <c r="HH305" s="30"/>
      <c r="HI305" s="30"/>
      <c r="HJ305" s="30"/>
      <c r="HK305" s="30"/>
      <c r="HL305" s="30"/>
      <c r="HM305" s="30"/>
      <c r="HN305" s="30"/>
      <c r="HO305" s="30"/>
      <c r="HP305" s="30"/>
      <c r="HQ305" s="30"/>
      <c r="HR305" s="30"/>
      <c r="HS305" s="30"/>
      <c r="HT305" s="30"/>
      <c r="HU305" s="30"/>
      <c r="HV305" s="30"/>
      <c r="HW305" s="30"/>
      <c r="HX305" s="30"/>
      <c r="HY305" s="30"/>
      <c r="HZ305" s="30"/>
      <c r="IA305" s="30"/>
      <c r="IB305" s="30"/>
      <c r="IC305" s="30"/>
      <c r="ID305" s="30"/>
      <c r="IE305" s="30"/>
      <c r="IF305" s="30"/>
      <c r="IG305" s="30"/>
      <c r="IH305" s="30"/>
      <c r="II305" s="30"/>
      <c r="IJ305" s="30"/>
      <c r="IK305" s="30"/>
      <c r="IL305" s="30"/>
      <c r="IM305" s="30"/>
      <c r="IN305" s="30"/>
      <c r="IO305" s="30"/>
      <c r="IP305" s="30"/>
      <c r="IQ305" s="30"/>
      <c r="IR305" s="30"/>
      <c r="IS305" s="30"/>
      <c r="IT305" s="30"/>
      <c r="IU305" s="30"/>
      <c r="IV305" s="30"/>
      <c r="IW305" s="30"/>
      <c r="IX305" s="30"/>
      <c r="IY305" s="30"/>
      <c r="IZ305" s="30"/>
      <c r="JA305" s="30"/>
      <c r="JB305" s="30"/>
      <c r="JC305" s="30"/>
      <c r="JD305" s="30"/>
      <c r="JE305" s="30"/>
      <c r="JF305" s="30"/>
      <c r="JG305" s="30"/>
      <c r="JH305" s="30"/>
      <c r="JI305" s="30"/>
      <c r="JJ305" s="30"/>
      <c r="JK305" s="30"/>
      <c r="JL305" s="30"/>
      <c r="JM305" s="30"/>
      <c r="JN305" s="30"/>
      <c r="JO305" s="30"/>
      <c r="JP305" s="30"/>
      <c r="JQ305" s="30"/>
      <c r="JR305" s="30"/>
      <c r="JS305" s="30"/>
      <c r="JT305" s="30"/>
      <c r="JU305" s="30"/>
      <c r="JV305" s="30"/>
      <c r="JW305" s="30"/>
      <c r="JX305" s="30"/>
      <c r="JY305" s="30"/>
      <c r="JZ305" s="30"/>
      <c r="KA305" s="30"/>
      <c r="KB305" s="30"/>
      <c r="KC305" s="30"/>
      <c r="KD305" s="30"/>
      <c r="KE305" s="30"/>
      <c r="KF305" s="30"/>
      <c r="KG305" s="30"/>
      <c r="KH305" s="30"/>
      <c r="KI305" s="30"/>
      <c r="KJ305" s="30"/>
      <c r="KK305" s="30"/>
      <c r="KL305" s="30"/>
      <c r="KM305" s="30"/>
      <c r="KN305" s="30"/>
      <c r="KO305" s="30"/>
      <c r="KP305" s="30"/>
      <c r="KQ305" s="30"/>
      <c r="KR305" s="30"/>
      <c r="KS305" s="30"/>
      <c r="KT305" s="30"/>
      <c r="KU305" s="30"/>
      <c r="KV305" s="30"/>
      <c r="KW305" s="30"/>
      <c r="KX305" s="30"/>
      <c r="KY305" s="30"/>
      <c r="KZ305" s="30"/>
      <c r="LA305" s="30"/>
      <c r="LB305" s="30"/>
      <c r="LC305" s="30"/>
      <c r="LD305" s="30"/>
      <c r="LE305" s="30"/>
      <c r="LF305" s="30"/>
      <c r="LG305" s="30"/>
      <c r="LH305" s="30"/>
      <c r="LI305" s="30"/>
      <c r="LJ305" s="30"/>
      <c r="LK305" s="30"/>
      <c r="LL305" s="30"/>
      <c r="LM305" s="30"/>
      <c r="LN305" s="30"/>
      <c r="LO305" s="30"/>
      <c r="LP305" s="30"/>
      <c r="LQ305" s="30"/>
      <c r="LR305" s="30"/>
      <c r="LS305" s="30"/>
      <c r="LT305" s="30"/>
      <c r="LU305" s="30"/>
      <c r="LV305" s="30"/>
      <c r="LW305" s="30"/>
      <c r="LX305" s="30"/>
      <c r="LY305" s="30"/>
      <c r="LZ305" s="30"/>
      <c r="MA305" s="30"/>
      <c r="MB305" s="30"/>
      <c r="MC305" s="30"/>
      <c r="MD305" s="30"/>
      <c r="ME305" s="30"/>
      <c r="MF305" s="30"/>
      <c r="MG305" s="30"/>
      <c r="MH305" s="30"/>
      <c r="MI305" s="30"/>
      <c r="MJ305" s="30"/>
      <c r="MK305" s="30"/>
      <c r="ML305" s="30"/>
      <c r="MM305" s="30"/>
      <c r="MN305" s="30"/>
      <c r="MO305" s="30"/>
      <c r="MP305" s="30"/>
      <c r="MQ305" s="30"/>
      <c r="MR305" s="30"/>
      <c r="MS305" s="30"/>
      <c r="MT305" s="30"/>
      <c r="MU305" s="30"/>
      <c r="MV305" s="30"/>
      <c r="MW305" s="30"/>
      <c r="MX305" s="30"/>
      <c r="MY305" s="30"/>
      <c r="MZ305" s="30"/>
      <c r="NA305" s="30"/>
      <c r="NB305" s="30"/>
      <c r="NC305" s="30"/>
      <c r="ND305" s="30"/>
      <c r="NE305" s="30"/>
      <c r="NF305" s="30"/>
      <c r="NG305" s="30"/>
      <c r="NH305" s="30"/>
      <c r="NI305" s="30"/>
      <c r="NJ305" s="30"/>
      <c r="NK305" s="30"/>
      <c r="NL305" s="30"/>
      <c r="NM305" s="30"/>
      <c r="NN305" s="30"/>
      <c r="NO305" s="30"/>
      <c r="NP305" s="30"/>
      <c r="NQ305" s="30"/>
      <c r="NR305" s="30"/>
    </row>
    <row r="306" spans="1:382" s="3" customFormat="1" ht="20.100000000000001" customHeight="1" x14ac:dyDescent="0.4">
      <c r="A306" s="29">
        <v>4</v>
      </c>
      <c r="B306" s="5" t="s">
        <v>32</v>
      </c>
      <c r="C306" s="5" t="s">
        <v>420</v>
      </c>
      <c r="D306" s="5" t="s">
        <v>62</v>
      </c>
      <c r="E306" s="5" t="s">
        <v>8</v>
      </c>
      <c r="F306" s="5" t="s">
        <v>32</v>
      </c>
      <c r="G306" s="5" t="s">
        <v>32</v>
      </c>
      <c r="H306" s="5" t="s">
        <v>32</v>
      </c>
      <c r="I306" s="8"/>
      <c r="J306" s="8"/>
      <c r="K306" s="8" t="str">
        <f>IF(OR(J306="",E306=""),"",J306+IFERROR(VLOOKUP(E306,リードタイム!$A$2:$C$9,3,FALSE),0))</f>
        <v/>
      </c>
      <c r="L306" s="5" t="s">
        <v>530</v>
      </c>
      <c r="M306" s="8"/>
      <c r="N306" s="8" t="str">
        <f>IF(OR(M306="",E306=""),"",M306+IFERROR(VLOOKUP(E306,リードタイム!$A$2:$D$9,4,FALSE),0))</f>
        <v/>
      </c>
      <c r="O306" s="5" t="s">
        <v>530</v>
      </c>
      <c r="P306" s="5" t="s">
        <v>530</v>
      </c>
      <c r="Q306" s="5" t="s">
        <v>422</v>
      </c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  <c r="FS306" s="30"/>
      <c r="FT306" s="30"/>
      <c r="FU306" s="30"/>
      <c r="FV306" s="30"/>
      <c r="FW306" s="30"/>
      <c r="FX306" s="30"/>
      <c r="FY306" s="30"/>
      <c r="FZ306" s="30"/>
      <c r="GA306" s="30"/>
      <c r="GB306" s="30"/>
      <c r="GC306" s="30"/>
      <c r="GD306" s="30"/>
      <c r="GE306" s="30"/>
      <c r="GF306" s="30"/>
      <c r="GG306" s="30"/>
      <c r="GH306" s="30"/>
      <c r="GI306" s="30"/>
      <c r="GJ306" s="30"/>
      <c r="GK306" s="30"/>
      <c r="GL306" s="30"/>
      <c r="GM306" s="30"/>
      <c r="GN306" s="30"/>
      <c r="GO306" s="30"/>
      <c r="GP306" s="30"/>
      <c r="GQ306" s="30"/>
      <c r="GR306" s="30"/>
      <c r="GS306" s="30"/>
      <c r="GT306" s="30"/>
      <c r="GU306" s="30"/>
      <c r="GV306" s="30"/>
      <c r="GW306" s="30"/>
      <c r="GX306" s="30"/>
      <c r="GY306" s="30"/>
      <c r="GZ306" s="30"/>
      <c r="HA306" s="30"/>
      <c r="HB306" s="30"/>
      <c r="HC306" s="30"/>
      <c r="HD306" s="30"/>
      <c r="HE306" s="30"/>
      <c r="HF306" s="30"/>
      <c r="HG306" s="30"/>
      <c r="HH306" s="30"/>
      <c r="HI306" s="30"/>
      <c r="HJ306" s="30"/>
      <c r="HK306" s="30"/>
      <c r="HL306" s="30"/>
      <c r="HM306" s="30"/>
      <c r="HN306" s="30"/>
      <c r="HO306" s="30"/>
      <c r="HP306" s="30"/>
      <c r="HQ306" s="30"/>
      <c r="HR306" s="30"/>
      <c r="HS306" s="30"/>
      <c r="HT306" s="30"/>
      <c r="HU306" s="30"/>
      <c r="HV306" s="30"/>
      <c r="HW306" s="30"/>
      <c r="HX306" s="30"/>
      <c r="HY306" s="30"/>
      <c r="HZ306" s="30"/>
      <c r="IA306" s="30"/>
      <c r="IB306" s="30"/>
      <c r="IC306" s="30"/>
      <c r="ID306" s="30"/>
      <c r="IE306" s="30"/>
      <c r="IF306" s="30"/>
      <c r="IG306" s="30"/>
      <c r="IH306" s="30"/>
      <c r="II306" s="30"/>
      <c r="IJ306" s="30"/>
      <c r="IK306" s="30"/>
      <c r="IL306" s="30"/>
      <c r="IM306" s="30"/>
      <c r="IN306" s="30"/>
      <c r="IO306" s="30"/>
      <c r="IP306" s="30"/>
      <c r="IQ306" s="30"/>
      <c r="IR306" s="30"/>
      <c r="IS306" s="30"/>
      <c r="IT306" s="30"/>
      <c r="IU306" s="30"/>
      <c r="IV306" s="30"/>
      <c r="IW306" s="30"/>
      <c r="IX306" s="30"/>
      <c r="IY306" s="30"/>
      <c r="IZ306" s="30"/>
      <c r="JA306" s="30"/>
      <c r="JB306" s="30"/>
      <c r="JC306" s="30"/>
      <c r="JD306" s="30"/>
      <c r="JE306" s="30"/>
      <c r="JF306" s="30"/>
      <c r="JG306" s="30"/>
      <c r="JH306" s="30"/>
      <c r="JI306" s="30"/>
      <c r="JJ306" s="30"/>
      <c r="JK306" s="30"/>
      <c r="JL306" s="30"/>
      <c r="JM306" s="30"/>
      <c r="JN306" s="30"/>
      <c r="JO306" s="30"/>
      <c r="JP306" s="30"/>
      <c r="JQ306" s="30"/>
      <c r="JR306" s="30"/>
      <c r="JS306" s="30"/>
      <c r="JT306" s="30"/>
      <c r="JU306" s="30"/>
      <c r="JV306" s="30"/>
      <c r="JW306" s="30"/>
      <c r="JX306" s="30"/>
      <c r="JY306" s="30"/>
      <c r="JZ306" s="30"/>
      <c r="KA306" s="30"/>
      <c r="KB306" s="30"/>
      <c r="KC306" s="30"/>
      <c r="KD306" s="30"/>
      <c r="KE306" s="30"/>
      <c r="KF306" s="30"/>
      <c r="KG306" s="30"/>
      <c r="KH306" s="30"/>
      <c r="KI306" s="30"/>
      <c r="KJ306" s="30"/>
      <c r="KK306" s="30"/>
      <c r="KL306" s="30"/>
      <c r="KM306" s="30"/>
      <c r="KN306" s="30"/>
      <c r="KO306" s="30"/>
      <c r="KP306" s="30"/>
      <c r="KQ306" s="30"/>
      <c r="KR306" s="30"/>
      <c r="KS306" s="30"/>
      <c r="KT306" s="30"/>
      <c r="KU306" s="30"/>
      <c r="KV306" s="30"/>
      <c r="KW306" s="30"/>
      <c r="KX306" s="30"/>
      <c r="KY306" s="30"/>
      <c r="KZ306" s="30"/>
      <c r="LA306" s="30"/>
      <c r="LB306" s="30"/>
      <c r="LC306" s="30"/>
      <c r="LD306" s="30"/>
      <c r="LE306" s="30"/>
      <c r="LF306" s="30"/>
      <c r="LG306" s="30"/>
      <c r="LH306" s="30"/>
      <c r="LI306" s="30"/>
      <c r="LJ306" s="30"/>
      <c r="LK306" s="30"/>
      <c r="LL306" s="30"/>
      <c r="LM306" s="30"/>
      <c r="LN306" s="30"/>
      <c r="LO306" s="30"/>
      <c r="LP306" s="30"/>
      <c r="LQ306" s="30"/>
      <c r="LR306" s="30"/>
      <c r="LS306" s="30"/>
      <c r="LT306" s="30"/>
      <c r="LU306" s="30"/>
      <c r="LV306" s="30"/>
      <c r="LW306" s="30"/>
      <c r="LX306" s="30"/>
      <c r="LY306" s="30"/>
      <c r="LZ306" s="30"/>
      <c r="MA306" s="30"/>
      <c r="MB306" s="30"/>
      <c r="MC306" s="30"/>
      <c r="MD306" s="30"/>
      <c r="ME306" s="30"/>
      <c r="MF306" s="30"/>
      <c r="MG306" s="30"/>
      <c r="MH306" s="30"/>
      <c r="MI306" s="30"/>
      <c r="MJ306" s="30"/>
      <c r="MK306" s="30"/>
      <c r="ML306" s="30"/>
      <c r="MM306" s="30"/>
      <c r="MN306" s="30"/>
      <c r="MO306" s="30"/>
      <c r="MP306" s="30"/>
      <c r="MQ306" s="30"/>
      <c r="MR306" s="30"/>
      <c r="MS306" s="30"/>
      <c r="MT306" s="30"/>
      <c r="MU306" s="30"/>
      <c r="MV306" s="30"/>
      <c r="MW306" s="30"/>
      <c r="MX306" s="30"/>
      <c r="MY306" s="30"/>
      <c r="MZ306" s="30"/>
      <c r="NA306" s="30"/>
      <c r="NB306" s="30"/>
      <c r="NC306" s="30"/>
      <c r="ND306" s="30"/>
      <c r="NE306" s="30"/>
      <c r="NF306" s="30"/>
      <c r="NG306" s="30"/>
      <c r="NH306" s="30"/>
      <c r="NI306" s="30"/>
      <c r="NJ306" s="30"/>
      <c r="NK306" s="30"/>
      <c r="NL306" s="30"/>
      <c r="NM306" s="30"/>
      <c r="NN306" s="30"/>
      <c r="NO306" s="30"/>
      <c r="NP306" s="30"/>
      <c r="NQ306" s="30"/>
      <c r="NR306" s="30"/>
    </row>
    <row r="307" spans="1:382" s="3" customFormat="1" ht="20.100000000000001" customHeight="1" x14ac:dyDescent="0.4">
      <c r="A307" s="29">
        <v>1</v>
      </c>
      <c r="B307" s="5" t="s">
        <v>32</v>
      </c>
      <c r="C307" s="5" t="s">
        <v>423</v>
      </c>
      <c r="D307" s="5" t="s">
        <v>168</v>
      </c>
      <c r="E307" s="5" t="s">
        <v>10</v>
      </c>
      <c r="F307" s="5" t="s">
        <v>32</v>
      </c>
      <c r="G307" s="5" t="s">
        <v>32</v>
      </c>
      <c r="H307" s="5" t="s">
        <v>32</v>
      </c>
      <c r="I307" s="8">
        <v>46141.625</v>
      </c>
      <c r="J307" s="8"/>
      <c r="K307" s="8" t="str">
        <f>IF(OR(J307="",E307=""),"",J307+IFERROR(VLOOKUP(E307,リードタイム!$A$2:$C$9,3,FALSE),0))</f>
        <v/>
      </c>
      <c r="L307" s="5" t="s">
        <v>531</v>
      </c>
      <c r="M307" s="8"/>
      <c r="N307" s="8" t="str">
        <f>IF(OR(M307="",E307=""),"",M307+IFERROR(VLOOKUP(E307,リードタイム!$A$2:$D$9,4,FALSE),0))</f>
        <v/>
      </c>
      <c r="O307" s="5" t="s">
        <v>531</v>
      </c>
      <c r="P307" s="5" t="s">
        <v>532</v>
      </c>
      <c r="Q307" s="5" t="s">
        <v>421</v>
      </c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  <c r="FS307" s="30"/>
      <c r="FT307" s="30"/>
      <c r="FU307" s="30"/>
      <c r="FV307" s="30"/>
      <c r="FW307" s="30"/>
      <c r="FX307" s="30"/>
      <c r="FY307" s="30"/>
      <c r="FZ307" s="30"/>
      <c r="GA307" s="30"/>
      <c r="GB307" s="30"/>
      <c r="GC307" s="30"/>
      <c r="GD307" s="30"/>
      <c r="GE307" s="30"/>
      <c r="GF307" s="30"/>
      <c r="GG307" s="30"/>
      <c r="GH307" s="30"/>
      <c r="GI307" s="30"/>
      <c r="GJ307" s="30"/>
      <c r="GK307" s="30"/>
      <c r="GL307" s="30"/>
      <c r="GM307" s="30"/>
      <c r="GN307" s="30"/>
      <c r="GO307" s="30"/>
      <c r="GP307" s="30"/>
      <c r="GQ307" s="30"/>
      <c r="GR307" s="30"/>
      <c r="GS307" s="30"/>
      <c r="GT307" s="30"/>
      <c r="GU307" s="30"/>
      <c r="GV307" s="30"/>
      <c r="GW307" s="30"/>
      <c r="GX307" s="30"/>
      <c r="GY307" s="30"/>
      <c r="GZ307" s="30"/>
      <c r="HA307" s="30"/>
      <c r="HB307" s="30"/>
      <c r="HC307" s="30"/>
      <c r="HD307" s="30"/>
      <c r="HE307" s="30"/>
      <c r="HF307" s="30"/>
      <c r="HG307" s="30"/>
      <c r="HH307" s="30"/>
      <c r="HI307" s="30"/>
      <c r="HJ307" s="30"/>
      <c r="HK307" s="30"/>
      <c r="HL307" s="30"/>
      <c r="HM307" s="30"/>
      <c r="HN307" s="30"/>
      <c r="HO307" s="30"/>
      <c r="HP307" s="30"/>
      <c r="HQ307" s="30"/>
      <c r="HR307" s="30"/>
      <c r="HS307" s="30"/>
      <c r="HT307" s="30"/>
      <c r="HU307" s="30"/>
      <c r="HV307" s="30"/>
      <c r="HW307" s="30"/>
      <c r="HX307" s="30"/>
      <c r="HY307" s="30"/>
      <c r="HZ307" s="30"/>
      <c r="IA307" s="30"/>
      <c r="IB307" s="30"/>
      <c r="IC307" s="30"/>
      <c r="ID307" s="30"/>
      <c r="IE307" s="30"/>
      <c r="IF307" s="30"/>
      <c r="IG307" s="30"/>
      <c r="IH307" s="30"/>
      <c r="II307" s="30"/>
      <c r="IJ307" s="30"/>
      <c r="IK307" s="30"/>
      <c r="IL307" s="30"/>
      <c r="IM307" s="30"/>
      <c r="IN307" s="30"/>
      <c r="IO307" s="30"/>
      <c r="IP307" s="30"/>
      <c r="IQ307" s="30"/>
      <c r="IR307" s="30"/>
      <c r="IS307" s="30"/>
      <c r="IT307" s="30"/>
      <c r="IU307" s="30"/>
      <c r="IV307" s="30"/>
      <c r="IW307" s="30"/>
      <c r="IX307" s="30"/>
      <c r="IY307" s="30"/>
      <c r="IZ307" s="30"/>
      <c r="JA307" s="30"/>
      <c r="JB307" s="30"/>
      <c r="JC307" s="30"/>
      <c r="JD307" s="30"/>
      <c r="JE307" s="30"/>
      <c r="JF307" s="30"/>
      <c r="JG307" s="30"/>
      <c r="JH307" s="30"/>
      <c r="JI307" s="30"/>
      <c r="JJ307" s="30"/>
      <c r="JK307" s="30"/>
      <c r="JL307" s="30"/>
      <c r="JM307" s="30"/>
      <c r="JN307" s="30"/>
      <c r="JO307" s="30"/>
      <c r="JP307" s="30"/>
      <c r="JQ307" s="30"/>
      <c r="JR307" s="30"/>
      <c r="JS307" s="30"/>
      <c r="JT307" s="30"/>
      <c r="JU307" s="30"/>
      <c r="JV307" s="30"/>
      <c r="JW307" s="30"/>
      <c r="JX307" s="30"/>
      <c r="JY307" s="30"/>
      <c r="JZ307" s="30"/>
      <c r="KA307" s="30"/>
      <c r="KB307" s="30"/>
      <c r="KC307" s="30"/>
      <c r="KD307" s="30"/>
      <c r="KE307" s="30"/>
      <c r="KF307" s="30"/>
      <c r="KG307" s="30"/>
      <c r="KH307" s="30"/>
      <c r="KI307" s="30"/>
      <c r="KJ307" s="30"/>
      <c r="KK307" s="30"/>
      <c r="KL307" s="30"/>
      <c r="KM307" s="30"/>
      <c r="KN307" s="30"/>
      <c r="KO307" s="30"/>
      <c r="KP307" s="30"/>
      <c r="KQ307" s="30"/>
      <c r="KR307" s="30"/>
      <c r="KS307" s="30"/>
      <c r="KT307" s="30"/>
      <c r="KU307" s="30"/>
      <c r="KV307" s="30"/>
      <c r="KW307" s="30"/>
      <c r="KX307" s="30"/>
      <c r="KY307" s="30"/>
      <c r="KZ307" s="30"/>
      <c r="LA307" s="30"/>
      <c r="LB307" s="30"/>
      <c r="LC307" s="30"/>
      <c r="LD307" s="30"/>
      <c r="LE307" s="30"/>
      <c r="LF307" s="30"/>
      <c r="LG307" s="30"/>
      <c r="LH307" s="30"/>
      <c r="LI307" s="30"/>
      <c r="LJ307" s="30"/>
      <c r="LK307" s="30"/>
      <c r="LL307" s="30"/>
      <c r="LM307" s="30"/>
      <c r="LN307" s="30"/>
      <c r="LO307" s="30"/>
      <c r="LP307" s="30"/>
      <c r="LQ307" s="30"/>
      <c r="LR307" s="30"/>
      <c r="LS307" s="30"/>
      <c r="LT307" s="30"/>
      <c r="LU307" s="30"/>
      <c r="LV307" s="30"/>
      <c r="LW307" s="30"/>
      <c r="LX307" s="30"/>
      <c r="LY307" s="30"/>
      <c r="LZ307" s="30"/>
      <c r="MA307" s="30"/>
      <c r="MB307" s="30"/>
      <c r="MC307" s="30"/>
      <c r="MD307" s="30"/>
      <c r="ME307" s="30"/>
      <c r="MF307" s="30"/>
      <c r="MG307" s="30"/>
      <c r="MH307" s="30"/>
      <c r="MI307" s="30"/>
      <c r="MJ307" s="30"/>
      <c r="MK307" s="30"/>
      <c r="ML307" s="30"/>
      <c r="MM307" s="30"/>
      <c r="MN307" s="30"/>
      <c r="MO307" s="30"/>
      <c r="MP307" s="30"/>
      <c r="MQ307" s="30"/>
      <c r="MR307" s="30"/>
      <c r="MS307" s="30"/>
      <c r="MT307" s="30"/>
      <c r="MU307" s="30"/>
      <c r="MV307" s="30"/>
      <c r="MW307" s="30"/>
      <c r="MX307" s="30"/>
      <c r="MY307" s="30"/>
      <c r="MZ307" s="30"/>
      <c r="NA307" s="30"/>
      <c r="NB307" s="30"/>
      <c r="NC307" s="30"/>
      <c r="ND307" s="30"/>
      <c r="NE307" s="30"/>
      <c r="NF307" s="30"/>
      <c r="NG307" s="30"/>
      <c r="NH307" s="30"/>
      <c r="NI307" s="30"/>
      <c r="NJ307" s="30"/>
      <c r="NK307" s="30"/>
      <c r="NL307" s="30"/>
      <c r="NM307" s="30"/>
      <c r="NN307" s="30"/>
      <c r="NO307" s="30"/>
      <c r="NP307" s="30"/>
      <c r="NQ307" s="30"/>
      <c r="NR307" s="30"/>
    </row>
    <row r="308" spans="1:382" s="3" customFormat="1" ht="20.100000000000001" customHeight="1" x14ac:dyDescent="0.4">
      <c r="A308" s="29">
        <v>2</v>
      </c>
      <c r="B308" s="5" t="s">
        <v>32</v>
      </c>
      <c r="C308" s="5" t="s">
        <v>423</v>
      </c>
      <c r="D308" s="5" t="s">
        <v>41</v>
      </c>
      <c r="E308" s="5" t="s">
        <v>6</v>
      </c>
      <c r="F308" s="5" t="s">
        <v>32</v>
      </c>
      <c r="G308" s="5" t="s">
        <v>32</v>
      </c>
      <c r="H308" s="5" t="s">
        <v>32</v>
      </c>
      <c r="I308" s="8"/>
      <c r="J308" s="8"/>
      <c r="K308" s="8" t="str">
        <f>IF(OR(J308="",E308=""),"",J308+IFERROR(VLOOKUP(E308,リードタイム!$A$2:$C$9,3,FALSE),0))</f>
        <v/>
      </c>
      <c r="L308" s="5" t="s">
        <v>530</v>
      </c>
      <c r="M308" s="8"/>
      <c r="N308" s="8" t="str">
        <f>IF(OR(M308="",E308=""),"",M308+IFERROR(VLOOKUP(E308,リードタイム!$A$2:$D$9,4,FALSE),0))</f>
        <v/>
      </c>
      <c r="O308" s="5" t="s">
        <v>530</v>
      </c>
      <c r="P308" s="5" t="s">
        <v>530</v>
      </c>
      <c r="Q308" s="5" t="s">
        <v>422</v>
      </c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  <c r="FS308" s="30"/>
      <c r="FT308" s="30"/>
      <c r="FU308" s="30"/>
      <c r="FV308" s="30"/>
      <c r="FW308" s="30"/>
      <c r="FX308" s="30"/>
      <c r="FY308" s="30"/>
      <c r="FZ308" s="30"/>
      <c r="GA308" s="30"/>
      <c r="GB308" s="30"/>
      <c r="GC308" s="30"/>
      <c r="GD308" s="30"/>
      <c r="GE308" s="30"/>
      <c r="GF308" s="30"/>
      <c r="GG308" s="30"/>
      <c r="GH308" s="30"/>
      <c r="GI308" s="30"/>
      <c r="GJ308" s="30"/>
      <c r="GK308" s="30"/>
      <c r="GL308" s="30"/>
      <c r="GM308" s="30"/>
      <c r="GN308" s="30"/>
      <c r="GO308" s="30"/>
      <c r="GP308" s="30"/>
      <c r="GQ308" s="30"/>
      <c r="GR308" s="30"/>
      <c r="GS308" s="30"/>
      <c r="GT308" s="30"/>
      <c r="GU308" s="30"/>
      <c r="GV308" s="30"/>
      <c r="GW308" s="30"/>
      <c r="GX308" s="30"/>
      <c r="GY308" s="30"/>
      <c r="GZ308" s="30"/>
      <c r="HA308" s="30"/>
      <c r="HB308" s="30"/>
      <c r="HC308" s="30"/>
      <c r="HD308" s="30"/>
      <c r="HE308" s="30"/>
      <c r="HF308" s="30"/>
      <c r="HG308" s="30"/>
      <c r="HH308" s="30"/>
      <c r="HI308" s="30"/>
      <c r="HJ308" s="30"/>
      <c r="HK308" s="30"/>
      <c r="HL308" s="30"/>
      <c r="HM308" s="30"/>
      <c r="HN308" s="30"/>
      <c r="HO308" s="30"/>
      <c r="HP308" s="30"/>
      <c r="HQ308" s="30"/>
      <c r="HR308" s="30"/>
      <c r="HS308" s="30"/>
      <c r="HT308" s="30"/>
      <c r="HU308" s="30"/>
      <c r="HV308" s="30"/>
      <c r="HW308" s="30"/>
      <c r="HX308" s="30"/>
      <c r="HY308" s="30"/>
      <c r="HZ308" s="30"/>
      <c r="IA308" s="30"/>
      <c r="IB308" s="30"/>
      <c r="IC308" s="30"/>
      <c r="ID308" s="30"/>
      <c r="IE308" s="30"/>
      <c r="IF308" s="30"/>
      <c r="IG308" s="30"/>
      <c r="IH308" s="30"/>
      <c r="II308" s="30"/>
      <c r="IJ308" s="30"/>
      <c r="IK308" s="30"/>
      <c r="IL308" s="30"/>
      <c r="IM308" s="30"/>
      <c r="IN308" s="30"/>
      <c r="IO308" s="30"/>
      <c r="IP308" s="30"/>
      <c r="IQ308" s="30"/>
      <c r="IR308" s="30"/>
      <c r="IS308" s="30"/>
      <c r="IT308" s="30"/>
      <c r="IU308" s="30"/>
      <c r="IV308" s="30"/>
      <c r="IW308" s="30"/>
      <c r="IX308" s="30"/>
      <c r="IY308" s="30"/>
      <c r="IZ308" s="30"/>
      <c r="JA308" s="30"/>
      <c r="JB308" s="30"/>
      <c r="JC308" s="30"/>
      <c r="JD308" s="30"/>
      <c r="JE308" s="30"/>
      <c r="JF308" s="30"/>
      <c r="JG308" s="30"/>
      <c r="JH308" s="30"/>
      <c r="JI308" s="30"/>
      <c r="JJ308" s="30"/>
      <c r="JK308" s="30"/>
      <c r="JL308" s="30"/>
      <c r="JM308" s="30"/>
      <c r="JN308" s="30"/>
      <c r="JO308" s="30"/>
      <c r="JP308" s="30"/>
      <c r="JQ308" s="30"/>
      <c r="JR308" s="30"/>
      <c r="JS308" s="30"/>
      <c r="JT308" s="30"/>
      <c r="JU308" s="30"/>
      <c r="JV308" s="30"/>
      <c r="JW308" s="30"/>
      <c r="JX308" s="30"/>
      <c r="JY308" s="30"/>
      <c r="JZ308" s="30"/>
      <c r="KA308" s="30"/>
      <c r="KB308" s="30"/>
      <c r="KC308" s="30"/>
      <c r="KD308" s="30"/>
      <c r="KE308" s="30"/>
      <c r="KF308" s="30"/>
      <c r="KG308" s="30"/>
      <c r="KH308" s="30"/>
      <c r="KI308" s="30"/>
      <c r="KJ308" s="30"/>
      <c r="KK308" s="30"/>
      <c r="KL308" s="30"/>
      <c r="KM308" s="30"/>
      <c r="KN308" s="30"/>
      <c r="KO308" s="30"/>
      <c r="KP308" s="30"/>
      <c r="KQ308" s="30"/>
      <c r="KR308" s="30"/>
      <c r="KS308" s="30"/>
      <c r="KT308" s="30"/>
      <c r="KU308" s="30"/>
      <c r="KV308" s="30"/>
      <c r="KW308" s="30"/>
      <c r="KX308" s="30"/>
      <c r="KY308" s="30"/>
      <c r="KZ308" s="30"/>
      <c r="LA308" s="30"/>
      <c r="LB308" s="30"/>
      <c r="LC308" s="30"/>
      <c r="LD308" s="30"/>
      <c r="LE308" s="30"/>
      <c r="LF308" s="30"/>
      <c r="LG308" s="30"/>
      <c r="LH308" s="30"/>
      <c r="LI308" s="30"/>
      <c r="LJ308" s="30"/>
      <c r="LK308" s="30"/>
      <c r="LL308" s="30"/>
      <c r="LM308" s="30"/>
      <c r="LN308" s="30"/>
      <c r="LO308" s="30"/>
      <c r="LP308" s="30"/>
      <c r="LQ308" s="30"/>
      <c r="LR308" s="30"/>
      <c r="LS308" s="30"/>
      <c r="LT308" s="30"/>
      <c r="LU308" s="30"/>
      <c r="LV308" s="30"/>
      <c r="LW308" s="30"/>
      <c r="LX308" s="30"/>
      <c r="LY308" s="30"/>
      <c r="LZ308" s="30"/>
      <c r="MA308" s="30"/>
      <c r="MB308" s="30"/>
      <c r="MC308" s="30"/>
      <c r="MD308" s="30"/>
      <c r="ME308" s="30"/>
      <c r="MF308" s="30"/>
      <c r="MG308" s="30"/>
      <c r="MH308" s="30"/>
      <c r="MI308" s="30"/>
      <c r="MJ308" s="30"/>
      <c r="MK308" s="30"/>
      <c r="ML308" s="30"/>
      <c r="MM308" s="30"/>
      <c r="MN308" s="30"/>
      <c r="MO308" s="30"/>
      <c r="MP308" s="30"/>
      <c r="MQ308" s="30"/>
      <c r="MR308" s="30"/>
      <c r="MS308" s="30"/>
      <c r="MT308" s="30"/>
      <c r="MU308" s="30"/>
      <c r="MV308" s="30"/>
      <c r="MW308" s="30"/>
      <c r="MX308" s="30"/>
      <c r="MY308" s="30"/>
      <c r="MZ308" s="30"/>
      <c r="NA308" s="30"/>
      <c r="NB308" s="30"/>
      <c r="NC308" s="30"/>
      <c r="ND308" s="30"/>
      <c r="NE308" s="30"/>
      <c r="NF308" s="30"/>
      <c r="NG308" s="30"/>
      <c r="NH308" s="30"/>
      <c r="NI308" s="30"/>
      <c r="NJ308" s="30"/>
      <c r="NK308" s="30"/>
      <c r="NL308" s="30"/>
      <c r="NM308" s="30"/>
      <c r="NN308" s="30"/>
      <c r="NO308" s="30"/>
      <c r="NP308" s="30"/>
      <c r="NQ308" s="30"/>
      <c r="NR308" s="30"/>
    </row>
    <row r="309" spans="1:382" s="3" customFormat="1" ht="20.100000000000001" customHeight="1" x14ac:dyDescent="0.4">
      <c r="A309" s="29">
        <v>3</v>
      </c>
      <c r="B309" s="5" t="s">
        <v>32</v>
      </c>
      <c r="C309" s="5" t="s">
        <v>423</v>
      </c>
      <c r="D309" s="5" t="s">
        <v>61</v>
      </c>
      <c r="E309" s="5" t="s">
        <v>12</v>
      </c>
      <c r="F309" s="5" t="s">
        <v>32</v>
      </c>
      <c r="G309" s="5" t="s">
        <v>32</v>
      </c>
      <c r="H309" s="5" t="s">
        <v>32</v>
      </c>
      <c r="I309" s="8"/>
      <c r="J309" s="8"/>
      <c r="K309" s="8" t="str">
        <f>IF(OR(J309="",E309=""),"",J309+IFERROR(VLOOKUP(E309,リードタイム!$A$2:$C$9,3,FALSE),0))</f>
        <v/>
      </c>
      <c r="L309" s="5" t="s">
        <v>530</v>
      </c>
      <c r="M309" s="8"/>
      <c r="N309" s="8" t="str">
        <f>IF(OR(M309="",E309=""),"",M309+IFERROR(VLOOKUP(E309,リードタイム!$A$2:$D$9,4,FALSE),0))</f>
        <v/>
      </c>
      <c r="O309" s="5" t="s">
        <v>530</v>
      </c>
      <c r="P309" s="5" t="s">
        <v>530</v>
      </c>
      <c r="Q309" s="5" t="s">
        <v>422</v>
      </c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  <c r="FS309" s="30"/>
      <c r="FT309" s="30"/>
      <c r="FU309" s="30"/>
      <c r="FV309" s="30"/>
      <c r="FW309" s="30"/>
      <c r="FX309" s="30"/>
      <c r="FY309" s="30"/>
      <c r="FZ309" s="30"/>
      <c r="GA309" s="30"/>
      <c r="GB309" s="30"/>
      <c r="GC309" s="30"/>
      <c r="GD309" s="30"/>
      <c r="GE309" s="30"/>
      <c r="GF309" s="30"/>
      <c r="GG309" s="30"/>
      <c r="GH309" s="30"/>
      <c r="GI309" s="30"/>
      <c r="GJ309" s="30"/>
      <c r="GK309" s="30"/>
      <c r="GL309" s="30"/>
      <c r="GM309" s="30"/>
      <c r="GN309" s="30"/>
      <c r="GO309" s="30"/>
      <c r="GP309" s="30"/>
      <c r="GQ309" s="30"/>
      <c r="GR309" s="30"/>
      <c r="GS309" s="30"/>
      <c r="GT309" s="30"/>
      <c r="GU309" s="30"/>
      <c r="GV309" s="30"/>
      <c r="GW309" s="30"/>
      <c r="GX309" s="30"/>
      <c r="GY309" s="30"/>
      <c r="GZ309" s="30"/>
      <c r="HA309" s="30"/>
      <c r="HB309" s="30"/>
      <c r="HC309" s="30"/>
      <c r="HD309" s="30"/>
      <c r="HE309" s="30"/>
      <c r="HF309" s="30"/>
      <c r="HG309" s="30"/>
      <c r="HH309" s="30"/>
      <c r="HI309" s="30"/>
      <c r="HJ309" s="30"/>
      <c r="HK309" s="30"/>
      <c r="HL309" s="30"/>
      <c r="HM309" s="30"/>
      <c r="HN309" s="30"/>
      <c r="HO309" s="30"/>
      <c r="HP309" s="30"/>
      <c r="HQ309" s="30"/>
      <c r="HR309" s="30"/>
      <c r="HS309" s="30"/>
      <c r="HT309" s="30"/>
      <c r="HU309" s="30"/>
      <c r="HV309" s="30"/>
      <c r="HW309" s="30"/>
      <c r="HX309" s="30"/>
      <c r="HY309" s="30"/>
      <c r="HZ309" s="30"/>
      <c r="IA309" s="30"/>
      <c r="IB309" s="30"/>
      <c r="IC309" s="30"/>
      <c r="ID309" s="30"/>
      <c r="IE309" s="30"/>
      <c r="IF309" s="30"/>
      <c r="IG309" s="30"/>
      <c r="IH309" s="30"/>
      <c r="II309" s="30"/>
      <c r="IJ309" s="30"/>
      <c r="IK309" s="30"/>
      <c r="IL309" s="30"/>
      <c r="IM309" s="30"/>
      <c r="IN309" s="30"/>
      <c r="IO309" s="30"/>
      <c r="IP309" s="30"/>
      <c r="IQ309" s="30"/>
      <c r="IR309" s="30"/>
      <c r="IS309" s="30"/>
      <c r="IT309" s="30"/>
      <c r="IU309" s="30"/>
      <c r="IV309" s="30"/>
      <c r="IW309" s="30"/>
      <c r="IX309" s="30"/>
      <c r="IY309" s="30"/>
      <c r="IZ309" s="30"/>
      <c r="JA309" s="30"/>
      <c r="JB309" s="30"/>
      <c r="JC309" s="30"/>
      <c r="JD309" s="30"/>
      <c r="JE309" s="30"/>
      <c r="JF309" s="30"/>
      <c r="JG309" s="30"/>
      <c r="JH309" s="30"/>
      <c r="JI309" s="30"/>
      <c r="JJ309" s="30"/>
      <c r="JK309" s="30"/>
      <c r="JL309" s="30"/>
      <c r="JM309" s="30"/>
      <c r="JN309" s="30"/>
      <c r="JO309" s="30"/>
      <c r="JP309" s="30"/>
      <c r="JQ309" s="30"/>
      <c r="JR309" s="30"/>
      <c r="JS309" s="30"/>
      <c r="JT309" s="30"/>
      <c r="JU309" s="30"/>
      <c r="JV309" s="30"/>
      <c r="JW309" s="30"/>
      <c r="JX309" s="30"/>
      <c r="JY309" s="30"/>
      <c r="JZ309" s="30"/>
      <c r="KA309" s="30"/>
      <c r="KB309" s="30"/>
      <c r="KC309" s="30"/>
      <c r="KD309" s="30"/>
      <c r="KE309" s="30"/>
      <c r="KF309" s="30"/>
      <c r="KG309" s="30"/>
      <c r="KH309" s="30"/>
      <c r="KI309" s="30"/>
      <c r="KJ309" s="30"/>
      <c r="KK309" s="30"/>
      <c r="KL309" s="30"/>
      <c r="KM309" s="30"/>
      <c r="KN309" s="30"/>
      <c r="KO309" s="30"/>
      <c r="KP309" s="30"/>
      <c r="KQ309" s="30"/>
      <c r="KR309" s="30"/>
      <c r="KS309" s="30"/>
      <c r="KT309" s="30"/>
      <c r="KU309" s="30"/>
      <c r="KV309" s="30"/>
      <c r="KW309" s="30"/>
      <c r="KX309" s="30"/>
      <c r="KY309" s="30"/>
      <c r="KZ309" s="30"/>
      <c r="LA309" s="30"/>
      <c r="LB309" s="30"/>
      <c r="LC309" s="30"/>
      <c r="LD309" s="30"/>
      <c r="LE309" s="30"/>
      <c r="LF309" s="30"/>
      <c r="LG309" s="30"/>
      <c r="LH309" s="30"/>
      <c r="LI309" s="30"/>
      <c r="LJ309" s="30"/>
      <c r="LK309" s="30"/>
      <c r="LL309" s="30"/>
      <c r="LM309" s="30"/>
      <c r="LN309" s="30"/>
      <c r="LO309" s="30"/>
      <c r="LP309" s="30"/>
      <c r="LQ309" s="30"/>
      <c r="LR309" s="30"/>
      <c r="LS309" s="30"/>
      <c r="LT309" s="30"/>
      <c r="LU309" s="30"/>
      <c r="LV309" s="30"/>
      <c r="LW309" s="30"/>
      <c r="LX309" s="30"/>
      <c r="LY309" s="30"/>
      <c r="LZ309" s="30"/>
      <c r="MA309" s="30"/>
      <c r="MB309" s="30"/>
      <c r="MC309" s="30"/>
      <c r="MD309" s="30"/>
      <c r="ME309" s="30"/>
      <c r="MF309" s="30"/>
      <c r="MG309" s="30"/>
      <c r="MH309" s="30"/>
      <c r="MI309" s="30"/>
      <c r="MJ309" s="30"/>
      <c r="MK309" s="30"/>
      <c r="ML309" s="30"/>
      <c r="MM309" s="30"/>
      <c r="MN309" s="30"/>
      <c r="MO309" s="30"/>
      <c r="MP309" s="30"/>
      <c r="MQ309" s="30"/>
      <c r="MR309" s="30"/>
      <c r="MS309" s="30"/>
      <c r="MT309" s="30"/>
      <c r="MU309" s="30"/>
      <c r="MV309" s="30"/>
      <c r="MW309" s="30"/>
      <c r="MX309" s="30"/>
      <c r="MY309" s="30"/>
      <c r="MZ309" s="30"/>
      <c r="NA309" s="30"/>
      <c r="NB309" s="30"/>
      <c r="NC309" s="30"/>
      <c r="ND309" s="30"/>
      <c r="NE309" s="30"/>
      <c r="NF309" s="30"/>
      <c r="NG309" s="30"/>
      <c r="NH309" s="30"/>
      <c r="NI309" s="30"/>
      <c r="NJ309" s="30"/>
      <c r="NK309" s="30"/>
      <c r="NL309" s="30"/>
      <c r="NM309" s="30"/>
      <c r="NN309" s="30"/>
      <c r="NO309" s="30"/>
      <c r="NP309" s="30"/>
      <c r="NQ309" s="30"/>
      <c r="NR309" s="30"/>
    </row>
    <row r="310" spans="1:382" s="3" customFormat="1" ht="20.100000000000001" customHeight="1" x14ac:dyDescent="0.4">
      <c r="A310" s="29">
        <v>4</v>
      </c>
      <c r="B310" s="5" t="s">
        <v>32</v>
      </c>
      <c r="C310" s="5" t="s">
        <v>423</v>
      </c>
      <c r="D310" s="5" t="s">
        <v>62</v>
      </c>
      <c r="E310" s="5" t="s">
        <v>8</v>
      </c>
      <c r="F310" s="5" t="s">
        <v>32</v>
      </c>
      <c r="G310" s="5" t="s">
        <v>32</v>
      </c>
      <c r="H310" s="5" t="s">
        <v>32</v>
      </c>
      <c r="I310" s="8"/>
      <c r="J310" s="8"/>
      <c r="K310" s="8" t="str">
        <f>IF(OR(J310="",E310=""),"",J310+IFERROR(VLOOKUP(E310,リードタイム!$A$2:$C$9,3,FALSE),0))</f>
        <v/>
      </c>
      <c r="L310" s="5" t="s">
        <v>530</v>
      </c>
      <c r="M310" s="8"/>
      <c r="N310" s="8" t="str">
        <f>IF(OR(M310="",E310=""),"",M310+IFERROR(VLOOKUP(E310,リードタイム!$A$2:$D$9,4,FALSE),0))</f>
        <v/>
      </c>
      <c r="O310" s="5" t="s">
        <v>530</v>
      </c>
      <c r="P310" s="5" t="s">
        <v>530</v>
      </c>
      <c r="Q310" s="5" t="s">
        <v>422</v>
      </c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  <c r="FS310" s="30"/>
      <c r="FT310" s="30"/>
      <c r="FU310" s="30"/>
      <c r="FV310" s="30"/>
      <c r="FW310" s="30"/>
      <c r="FX310" s="30"/>
      <c r="FY310" s="30"/>
      <c r="FZ310" s="30"/>
      <c r="GA310" s="30"/>
      <c r="GB310" s="30"/>
      <c r="GC310" s="30"/>
      <c r="GD310" s="30"/>
      <c r="GE310" s="30"/>
      <c r="GF310" s="30"/>
      <c r="GG310" s="30"/>
      <c r="GH310" s="30"/>
      <c r="GI310" s="30"/>
      <c r="GJ310" s="30"/>
      <c r="GK310" s="30"/>
      <c r="GL310" s="30"/>
      <c r="GM310" s="30"/>
      <c r="GN310" s="30"/>
      <c r="GO310" s="30"/>
      <c r="GP310" s="30"/>
      <c r="GQ310" s="30"/>
      <c r="GR310" s="30"/>
      <c r="GS310" s="30"/>
      <c r="GT310" s="30"/>
      <c r="GU310" s="30"/>
      <c r="GV310" s="30"/>
      <c r="GW310" s="30"/>
      <c r="GX310" s="30"/>
      <c r="GY310" s="30"/>
      <c r="GZ310" s="30"/>
      <c r="HA310" s="30"/>
      <c r="HB310" s="30"/>
      <c r="HC310" s="30"/>
      <c r="HD310" s="30"/>
      <c r="HE310" s="30"/>
      <c r="HF310" s="30"/>
      <c r="HG310" s="30"/>
      <c r="HH310" s="30"/>
      <c r="HI310" s="30"/>
      <c r="HJ310" s="30"/>
      <c r="HK310" s="30"/>
      <c r="HL310" s="30"/>
      <c r="HM310" s="30"/>
      <c r="HN310" s="30"/>
      <c r="HO310" s="30"/>
      <c r="HP310" s="30"/>
      <c r="HQ310" s="30"/>
      <c r="HR310" s="30"/>
      <c r="HS310" s="30"/>
      <c r="HT310" s="30"/>
      <c r="HU310" s="30"/>
      <c r="HV310" s="30"/>
      <c r="HW310" s="30"/>
      <c r="HX310" s="30"/>
      <c r="HY310" s="30"/>
      <c r="HZ310" s="30"/>
      <c r="IA310" s="30"/>
      <c r="IB310" s="30"/>
      <c r="IC310" s="30"/>
      <c r="ID310" s="30"/>
      <c r="IE310" s="30"/>
      <c r="IF310" s="30"/>
      <c r="IG310" s="30"/>
      <c r="IH310" s="30"/>
      <c r="II310" s="30"/>
      <c r="IJ310" s="30"/>
      <c r="IK310" s="30"/>
      <c r="IL310" s="30"/>
      <c r="IM310" s="30"/>
      <c r="IN310" s="30"/>
      <c r="IO310" s="30"/>
      <c r="IP310" s="30"/>
      <c r="IQ310" s="30"/>
      <c r="IR310" s="30"/>
      <c r="IS310" s="30"/>
      <c r="IT310" s="30"/>
      <c r="IU310" s="30"/>
      <c r="IV310" s="30"/>
      <c r="IW310" s="30"/>
      <c r="IX310" s="30"/>
      <c r="IY310" s="30"/>
      <c r="IZ310" s="30"/>
      <c r="JA310" s="30"/>
      <c r="JB310" s="30"/>
      <c r="JC310" s="30"/>
      <c r="JD310" s="30"/>
      <c r="JE310" s="30"/>
      <c r="JF310" s="30"/>
      <c r="JG310" s="30"/>
      <c r="JH310" s="30"/>
      <c r="JI310" s="30"/>
      <c r="JJ310" s="30"/>
      <c r="JK310" s="30"/>
      <c r="JL310" s="30"/>
      <c r="JM310" s="30"/>
      <c r="JN310" s="30"/>
      <c r="JO310" s="30"/>
      <c r="JP310" s="30"/>
      <c r="JQ310" s="30"/>
      <c r="JR310" s="30"/>
      <c r="JS310" s="30"/>
      <c r="JT310" s="30"/>
      <c r="JU310" s="30"/>
      <c r="JV310" s="30"/>
      <c r="JW310" s="30"/>
      <c r="JX310" s="30"/>
      <c r="JY310" s="30"/>
      <c r="JZ310" s="30"/>
      <c r="KA310" s="30"/>
      <c r="KB310" s="30"/>
      <c r="KC310" s="30"/>
      <c r="KD310" s="30"/>
      <c r="KE310" s="30"/>
      <c r="KF310" s="30"/>
      <c r="KG310" s="30"/>
      <c r="KH310" s="30"/>
      <c r="KI310" s="30"/>
      <c r="KJ310" s="30"/>
      <c r="KK310" s="30"/>
      <c r="KL310" s="30"/>
      <c r="KM310" s="30"/>
      <c r="KN310" s="30"/>
      <c r="KO310" s="30"/>
      <c r="KP310" s="30"/>
      <c r="KQ310" s="30"/>
      <c r="KR310" s="30"/>
      <c r="KS310" s="30"/>
      <c r="KT310" s="30"/>
      <c r="KU310" s="30"/>
      <c r="KV310" s="30"/>
      <c r="KW310" s="30"/>
      <c r="KX310" s="30"/>
      <c r="KY310" s="30"/>
      <c r="KZ310" s="30"/>
      <c r="LA310" s="30"/>
      <c r="LB310" s="30"/>
      <c r="LC310" s="30"/>
      <c r="LD310" s="30"/>
      <c r="LE310" s="30"/>
      <c r="LF310" s="30"/>
      <c r="LG310" s="30"/>
      <c r="LH310" s="30"/>
      <c r="LI310" s="30"/>
      <c r="LJ310" s="30"/>
      <c r="LK310" s="30"/>
      <c r="LL310" s="30"/>
      <c r="LM310" s="30"/>
      <c r="LN310" s="30"/>
      <c r="LO310" s="30"/>
      <c r="LP310" s="30"/>
      <c r="LQ310" s="30"/>
      <c r="LR310" s="30"/>
      <c r="LS310" s="30"/>
      <c r="LT310" s="30"/>
      <c r="LU310" s="30"/>
      <c r="LV310" s="30"/>
      <c r="LW310" s="30"/>
      <c r="LX310" s="30"/>
      <c r="LY310" s="30"/>
      <c r="LZ310" s="30"/>
      <c r="MA310" s="30"/>
      <c r="MB310" s="30"/>
      <c r="MC310" s="30"/>
      <c r="MD310" s="30"/>
      <c r="ME310" s="30"/>
      <c r="MF310" s="30"/>
      <c r="MG310" s="30"/>
      <c r="MH310" s="30"/>
      <c r="MI310" s="30"/>
      <c r="MJ310" s="30"/>
      <c r="MK310" s="30"/>
      <c r="ML310" s="30"/>
      <c r="MM310" s="30"/>
      <c r="MN310" s="30"/>
      <c r="MO310" s="30"/>
      <c r="MP310" s="30"/>
      <c r="MQ310" s="30"/>
      <c r="MR310" s="30"/>
      <c r="MS310" s="30"/>
      <c r="MT310" s="30"/>
      <c r="MU310" s="30"/>
      <c r="MV310" s="30"/>
      <c r="MW310" s="30"/>
      <c r="MX310" s="30"/>
      <c r="MY310" s="30"/>
      <c r="MZ310" s="30"/>
      <c r="NA310" s="30"/>
      <c r="NB310" s="30"/>
      <c r="NC310" s="30"/>
      <c r="ND310" s="30"/>
      <c r="NE310" s="30"/>
      <c r="NF310" s="30"/>
      <c r="NG310" s="30"/>
      <c r="NH310" s="30"/>
      <c r="NI310" s="30"/>
      <c r="NJ310" s="30"/>
      <c r="NK310" s="30"/>
      <c r="NL310" s="30"/>
      <c r="NM310" s="30"/>
      <c r="NN310" s="30"/>
      <c r="NO310" s="30"/>
      <c r="NP310" s="30"/>
      <c r="NQ310" s="30"/>
      <c r="NR310" s="30"/>
    </row>
    <row r="311" spans="1:382" s="3" customFormat="1" ht="20.100000000000001" customHeight="1" x14ac:dyDescent="0.4">
      <c r="A311" s="29">
        <v>1</v>
      </c>
      <c r="B311" s="5">
        <v>1927</v>
      </c>
      <c r="C311" s="5" t="s">
        <v>424</v>
      </c>
      <c r="D311" s="5" t="s">
        <v>236</v>
      </c>
      <c r="E311" s="5" t="s">
        <v>4</v>
      </c>
      <c r="F311" s="5" t="s">
        <v>32</v>
      </c>
      <c r="G311" s="5" t="s">
        <v>32</v>
      </c>
      <c r="H311" s="5" t="s">
        <v>32</v>
      </c>
      <c r="I311" s="8"/>
      <c r="J311" s="8"/>
      <c r="K311" s="8" t="str">
        <f>IF(OR(J311="",E311=""),"",J311+IFERROR(VLOOKUP(E311,リードタイム!$A$2:$C$9,3,FALSE),0))</f>
        <v/>
      </c>
      <c r="L311" s="5" t="s">
        <v>531</v>
      </c>
      <c r="M311" s="8"/>
      <c r="N311" s="8" t="str">
        <f>IF(OR(M311="",E311=""),"",M311+IFERROR(VLOOKUP(E311,リードタイム!$A$2:$D$9,4,FALSE),0))</f>
        <v/>
      </c>
      <c r="O311" s="5" t="s">
        <v>531</v>
      </c>
      <c r="P311" s="5" t="s">
        <v>532</v>
      </c>
      <c r="Q311" s="5" t="s">
        <v>32</v>
      </c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  <c r="FS311" s="30"/>
      <c r="FT311" s="30"/>
      <c r="FU311" s="30"/>
      <c r="FV311" s="30"/>
      <c r="FW311" s="30"/>
      <c r="FX311" s="30"/>
      <c r="FY311" s="30"/>
      <c r="FZ311" s="30"/>
      <c r="GA311" s="30"/>
      <c r="GB311" s="30"/>
      <c r="GC311" s="30"/>
      <c r="GD311" s="30"/>
      <c r="GE311" s="30"/>
      <c r="GF311" s="30"/>
      <c r="GG311" s="30"/>
      <c r="GH311" s="30"/>
      <c r="GI311" s="30"/>
      <c r="GJ311" s="30"/>
      <c r="GK311" s="30"/>
      <c r="GL311" s="30"/>
      <c r="GM311" s="30"/>
      <c r="GN311" s="30"/>
      <c r="GO311" s="30"/>
      <c r="GP311" s="30"/>
      <c r="GQ311" s="30"/>
      <c r="GR311" s="30"/>
      <c r="GS311" s="30"/>
      <c r="GT311" s="30"/>
      <c r="GU311" s="30"/>
      <c r="GV311" s="30"/>
      <c r="GW311" s="30"/>
      <c r="GX311" s="30"/>
      <c r="GY311" s="30"/>
      <c r="GZ311" s="30"/>
      <c r="HA311" s="30"/>
      <c r="HB311" s="30"/>
      <c r="HC311" s="30"/>
      <c r="HD311" s="30"/>
      <c r="HE311" s="30"/>
      <c r="HF311" s="30"/>
      <c r="HG311" s="30"/>
      <c r="HH311" s="30"/>
      <c r="HI311" s="30"/>
      <c r="HJ311" s="30"/>
      <c r="HK311" s="30"/>
      <c r="HL311" s="30"/>
      <c r="HM311" s="30"/>
      <c r="HN311" s="30"/>
      <c r="HO311" s="30"/>
      <c r="HP311" s="30"/>
      <c r="HQ311" s="30"/>
      <c r="HR311" s="30"/>
      <c r="HS311" s="30"/>
      <c r="HT311" s="30"/>
      <c r="HU311" s="30"/>
      <c r="HV311" s="30"/>
      <c r="HW311" s="30"/>
      <c r="HX311" s="30"/>
      <c r="HY311" s="30"/>
      <c r="HZ311" s="30"/>
      <c r="IA311" s="30"/>
      <c r="IB311" s="30"/>
      <c r="IC311" s="30"/>
      <c r="ID311" s="30"/>
      <c r="IE311" s="30"/>
      <c r="IF311" s="30"/>
      <c r="IG311" s="30"/>
      <c r="IH311" s="30"/>
      <c r="II311" s="30"/>
      <c r="IJ311" s="30"/>
      <c r="IK311" s="30"/>
      <c r="IL311" s="30"/>
      <c r="IM311" s="30"/>
      <c r="IN311" s="30"/>
      <c r="IO311" s="30"/>
      <c r="IP311" s="30"/>
      <c r="IQ311" s="30"/>
      <c r="IR311" s="30"/>
      <c r="IS311" s="30"/>
      <c r="IT311" s="30"/>
      <c r="IU311" s="30"/>
      <c r="IV311" s="30"/>
      <c r="IW311" s="30"/>
      <c r="IX311" s="30"/>
      <c r="IY311" s="30"/>
      <c r="IZ311" s="30"/>
      <c r="JA311" s="30"/>
      <c r="JB311" s="30"/>
      <c r="JC311" s="30"/>
      <c r="JD311" s="30"/>
      <c r="JE311" s="30"/>
      <c r="JF311" s="30"/>
      <c r="JG311" s="30"/>
      <c r="JH311" s="30"/>
      <c r="JI311" s="30"/>
      <c r="JJ311" s="30"/>
      <c r="JK311" s="30"/>
      <c r="JL311" s="30"/>
      <c r="JM311" s="30"/>
      <c r="JN311" s="30"/>
      <c r="JO311" s="30"/>
      <c r="JP311" s="30"/>
      <c r="JQ311" s="30"/>
      <c r="JR311" s="30"/>
      <c r="JS311" s="30"/>
      <c r="JT311" s="30"/>
      <c r="JU311" s="30"/>
      <c r="JV311" s="30"/>
      <c r="JW311" s="30"/>
      <c r="JX311" s="30"/>
      <c r="JY311" s="30"/>
      <c r="JZ311" s="30"/>
      <c r="KA311" s="30"/>
      <c r="KB311" s="30"/>
      <c r="KC311" s="30"/>
      <c r="KD311" s="30"/>
      <c r="KE311" s="30"/>
      <c r="KF311" s="30"/>
      <c r="KG311" s="30"/>
      <c r="KH311" s="30"/>
      <c r="KI311" s="30"/>
      <c r="KJ311" s="30"/>
      <c r="KK311" s="30"/>
      <c r="KL311" s="30"/>
      <c r="KM311" s="30"/>
      <c r="KN311" s="30"/>
      <c r="KO311" s="30"/>
      <c r="KP311" s="30"/>
      <c r="KQ311" s="30"/>
      <c r="KR311" s="30"/>
      <c r="KS311" s="30"/>
      <c r="KT311" s="30"/>
      <c r="KU311" s="30"/>
      <c r="KV311" s="30"/>
      <c r="KW311" s="30"/>
      <c r="KX311" s="30"/>
      <c r="KY311" s="30"/>
      <c r="KZ311" s="30"/>
      <c r="LA311" s="30"/>
      <c r="LB311" s="30"/>
      <c r="LC311" s="30"/>
      <c r="LD311" s="30"/>
      <c r="LE311" s="30"/>
      <c r="LF311" s="30"/>
      <c r="LG311" s="30"/>
      <c r="LH311" s="30"/>
      <c r="LI311" s="30"/>
      <c r="LJ311" s="30"/>
      <c r="LK311" s="30"/>
      <c r="LL311" s="30"/>
      <c r="LM311" s="30"/>
      <c r="LN311" s="30"/>
      <c r="LO311" s="30"/>
      <c r="LP311" s="30"/>
      <c r="LQ311" s="30"/>
      <c r="LR311" s="30"/>
      <c r="LS311" s="30"/>
      <c r="LT311" s="30"/>
      <c r="LU311" s="30"/>
      <c r="LV311" s="30"/>
      <c r="LW311" s="30"/>
      <c r="LX311" s="30"/>
      <c r="LY311" s="30"/>
      <c r="LZ311" s="30"/>
      <c r="MA311" s="30"/>
      <c r="MB311" s="30"/>
      <c r="MC311" s="30"/>
      <c r="MD311" s="30"/>
      <c r="ME311" s="30"/>
      <c r="MF311" s="30"/>
      <c r="MG311" s="30"/>
      <c r="MH311" s="30"/>
      <c r="MI311" s="30"/>
      <c r="MJ311" s="30"/>
      <c r="MK311" s="30"/>
      <c r="ML311" s="30"/>
      <c r="MM311" s="30"/>
      <c r="MN311" s="30"/>
      <c r="MO311" s="30"/>
      <c r="MP311" s="30"/>
      <c r="MQ311" s="30"/>
      <c r="MR311" s="30"/>
      <c r="MS311" s="30"/>
      <c r="MT311" s="30"/>
      <c r="MU311" s="30"/>
      <c r="MV311" s="30"/>
      <c r="MW311" s="30"/>
      <c r="MX311" s="30"/>
      <c r="MY311" s="30"/>
      <c r="MZ311" s="30"/>
      <c r="NA311" s="30"/>
      <c r="NB311" s="30"/>
      <c r="NC311" s="30"/>
      <c r="ND311" s="30"/>
      <c r="NE311" s="30"/>
      <c r="NF311" s="30"/>
      <c r="NG311" s="30"/>
      <c r="NH311" s="30"/>
      <c r="NI311" s="30"/>
      <c r="NJ311" s="30"/>
      <c r="NK311" s="30"/>
      <c r="NL311" s="30"/>
      <c r="NM311" s="30"/>
      <c r="NN311" s="30"/>
      <c r="NO311" s="30"/>
      <c r="NP311" s="30"/>
      <c r="NQ311" s="30"/>
      <c r="NR311" s="30"/>
    </row>
    <row r="312" spans="1:382" s="3" customFormat="1" ht="20.100000000000001" customHeight="1" x14ac:dyDescent="0.4">
      <c r="A312" s="29">
        <v>1</v>
      </c>
      <c r="B312" s="5" t="s">
        <v>32</v>
      </c>
      <c r="C312" s="5" t="s">
        <v>425</v>
      </c>
      <c r="D312" s="5" t="s">
        <v>168</v>
      </c>
      <c r="E312" s="5" t="s">
        <v>10</v>
      </c>
      <c r="F312" s="5" t="s">
        <v>32</v>
      </c>
      <c r="G312" s="5" t="s">
        <v>32</v>
      </c>
      <c r="H312" s="5" t="s">
        <v>32</v>
      </c>
      <c r="I312" s="8">
        <v>46141.625</v>
      </c>
      <c r="J312" s="8"/>
      <c r="K312" s="8" t="str">
        <f>IF(OR(J312="",E312=""),"",J312+IFERROR(VLOOKUP(E312,リードタイム!$A$2:$C$9,3,FALSE),0))</f>
        <v/>
      </c>
      <c r="L312" s="5" t="s">
        <v>531</v>
      </c>
      <c r="M312" s="8"/>
      <c r="N312" s="8" t="str">
        <f>IF(OR(M312="",E312=""),"",M312+IFERROR(VLOOKUP(E312,リードタイム!$A$2:$D$9,4,FALSE),0))</f>
        <v/>
      </c>
      <c r="O312" s="5" t="s">
        <v>531</v>
      </c>
      <c r="P312" s="5" t="s">
        <v>532</v>
      </c>
      <c r="Q312" s="5" t="s">
        <v>421</v>
      </c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  <c r="FS312" s="30"/>
      <c r="FT312" s="30"/>
      <c r="FU312" s="30"/>
      <c r="FV312" s="30"/>
      <c r="FW312" s="30"/>
      <c r="FX312" s="30"/>
      <c r="FY312" s="30"/>
      <c r="FZ312" s="30"/>
      <c r="GA312" s="30"/>
      <c r="GB312" s="30"/>
      <c r="GC312" s="30"/>
      <c r="GD312" s="30"/>
      <c r="GE312" s="30"/>
      <c r="GF312" s="30"/>
      <c r="GG312" s="30"/>
      <c r="GH312" s="30"/>
      <c r="GI312" s="30"/>
      <c r="GJ312" s="30"/>
      <c r="GK312" s="30"/>
      <c r="GL312" s="30"/>
      <c r="GM312" s="30"/>
      <c r="GN312" s="30"/>
      <c r="GO312" s="30"/>
      <c r="GP312" s="30"/>
      <c r="GQ312" s="30"/>
      <c r="GR312" s="30"/>
      <c r="GS312" s="30"/>
      <c r="GT312" s="30"/>
      <c r="GU312" s="30"/>
      <c r="GV312" s="30"/>
      <c r="GW312" s="30"/>
      <c r="GX312" s="30"/>
      <c r="GY312" s="30"/>
      <c r="GZ312" s="30"/>
      <c r="HA312" s="30"/>
      <c r="HB312" s="30"/>
      <c r="HC312" s="30"/>
      <c r="HD312" s="30"/>
      <c r="HE312" s="30"/>
      <c r="HF312" s="30"/>
      <c r="HG312" s="30"/>
      <c r="HH312" s="30"/>
      <c r="HI312" s="30"/>
      <c r="HJ312" s="30"/>
      <c r="HK312" s="30"/>
      <c r="HL312" s="30"/>
      <c r="HM312" s="30"/>
      <c r="HN312" s="30"/>
      <c r="HO312" s="30"/>
      <c r="HP312" s="30"/>
      <c r="HQ312" s="30"/>
      <c r="HR312" s="30"/>
      <c r="HS312" s="30"/>
      <c r="HT312" s="30"/>
      <c r="HU312" s="30"/>
      <c r="HV312" s="30"/>
      <c r="HW312" s="30"/>
      <c r="HX312" s="30"/>
      <c r="HY312" s="30"/>
      <c r="HZ312" s="30"/>
      <c r="IA312" s="30"/>
      <c r="IB312" s="30"/>
      <c r="IC312" s="30"/>
      <c r="ID312" s="30"/>
      <c r="IE312" s="30"/>
      <c r="IF312" s="30"/>
      <c r="IG312" s="30"/>
      <c r="IH312" s="30"/>
      <c r="II312" s="30"/>
      <c r="IJ312" s="30"/>
      <c r="IK312" s="30"/>
      <c r="IL312" s="30"/>
      <c r="IM312" s="30"/>
      <c r="IN312" s="30"/>
      <c r="IO312" s="30"/>
      <c r="IP312" s="30"/>
      <c r="IQ312" s="30"/>
      <c r="IR312" s="30"/>
      <c r="IS312" s="30"/>
      <c r="IT312" s="30"/>
      <c r="IU312" s="30"/>
      <c r="IV312" s="30"/>
      <c r="IW312" s="30"/>
      <c r="IX312" s="30"/>
      <c r="IY312" s="30"/>
      <c r="IZ312" s="30"/>
      <c r="JA312" s="30"/>
      <c r="JB312" s="30"/>
      <c r="JC312" s="30"/>
      <c r="JD312" s="30"/>
      <c r="JE312" s="30"/>
      <c r="JF312" s="30"/>
      <c r="JG312" s="30"/>
      <c r="JH312" s="30"/>
      <c r="JI312" s="30"/>
      <c r="JJ312" s="30"/>
      <c r="JK312" s="30"/>
      <c r="JL312" s="30"/>
      <c r="JM312" s="30"/>
      <c r="JN312" s="30"/>
      <c r="JO312" s="30"/>
      <c r="JP312" s="30"/>
      <c r="JQ312" s="30"/>
      <c r="JR312" s="30"/>
      <c r="JS312" s="30"/>
      <c r="JT312" s="30"/>
      <c r="JU312" s="30"/>
      <c r="JV312" s="30"/>
      <c r="JW312" s="30"/>
      <c r="JX312" s="30"/>
      <c r="JY312" s="30"/>
      <c r="JZ312" s="30"/>
      <c r="KA312" s="30"/>
      <c r="KB312" s="30"/>
      <c r="KC312" s="30"/>
      <c r="KD312" s="30"/>
      <c r="KE312" s="30"/>
      <c r="KF312" s="30"/>
      <c r="KG312" s="30"/>
      <c r="KH312" s="30"/>
      <c r="KI312" s="30"/>
      <c r="KJ312" s="30"/>
      <c r="KK312" s="30"/>
      <c r="KL312" s="30"/>
      <c r="KM312" s="30"/>
      <c r="KN312" s="30"/>
      <c r="KO312" s="30"/>
      <c r="KP312" s="30"/>
      <c r="KQ312" s="30"/>
      <c r="KR312" s="30"/>
      <c r="KS312" s="30"/>
      <c r="KT312" s="30"/>
      <c r="KU312" s="30"/>
      <c r="KV312" s="30"/>
      <c r="KW312" s="30"/>
      <c r="KX312" s="30"/>
      <c r="KY312" s="30"/>
      <c r="KZ312" s="30"/>
      <c r="LA312" s="30"/>
      <c r="LB312" s="30"/>
      <c r="LC312" s="30"/>
      <c r="LD312" s="30"/>
      <c r="LE312" s="30"/>
      <c r="LF312" s="30"/>
      <c r="LG312" s="30"/>
      <c r="LH312" s="30"/>
      <c r="LI312" s="30"/>
      <c r="LJ312" s="30"/>
      <c r="LK312" s="30"/>
      <c r="LL312" s="30"/>
      <c r="LM312" s="30"/>
      <c r="LN312" s="30"/>
      <c r="LO312" s="30"/>
      <c r="LP312" s="30"/>
      <c r="LQ312" s="30"/>
      <c r="LR312" s="30"/>
      <c r="LS312" s="30"/>
      <c r="LT312" s="30"/>
      <c r="LU312" s="30"/>
      <c r="LV312" s="30"/>
      <c r="LW312" s="30"/>
      <c r="LX312" s="30"/>
      <c r="LY312" s="30"/>
      <c r="LZ312" s="30"/>
      <c r="MA312" s="30"/>
      <c r="MB312" s="30"/>
      <c r="MC312" s="30"/>
      <c r="MD312" s="30"/>
      <c r="ME312" s="30"/>
      <c r="MF312" s="30"/>
      <c r="MG312" s="30"/>
      <c r="MH312" s="30"/>
      <c r="MI312" s="30"/>
      <c r="MJ312" s="30"/>
      <c r="MK312" s="30"/>
      <c r="ML312" s="30"/>
      <c r="MM312" s="30"/>
      <c r="MN312" s="30"/>
      <c r="MO312" s="30"/>
      <c r="MP312" s="30"/>
      <c r="MQ312" s="30"/>
      <c r="MR312" s="30"/>
      <c r="MS312" s="30"/>
      <c r="MT312" s="30"/>
      <c r="MU312" s="30"/>
      <c r="MV312" s="30"/>
      <c r="MW312" s="30"/>
      <c r="MX312" s="30"/>
      <c r="MY312" s="30"/>
      <c r="MZ312" s="30"/>
      <c r="NA312" s="30"/>
      <c r="NB312" s="30"/>
      <c r="NC312" s="30"/>
      <c r="ND312" s="30"/>
      <c r="NE312" s="30"/>
      <c r="NF312" s="30"/>
      <c r="NG312" s="30"/>
      <c r="NH312" s="30"/>
      <c r="NI312" s="30"/>
      <c r="NJ312" s="30"/>
      <c r="NK312" s="30"/>
      <c r="NL312" s="30"/>
      <c r="NM312" s="30"/>
      <c r="NN312" s="30"/>
      <c r="NO312" s="30"/>
      <c r="NP312" s="30"/>
      <c r="NQ312" s="30"/>
      <c r="NR312" s="30"/>
    </row>
    <row r="313" spans="1:382" s="3" customFormat="1" ht="20.100000000000001" customHeight="1" x14ac:dyDescent="0.4">
      <c r="A313" s="29">
        <v>2</v>
      </c>
      <c r="B313" s="5" t="s">
        <v>32</v>
      </c>
      <c r="C313" s="5" t="s">
        <v>425</v>
      </c>
      <c r="D313" s="5" t="s">
        <v>41</v>
      </c>
      <c r="E313" s="5" t="s">
        <v>6</v>
      </c>
      <c r="F313" s="5" t="s">
        <v>32</v>
      </c>
      <c r="G313" s="5" t="s">
        <v>32</v>
      </c>
      <c r="H313" s="5" t="s">
        <v>32</v>
      </c>
      <c r="I313" s="8"/>
      <c r="J313" s="8"/>
      <c r="K313" s="8" t="str">
        <f>IF(OR(J313="",E313=""),"",J313+IFERROR(VLOOKUP(E313,リードタイム!$A$2:$C$9,3,FALSE),0))</f>
        <v/>
      </c>
      <c r="L313" s="5" t="s">
        <v>530</v>
      </c>
      <c r="M313" s="8"/>
      <c r="N313" s="8" t="str">
        <f>IF(OR(M313="",E313=""),"",M313+IFERROR(VLOOKUP(E313,リードタイム!$A$2:$D$9,4,FALSE),0))</f>
        <v/>
      </c>
      <c r="O313" s="5" t="s">
        <v>530</v>
      </c>
      <c r="P313" s="5" t="s">
        <v>530</v>
      </c>
      <c r="Q313" s="5" t="s">
        <v>422</v>
      </c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  <c r="FS313" s="30"/>
      <c r="FT313" s="30"/>
      <c r="FU313" s="30"/>
      <c r="FV313" s="30"/>
      <c r="FW313" s="30"/>
      <c r="FX313" s="30"/>
      <c r="FY313" s="30"/>
      <c r="FZ313" s="30"/>
      <c r="GA313" s="30"/>
      <c r="GB313" s="30"/>
      <c r="GC313" s="30"/>
      <c r="GD313" s="30"/>
      <c r="GE313" s="30"/>
      <c r="GF313" s="30"/>
      <c r="GG313" s="30"/>
      <c r="GH313" s="30"/>
      <c r="GI313" s="30"/>
      <c r="GJ313" s="30"/>
      <c r="GK313" s="30"/>
      <c r="GL313" s="30"/>
      <c r="GM313" s="30"/>
      <c r="GN313" s="30"/>
      <c r="GO313" s="30"/>
      <c r="GP313" s="30"/>
      <c r="GQ313" s="30"/>
      <c r="GR313" s="30"/>
      <c r="GS313" s="30"/>
      <c r="GT313" s="30"/>
      <c r="GU313" s="30"/>
      <c r="GV313" s="30"/>
      <c r="GW313" s="30"/>
      <c r="GX313" s="30"/>
      <c r="GY313" s="30"/>
      <c r="GZ313" s="30"/>
      <c r="HA313" s="30"/>
      <c r="HB313" s="30"/>
      <c r="HC313" s="30"/>
      <c r="HD313" s="30"/>
      <c r="HE313" s="30"/>
      <c r="HF313" s="30"/>
      <c r="HG313" s="30"/>
      <c r="HH313" s="30"/>
      <c r="HI313" s="30"/>
      <c r="HJ313" s="30"/>
      <c r="HK313" s="30"/>
      <c r="HL313" s="30"/>
      <c r="HM313" s="30"/>
      <c r="HN313" s="30"/>
      <c r="HO313" s="30"/>
      <c r="HP313" s="30"/>
      <c r="HQ313" s="30"/>
      <c r="HR313" s="30"/>
      <c r="HS313" s="30"/>
      <c r="HT313" s="30"/>
      <c r="HU313" s="30"/>
      <c r="HV313" s="30"/>
      <c r="HW313" s="30"/>
      <c r="HX313" s="30"/>
      <c r="HY313" s="30"/>
      <c r="HZ313" s="30"/>
      <c r="IA313" s="30"/>
      <c r="IB313" s="30"/>
      <c r="IC313" s="30"/>
      <c r="ID313" s="30"/>
      <c r="IE313" s="30"/>
      <c r="IF313" s="30"/>
      <c r="IG313" s="30"/>
      <c r="IH313" s="30"/>
      <c r="II313" s="30"/>
      <c r="IJ313" s="30"/>
      <c r="IK313" s="30"/>
      <c r="IL313" s="30"/>
      <c r="IM313" s="30"/>
      <c r="IN313" s="30"/>
      <c r="IO313" s="30"/>
      <c r="IP313" s="30"/>
      <c r="IQ313" s="30"/>
      <c r="IR313" s="30"/>
      <c r="IS313" s="30"/>
      <c r="IT313" s="30"/>
      <c r="IU313" s="30"/>
      <c r="IV313" s="30"/>
      <c r="IW313" s="30"/>
      <c r="IX313" s="30"/>
      <c r="IY313" s="30"/>
      <c r="IZ313" s="30"/>
      <c r="JA313" s="30"/>
      <c r="JB313" s="30"/>
      <c r="JC313" s="30"/>
      <c r="JD313" s="30"/>
      <c r="JE313" s="30"/>
      <c r="JF313" s="30"/>
      <c r="JG313" s="30"/>
      <c r="JH313" s="30"/>
      <c r="JI313" s="30"/>
      <c r="JJ313" s="30"/>
      <c r="JK313" s="30"/>
      <c r="JL313" s="30"/>
      <c r="JM313" s="30"/>
      <c r="JN313" s="30"/>
      <c r="JO313" s="30"/>
      <c r="JP313" s="30"/>
      <c r="JQ313" s="30"/>
      <c r="JR313" s="30"/>
      <c r="JS313" s="30"/>
      <c r="JT313" s="30"/>
      <c r="JU313" s="30"/>
      <c r="JV313" s="30"/>
      <c r="JW313" s="30"/>
      <c r="JX313" s="30"/>
      <c r="JY313" s="30"/>
      <c r="JZ313" s="30"/>
      <c r="KA313" s="30"/>
      <c r="KB313" s="30"/>
      <c r="KC313" s="30"/>
      <c r="KD313" s="30"/>
      <c r="KE313" s="30"/>
      <c r="KF313" s="30"/>
      <c r="KG313" s="30"/>
      <c r="KH313" s="30"/>
      <c r="KI313" s="30"/>
      <c r="KJ313" s="30"/>
      <c r="KK313" s="30"/>
      <c r="KL313" s="30"/>
      <c r="KM313" s="30"/>
      <c r="KN313" s="30"/>
      <c r="KO313" s="30"/>
      <c r="KP313" s="30"/>
      <c r="KQ313" s="30"/>
      <c r="KR313" s="30"/>
      <c r="KS313" s="30"/>
      <c r="KT313" s="30"/>
      <c r="KU313" s="30"/>
      <c r="KV313" s="30"/>
      <c r="KW313" s="30"/>
      <c r="KX313" s="30"/>
      <c r="KY313" s="30"/>
      <c r="KZ313" s="30"/>
      <c r="LA313" s="30"/>
      <c r="LB313" s="30"/>
      <c r="LC313" s="30"/>
      <c r="LD313" s="30"/>
      <c r="LE313" s="30"/>
      <c r="LF313" s="30"/>
      <c r="LG313" s="30"/>
      <c r="LH313" s="30"/>
      <c r="LI313" s="30"/>
      <c r="LJ313" s="30"/>
      <c r="LK313" s="30"/>
      <c r="LL313" s="30"/>
      <c r="LM313" s="30"/>
      <c r="LN313" s="30"/>
      <c r="LO313" s="30"/>
      <c r="LP313" s="30"/>
      <c r="LQ313" s="30"/>
      <c r="LR313" s="30"/>
      <c r="LS313" s="30"/>
      <c r="LT313" s="30"/>
      <c r="LU313" s="30"/>
      <c r="LV313" s="30"/>
      <c r="LW313" s="30"/>
      <c r="LX313" s="30"/>
      <c r="LY313" s="30"/>
      <c r="LZ313" s="30"/>
      <c r="MA313" s="30"/>
      <c r="MB313" s="30"/>
      <c r="MC313" s="30"/>
      <c r="MD313" s="30"/>
      <c r="ME313" s="30"/>
      <c r="MF313" s="30"/>
      <c r="MG313" s="30"/>
      <c r="MH313" s="30"/>
      <c r="MI313" s="30"/>
      <c r="MJ313" s="30"/>
      <c r="MK313" s="30"/>
      <c r="ML313" s="30"/>
      <c r="MM313" s="30"/>
      <c r="MN313" s="30"/>
      <c r="MO313" s="30"/>
      <c r="MP313" s="30"/>
      <c r="MQ313" s="30"/>
      <c r="MR313" s="30"/>
      <c r="MS313" s="30"/>
      <c r="MT313" s="30"/>
      <c r="MU313" s="30"/>
      <c r="MV313" s="30"/>
      <c r="MW313" s="30"/>
      <c r="MX313" s="30"/>
      <c r="MY313" s="30"/>
      <c r="MZ313" s="30"/>
      <c r="NA313" s="30"/>
      <c r="NB313" s="30"/>
      <c r="NC313" s="30"/>
      <c r="ND313" s="30"/>
      <c r="NE313" s="30"/>
      <c r="NF313" s="30"/>
      <c r="NG313" s="30"/>
      <c r="NH313" s="30"/>
      <c r="NI313" s="30"/>
      <c r="NJ313" s="30"/>
      <c r="NK313" s="30"/>
      <c r="NL313" s="30"/>
      <c r="NM313" s="30"/>
      <c r="NN313" s="30"/>
      <c r="NO313" s="30"/>
      <c r="NP313" s="30"/>
      <c r="NQ313" s="30"/>
      <c r="NR313" s="30"/>
    </row>
    <row r="314" spans="1:382" s="3" customFormat="1" ht="20.100000000000001" customHeight="1" x14ac:dyDescent="0.4">
      <c r="A314" s="29">
        <v>3</v>
      </c>
      <c r="B314" s="5" t="s">
        <v>32</v>
      </c>
      <c r="C314" s="5" t="s">
        <v>425</v>
      </c>
      <c r="D314" s="5" t="s">
        <v>61</v>
      </c>
      <c r="E314" s="5" t="s">
        <v>12</v>
      </c>
      <c r="F314" s="5" t="s">
        <v>32</v>
      </c>
      <c r="G314" s="5" t="s">
        <v>32</v>
      </c>
      <c r="H314" s="5" t="s">
        <v>32</v>
      </c>
      <c r="I314" s="8"/>
      <c r="J314" s="8"/>
      <c r="K314" s="8" t="str">
        <f>IF(OR(J314="",E314=""),"",J314+IFERROR(VLOOKUP(E314,リードタイム!$A$2:$C$9,3,FALSE),0))</f>
        <v/>
      </c>
      <c r="L314" s="5" t="s">
        <v>530</v>
      </c>
      <c r="M314" s="8"/>
      <c r="N314" s="8" t="str">
        <f>IF(OR(M314="",E314=""),"",M314+IFERROR(VLOOKUP(E314,リードタイム!$A$2:$D$9,4,FALSE),0))</f>
        <v/>
      </c>
      <c r="O314" s="5" t="s">
        <v>530</v>
      </c>
      <c r="P314" s="5" t="s">
        <v>530</v>
      </c>
      <c r="Q314" s="5" t="s">
        <v>422</v>
      </c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  <c r="FS314" s="30"/>
      <c r="FT314" s="30"/>
      <c r="FU314" s="30"/>
      <c r="FV314" s="30"/>
      <c r="FW314" s="30"/>
      <c r="FX314" s="30"/>
      <c r="FY314" s="30"/>
      <c r="FZ314" s="30"/>
      <c r="GA314" s="30"/>
      <c r="GB314" s="30"/>
      <c r="GC314" s="30"/>
      <c r="GD314" s="30"/>
      <c r="GE314" s="30"/>
      <c r="GF314" s="30"/>
      <c r="GG314" s="30"/>
      <c r="GH314" s="30"/>
      <c r="GI314" s="30"/>
      <c r="GJ314" s="30"/>
      <c r="GK314" s="30"/>
      <c r="GL314" s="30"/>
      <c r="GM314" s="30"/>
      <c r="GN314" s="30"/>
      <c r="GO314" s="30"/>
      <c r="GP314" s="30"/>
      <c r="GQ314" s="30"/>
      <c r="GR314" s="30"/>
      <c r="GS314" s="30"/>
      <c r="GT314" s="30"/>
      <c r="GU314" s="30"/>
      <c r="GV314" s="30"/>
      <c r="GW314" s="30"/>
      <c r="GX314" s="30"/>
      <c r="GY314" s="30"/>
      <c r="GZ314" s="30"/>
      <c r="HA314" s="30"/>
      <c r="HB314" s="30"/>
      <c r="HC314" s="30"/>
      <c r="HD314" s="30"/>
      <c r="HE314" s="30"/>
      <c r="HF314" s="30"/>
      <c r="HG314" s="30"/>
      <c r="HH314" s="30"/>
      <c r="HI314" s="30"/>
      <c r="HJ314" s="30"/>
      <c r="HK314" s="30"/>
      <c r="HL314" s="30"/>
      <c r="HM314" s="30"/>
      <c r="HN314" s="30"/>
      <c r="HO314" s="30"/>
      <c r="HP314" s="30"/>
      <c r="HQ314" s="30"/>
      <c r="HR314" s="30"/>
      <c r="HS314" s="30"/>
      <c r="HT314" s="30"/>
      <c r="HU314" s="30"/>
      <c r="HV314" s="30"/>
      <c r="HW314" s="30"/>
      <c r="HX314" s="30"/>
      <c r="HY314" s="30"/>
      <c r="HZ314" s="30"/>
      <c r="IA314" s="30"/>
      <c r="IB314" s="30"/>
      <c r="IC314" s="30"/>
      <c r="ID314" s="30"/>
      <c r="IE314" s="30"/>
      <c r="IF314" s="30"/>
      <c r="IG314" s="30"/>
      <c r="IH314" s="30"/>
      <c r="II314" s="30"/>
      <c r="IJ314" s="30"/>
      <c r="IK314" s="30"/>
      <c r="IL314" s="30"/>
      <c r="IM314" s="30"/>
      <c r="IN314" s="30"/>
      <c r="IO314" s="30"/>
      <c r="IP314" s="30"/>
      <c r="IQ314" s="30"/>
      <c r="IR314" s="30"/>
      <c r="IS314" s="30"/>
      <c r="IT314" s="30"/>
      <c r="IU314" s="30"/>
      <c r="IV314" s="30"/>
      <c r="IW314" s="30"/>
      <c r="IX314" s="30"/>
      <c r="IY314" s="30"/>
      <c r="IZ314" s="30"/>
      <c r="JA314" s="30"/>
      <c r="JB314" s="30"/>
      <c r="JC314" s="30"/>
      <c r="JD314" s="30"/>
      <c r="JE314" s="30"/>
      <c r="JF314" s="30"/>
      <c r="JG314" s="30"/>
      <c r="JH314" s="30"/>
      <c r="JI314" s="30"/>
      <c r="JJ314" s="30"/>
      <c r="JK314" s="30"/>
      <c r="JL314" s="30"/>
      <c r="JM314" s="30"/>
      <c r="JN314" s="30"/>
      <c r="JO314" s="30"/>
      <c r="JP314" s="30"/>
      <c r="JQ314" s="30"/>
      <c r="JR314" s="30"/>
      <c r="JS314" s="30"/>
      <c r="JT314" s="30"/>
      <c r="JU314" s="30"/>
      <c r="JV314" s="30"/>
      <c r="JW314" s="30"/>
      <c r="JX314" s="30"/>
      <c r="JY314" s="30"/>
      <c r="JZ314" s="30"/>
      <c r="KA314" s="30"/>
      <c r="KB314" s="30"/>
      <c r="KC314" s="30"/>
      <c r="KD314" s="30"/>
      <c r="KE314" s="30"/>
      <c r="KF314" s="30"/>
      <c r="KG314" s="30"/>
      <c r="KH314" s="30"/>
      <c r="KI314" s="30"/>
      <c r="KJ314" s="30"/>
      <c r="KK314" s="30"/>
      <c r="KL314" s="30"/>
      <c r="KM314" s="30"/>
      <c r="KN314" s="30"/>
      <c r="KO314" s="30"/>
      <c r="KP314" s="30"/>
      <c r="KQ314" s="30"/>
      <c r="KR314" s="30"/>
      <c r="KS314" s="30"/>
      <c r="KT314" s="30"/>
      <c r="KU314" s="30"/>
      <c r="KV314" s="30"/>
      <c r="KW314" s="30"/>
      <c r="KX314" s="30"/>
      <c r="KY314" s="30"/>
      <c r="KZ314" s="30"/>
      <c r="LA314" s="30"/>
      <c r="LB314" s="30"/>
      <c r="LC314" s="30"/>
      <c r="LD314" s="30"/>
      <c r="LE314" s="30"/>
      <c r="LF314" s="30"/>
      <c r="LG314" s="30"/>
      <c r="LH314" s="30"/>
      <c r="LI314" s="30"/>
      <c r="LJ314" s="30"/>
      <c r="LK314" s="30"/>
      <c r="LL314" s="30"/>
      <c r="LM314" s="30"/>
      <c r="LN314" s="30"/>
      <c r="LO314" s="30"/>
      <c r="LP314" s="30"/>
      <c r="LQ314" s="30"/>
      <c r="LR314" s="30"/>
      <c r="LS314" s="30"/>
      <c r="LT314" s="30"/>
      <c r="LU314" s="30"/>
      <c r="LV314" s="30"/>
      <c r="LW314" s="30"/>
      <c r="LX314" s="30"/>
      <c r="LY314" s="30"/>
      <c r="LZ314" s="30"/>
      <c r="MA314" s="30"/>
      <c r="MB314" s="30"/>
      <c r="MC314" s="30"/>
      <c r="MD314" s="30"/>
      <c r="ME314" s="30"/>
      <c r="MF314" s="30"/>
      <c r="MG314" s="30"/>
      <c r="MH314" s="30"/>
      <c r="MI314" s="30"/>
      <c r="MJ314" s="30"/>
      <c r="MK314" s="30"/>
      <c r="ML314" s="30"/>
      <c r="MM314" s="30"/>
      <c r="MN314" s="30"/>
      <c r="MO314" s="30"/>
      <c r="MP314" s="30"/>
      <c r="MQ314" s="30"/>
      <c r="MR314" s="30"/>
      <c r="MS314" s="30"/>
      <c r="MT314" s="30"/>
      <c r="MU314" s="30"/>
      <c r="MV314" s="30"/>
      <c r="MW314" s="30"/>
      <c r="MX314" s="30"/>
      <c r="MY314" s="30"/>
      <c r="MZ314" s="30"/>
      <c r="NA314" s="30"/>
      <c r="NB314" s="30"/>
      <c r="NC314" s="30"/>
      <c r="ND314" s="30"/>
      <c r="NE314" s="30"/>
      <c r="NF314" s="30"/>
      <c r="NG314" s="30"/>
      <c r="NH314" s="30"/>
      <c r="NI314" s="30"/>
      <c r="NJ314" s="30"/>
      <c r="NK314" s="30"/>
      <c r="NL314" s="30"/>
      <c r="NM314" s="30"/>
      <c r="NN314" s="30"/>
      <c r="NO314" s="30"/>
      <c r="NP314" s="30"/>
      <c r="NQ314" s="30"/>
      <c r="NR314" s="30"/>
    </row>
    <row r="315" spans="1:382" s="3" customFormat="1" ht="20.100000000000001" customHeight="1" x14ac:dyDescent="0.4">
      <c r="A315" s="29">
        <v>4</v>
      </c>
      <c r="B315" s="5" t="s">
        <v>32</v>
      </c>
      <c r="C315" s="5" t="s">
        <v>425</v>
      </c>
      <c r="D315" s="5" t="s">
        <v>62</v>
      </c>
      <c r="E315" s="5" t="s">
        <v>8</v>
      </c>
      <c r="F315" s="5" t="s">
        <v>32</v>
      </c>
      <c r="G315" s="5" t="s">
        <v>32</v>
      </c>
      <c r="H315" s="5" t="s">
        <v>32</v>
      </c>
      <c r="I315" s="8"/>
      <c r="J315" s="8"/>
      <c r="K315" s="8" t="str">
        <f>IF(OR(J315="",E315=""),"",J315+IFERROR(VLOOKUP(E315,リードタイム!$A$2:$C$9,3,FALSE),0))</f>
        <v/>
      </c>
      <c r="L315" s="5" t="s">
        <v>530</v>
      </c>
      <c r="M315" s="8"/>
      <c r="N315" s="8" t="str">
        <f>IF(OR(M315="",E315=""),"",M315+IFERROR(VLOOKUP(E315,リードタイム!$A$2:$D$9,4,FALSE),0))</f>
        <v/>
      </c>
      <c r="O315" s="5" t="s">
        <v>530</v>
      </c>
      <c r="P315" s="5" t="s">
        <v>530</v>
      </c>
      <c r="Q315" s="5" t="s">
        <v>422</v>
      </c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  <c r="FS315" s="30"/>
      <c r="FT315" s="30"/>
      <c r="FU315" s="30"/>
      <c r="FV315" s="30"/>
      <c r="FW315" s="30"/>
      <c r="FX315" s="30"/>
      <c r="FY315" s="30"/>
      <c r="FZ315" s="30"/>
      <c r="GA315" s="30"/>
      <c r="GB315" s="30"/>
      <c r="GC315" s="30"/>
      <c r="GD315" s="30"/>
      <c r="GE315" s="30"/>
      <c r="GF315" s="30"/>
      <c r="GG315" s="30"/>
      <c r="GH315" s="30"/>
      <c r="GI315" s="30"/>
      <c r="GJ315" s="30"/>
      <c r="GK315" s="30"/>
      <c r="GL315" s="30"/>
      <c r="GM315" s="30"/>
      <c r="GN315" s="30"/>
      <c r="GO315" s="30"/>
      <c r="GP315" s="30"/>
      <c r="GQ315" s="30"/>
      <c r="GR315" s="30"/>
      <c r="GS315" s="30"/>
      <c r="GT315" s="30"/>
      <c r="GU315" s="30"/>
      <c r="GV315" s="30"/>
      <c r="GW315" s="30"/>
      <c r="GX315" s="30"/>
      <c r="GY315" s="30"/>
      <c r="GZ315" s="30"/>
      <c r="HA315" s="30"/>
      <c r="HB315" s="30"/>
      <c r="HC315" s="30"/>
      <c r="HD315" s="30"/>
      <c r="HE315" s="30"/>
      <c r="HF315" s="30"/>
      <c r="HG315" s="30"/>
      <c r="HH315" s="30"/>
      <c r="HI315" s="30"/>
      <c r="HJ315" s="30"/>
      <c r="HK315" s="30"/>
      <c r="HL315" s="30"/>
      <c r="HM315" s="30"/>
      <c r="HN315" s="30"/>
      <c r="HO315" s="30"/>
      <c r="HP315" s="30"/>
      <c r="HQ315" s="30"/>
      <c r="HR315" s="30"/>
      <c r="HS315" s="30"/>
      <c r="HT315" s="30"/>
      <c r="HU315" s="30"/>
      <c r="HV315" s="30"/>
      <c r="HW315" s="30"/>
      <c r="HX315" s="30"/>
      <c r="HY315" s="30"/>
      <c r="HZ315" s="30"/>
      <c r="IA315" s="30"/>
      <c r="IB315" s="30"/>
      <c r="IC315" s="30"/>
      <c r="ID315" s="30"/>
      <c r="IE315" s="30"/>
      <c r="IF315" s="30"/>
      <c r="IG315" s="30"/>
      <c r="IH315" s="30"/>
      <c r="II315" s="30"/>
      <c r="IJ315" s="30"/>
      <c r="IK315" s="30"/>
      <c r="IL315" s="30"/>
      <c r="IM315" s="30"/>
      <c r="IN315" s="30"/>
      <c r="IO315" s="30"/>
      <c r="IP315" s="30"/>
      <c r="IQ315" s="30"/>
      <c r="IR315" s="30"/>
      <c r="IS315" s="30"/>
      <c r="IT315" s="30"/>
      <c r="IU315" s="30"/>
      <c r="IV315" s="30"/>
      <c r="IW315" s="30"/>
      <c r="IX315" s="30"/>
      <c r="IY315" s="30"/>
      <c r="IZ315" s="30"/>
      <c r="JA315" s="30"/>
      <c r="JB315" s="30"/>
      <c r="JC315" s="30"/>
      <c r="JD315" s="30"/>
      <c r="JE315" s="30"/>
      <c r="JF315" s="30"/>
      <c r="JG315" s="30"/>
      <c r="JH315" s="30"/>
      <c r="JI315" s="30"/>
      <c r="JJ315" s="30"/>
      <c r="JK315" s="30"/>
      <c r="JL315" s="30"/>
      <c r="JM315" s="30"/>
      <c r="JN315" s="30"/>
      <c r="JO315" s="30"/>
      <c r="JP315" s="30"/>
      <c r="JQ315" s="30"/>
      <c r="JR315" s="30"/>
      <c r="JS315" s="30"/>
      <c r="JT315" s="30"/>
      <c r="JU315" s="30"/>
      <c r="JV315" s="30"/>
      <c r="JW315" s="30"/>
      <c r="JX315" s="30"/>
      <c r="JY315" s="30"/>
      <c r="JZ315" s="30"/>
      <c r="KA315" s="30"/>
      <c r="KB315" s="30"/>
      <c r="KC315" s="30"/>
      <c r="KD315" s="30"/>
      <c r="KE315" s="30"/>
      <c r="KF315" s="30"/>
      <c r="KG315" s="30"/>
      <c r="KH315" s="30"/>
      <c r="KI315" s="30"/>
      <c r="KJ315" s="30"/>
      <c r="KK315" s="30"/>
      <c r="KL315" s="30"/>
      <c r="KM315" s="30"/>
      <c r="KN315" s="30"/>
      <c r="KO315" s="30"/>
      <c r="KP315" s="30"/>
      <c r="KQ315" s="30"/>
      <c r="KR315" s="30"/>
      <c r="KS315" s="30"/>
      <c r="KT315" s="30"/>
      <c r="KU315" s="30"/>
      <c r="KV315" s="30"/>
      <c r="KW315" s="30"/>
      <c r="KX315" s="30"/>
      <c r="KY315" s="30"/>
      <c r="KZ315" s="30"/>
      <c r="LA315" s="30"/>
      <c r="LB315" s="30"/>
      <c r="LC315" s="30"/>
      <c r="LD315" s="30"/>
      <c r="LE315" s="30"/>
      <c r="LF315" s="30"/>
      <c r="LG315" s="30"/>
      <c r="LH315" s="30"/>
      <c r="LI315" s="30"/>
      <c r="LJ315" s="30"/>
      <c r="LK315" s="30"/>
      <c r="LL315" s="30"/>
      <c r="LM315" s="30"/>
      <c r="LN315" s="30"/>
      <c r="LO315" s="30"/>
      <c r="LP315" s="30"/>
      <c r="LQ315" s="30"/>
      <c r="LR315" s="30"/>
      <c r="LS315" s="30"/>
      <c r="LT315" s="30"/>
      <c r="LU315" s="30"/>
      <c r="LV315" s="30"/>
      <c r="LW315" s="30"/>
      <c r="LX315" s="30"/>
      <c r="LY315" s="30"/>
      <c r="LZ315" s="30"/>
      <c r="MA315" s="30"/>
      <c r="MB315" s="30"/>
      <c r="MC315" s="30"/>
      <c r="MD315" s="30"/>
      <c r="ME315" s="30"/>
      <c r="MF315" s="30"/>
      <c r="MG315" s="30"/>
      <c r="MH315" s="30"/>
      <c r="MI315" s="30"/>
      <c r="MJ315" s="30"/>
      <c r="MK315" s="30"/>
      <c r="ML315" s="30"/>
      <c r="MM315" s="30"/>
      <c r="MN315" s="30"/>
      <c r="MO315" s="30"/>
      <c r="MP315" s="30"/>
      <c r="MQ315" s="30"/>
      <c r="MR315" s="30"/>
      <c r="MS315" s="30"/>
      <c r="MT315" s="30"/>
      <c r="MU315" s="30"/>
      <c r="MV315" s="30"/>
      <c r="MW315" s="30"/>
      <c r="MX315" s="30"/>
      <c r="MY315" s="30"/>
      <c r="MZ315" s="30"/>
      <c r="NA315" s="30"/>
      <c r="NB315" s="30"/>
      <c r="NC315" s="30"/>
      <c r="ND315" s="30"/>
      <c r="NE315" s="30"/>
      <c r="NF315" s="30"/>
      <c r="NG315" s="30"/>
      <c r="NH315" s="30"/>
      <c r="NI315" s="30"/>
      <c r="NJ315" s="30"/>
      <c r="NK315" s="30"/>
      <c r="NL315" s="30"/>
      <c r="NM315" s="30"/>
      <c r="NN315" s="30"/>
      <c r="NO315" s="30"/>
      <c r="NP315" s="30"/>
      <c r="NQ315" s="30"/>
      <c r="NR315" s="30"/>
    </row>
    <row r="316" spans="1:382" s="3" customFormat="1" ht="20.100000000000001" customHeight="1" x14ac:dyDescent="0.4">
      <c r="A316" s="29">
        <v>1</v>
      </c>
      <c r="B316" s="5" t="s">
        <v>32</v>
      </c>
      <c r="C316" s="5" t="s">
        <v>426</v>
      </c>
      <c r="D316" s="5" t="s">
        <v>427</v>
      </c>
      <c r="E316" s="5" t="s">
        <v>18</v>
      </c>
      <c r="F316" s="5" t="s">
        <v>32</v>
      </c>
      <c r="G316" s="5" t="s">
        <v>32</v>
      </c>
      <c r="H316" s="5" t="s">
        <v>32</v>
      </c>
      <c r="I316" s="8"/>
      <c r="J316" s="8"/>
      <c r="K316" s="8" t="str">
        <f>IF(OR(J316="",E316=""),"",J316+IFERROR(VLOOKUP(E316,リードタイム!$A$2:$C$9,3,FALSE),0))</f>
        <v/>
      </c>
      <c r="L316" s="5" t="s">
        <v>530</v>
      </c>
      <c r="M316" s="8"/>
      <c r="N316" s="8" t="str">
        <f>IF(OR(M316="",E316=""),"",M316+IFERROR(VLOOKUP(E316,リードタイム!$A$2:$D$9,4,FALSE),0))</f>
        <v/>
      </c>
      <c r="O316" s="5" t="s">
        <v>530</v>
      </c>
      <c r="P316" s="5" t="s">
        <v>530</v>
      </c>
      <c r="Q316" s="5" t="s">
        <v>32</v>
      </c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  <c r="FS316" s="30"/>
      <c r="FT316" s="30"/>
      <c r="FU316" s="30"/>
      <c r="FV316" s="30"/>
      <c r="FW316" s="30"/>
      <c r="FX316" s="30"/>
      <c r="FY316" s="30"/>
      <c r="FZ316" s="30"/>
      <c r="GA316" s="30"/>
      <c r="GB316" s="30"/>
      <c r="GC316" s="30"/>
      <c r="GD316" s="30"/>
      <c r="GE316" s="30"/>
      <c r="GF316" s="30"/>
      <c r="GG316" s="30"/>
      <c r="GH316" s="30"/>
      <c r="GI316" s="30"/>
      <c r="GJ316" s="30"/>
      <c r="GK316" s="30"/>
      <c r="GL316" s="30"/>
      <c r="GM316" s="30"/>
      <c r="GN316" s="30"/>
      <c r="GO316" s="30"/>
      <c r="GP316" s="30"/>
      <c r="GQ316" s="30"/>
      <c r="GR316" s="30"/>
      <c r="GS316" s="30"/>
      <c r="GT316" s="30"/>
      <c r="GU316" s="30"/>
      <c r="GV316" s="30"/>
      <c r="GW316" s="30"/>
      <c r="GX316" s="30"/>
      <c r="GY316" s="30"/>
      <c r="GZ316" s="30"/>
      <c r="HA316" s="30"/>
      <c r="HB316" s="30"/>
      <c r="HC316" s="30"/>
      <c r="HD316" s="30"/>
      <c r="HE316" s="30"/>
      <c r="HF316" s="30"/>
      <c r="HG316" s="30"/>
      <c r="HH316" s="30"/>
      <c r="HI316" s="30"/>
      <c r="HJ316" s="30"/>
      <c r="HK316" s="30"/>
      <c r="HL316" s="30"/>
      <c r="HM316" s="30"/>
      <c r="HN316" s="30"/>
      <c r="HO316" s="30"/>
      <c r="HP316" s="30"/>
      <c r="HQ316" s="30"/>
      <c r="HR316" s="30"/>
      <c r="HS316" s="30"/>
      <c r="HT316" s="30"/>
      <c r="HU316" s="30"/>
      <c r="HV316" s="30"/>
      <c r="HW316" s="30"/>
      <c r="HX316" s="30"/>
      <c r="HY316" s="30"/>
      <c r="HZ316" s="30"/>
      <c r="IA316" s="30"/>
      <c r="IB316" s="30"/>
      <c r="IC316" s="30"/>
      <c r="ID316" s="30"/>
      <c r="IE316" s="30"/>
      <c r="IF316" s="30"/>
      <c r="IG316" s="30"/>
      <c r="IH316" s="30"/>
      <c r="II316" s="30"/>
      <c r="IJ316" s="30"/>
      <c r="IK316" s="30"/>
      <c r="IL316" s="30"/>
      <c r="IM316" s="30"/>
      <c r="IN316" s="30"/>
      <c r="IO316" s="30"/>
      <c r="IP316" s="30"/>
      <c r="IQ316" s="30"/>
      <c r="IR316" s="30"/>
      <c r="IS316" s="30"/>
      <c r="IT316" s="30"/>
      <c r="IU316" s="30"/>
      <c r="IV316" s="30"/>
      <c r="IW316" s="30"/>
      <c r="IX316" s="30"/>
      <c r="IY316" s="30"/>
      <c r="IZ316" s="30"/>
      <c r="JA316" s="30"/>
      <c r="JB316" s="30"/>
      <c r="JC316" s="30"/>
      <c r="JD316" s="30"/>
      <c r="JE316" s="30"/>
      <c r="JF316" s="30"/>
      <c r="JG316" s="30"/>
      <c r="JH316" s="30"/>
      <c r="JI316" s="30"/>
      <c r="JJ316" s="30"/>
      <c r="JK316" s="30"/>
      <c r="JL316" s="30"/>
      <c r="JM316" s="30"/>
      <c r="JN316" s="30"/>
      <c r="JO316" s="30"/>
      <c r="JP316" s="30"/>
      <c r="JQ316" s="30"/>
      <c r="JR316" s="30"/>
      <c r="JS316" s="30"/>
      <c r="JT316" s="30"/>
      <c r="JU316" s="30"/>
      <c r="JV316" s="30"/>
      <c r="JW316" s="30"/>
      <c r="JX316" s="30"/>
      <c r="JY316" s="30"/>
      <c r="JZ316" s="30"/>
      <c r="KA316" s="30"/>
      <c r="KB316" s="30"/>
      <c r="KC316" s="30"/>
      <c r="KD316" s="30"/>
      <c r="KE316" s="30"/>
      <c r="KF316" s="30"/>
      <c r="KG316" s="30"/>
      <c r="KH316" s="30"/>
      <c r="KI316" s="30"/>
      <c r="KJ316" s="30"/>
      <c r="KK316" s="30"/>
      <c r="KL316" s="30"/>
      <c r="KM316" s="30"/>
      <c r="KN316" s="30"/>
      <c r="KO316" s="30"/>
      <c r="KP316" s="30"/>
      <c r="KQ316" s="30"/>
      <c r="KR316" s="30"/>
      <c r="KS316" s="30"/>
      <c r="KT316" s="30"/>
      <c r="KU316" s="30"/>
      <c r="KV316" s="30"/>
      <c r="KW316" s="30"/>
      <c r="KX316" s="30"/>
      <c r="KY316" s="30"/>
      <c r="KZ316" s="30"/>
      <c r="LA316" s="30"/>
      <c r="LB316" s="30"/>
      <c r="LC316" s="30"/>
      <c r="LD316" s="30"/>
      <c r="LE316" s="30"/>
      <c r="LF316" s="30"/>
      <c r="LG316" s="30"/>
      <c r="LH316" s="30"/>
      <c r="LI316" s="30"/>
      <c r="LJ316" s="30"/>
      <c r="LK316" s="30"/>
      <c r="LL316" s="30"/>
      <c r="LM316" s="30"/>
      <c r="LN316" s="30"/>
      <c r="LO316" s="30"/>
      <c r="LP316" s="30"/>
      <c r="LQ316" s="30"/>
      <c r="LR316" s="30"/>
      <c r="LS316" s="30"/>
      <c r="LT316" s="30"/>
      <c r="LU316" s="30"/>
      <c r="LV316" s="30"/>
      <c r="LW316" s="30"/>
      <c r="LX316" s="30"/>
      <c r="LY316" s="30"/>
      <c r="LZ316" s="30"/>
      <c r="MA316" s="30"/>
      <c r="MB316" s="30"/>
      <c r="MC316" s="30"/>
      <c r="MD316" s="30"/>
      <c r="ME316" s="30"/>
      <c r="MF316" s="30"/>
      <c r="MG316" s="30"/>
      <c r="MH316" s="30"/>
      <c r="MI316" s="30"/>
      <c r="MJ316" s="30"/>
      <c r="MK316" s="30"/>
      <c r="ML316" s="30"/>
      <c r="MM316" s="30"/>
      <c r="MN316" s="30"/>
      <c r="MO316" s="30"/>
      <c r="MP316" s="30"/>
      <c r="MQ316" s="30"/>
      <c r="MR316" s="30"/>
      <c r="MS316" s="30"/>
      <c r="MT316" s="30"/>
      <c r="MU316" s="30"/>
      <c r="MV316" s="30"/>
      <c r="MW316" s="30"/>
      <c r="MX316" s="30"/>
      <c r="MY316" s="30"/>
      <c r="MZ316" s="30"/>
      <c r="NA316" s="30"/>
      <c r="NB316" s="30"/>
      <c r="NC316" s="30"/>
      <c r="ND316" s="30"/>
      <c r="NE316" s="30"/>
      <c r="NF316" s="30"/>
      <c r="NG316" s="30"/>
      <c r="NH316" s="30"/>
      <c r="NI316" s="30"/>
      <c r="NJ316" s="30"/>
      <c r="NK316" s="30"/>
      <c r="NL316" s="30"/>
      <c r="NM316" s="30"/>
      <c r="NN316" s="30"/>
      <c r="NO316" s="30"/>
      <c r="NP316" s="30"/>
      <c r="NQ316" s="30"/>
      <c r="NR316" s="30"/>
    </row>
    <row r="317" spans="1:382" s="3" customFormat="1" ht="20.100000000000001" customHeight="1" x14ac:dyDescent="0.4">
      <c r="A317" s="29">
        <v>2</v>
      </c>
      <c r="B317" s="5">
        <v>18</v>
      </c>
      <c r="C317" s="5" t="s">
        <v>426</v>
      </c>
      <c r="D317" s="5" t="s">
        <v>428</v>
      </c>
      <c r="E317" s="5" t="s">
        <v>18</v>
      </c>
      <c r="F317" s="5" t="s">
        <v>32</v>
      </c>
      <c r="G317" s="5" t="s">
        <v>32</v>
      </c>
      <c r="H317" s="5" t="s">
        <v>32</v>
      </c>
      <c r="I317" s="8"/>
      <c r="J317" s="8"/>
      <c r="K317" s="8" t="str">
        <f>IF(OR(J317="",E317=""),"",J317+IFERROR(VLOOKUP(E317,リードタイム!$A$2:$C$9,3,FALSE),0))</f>
        <v/>
      </c>
      <c r="L317" s="5" t="s">
        <v>531</v>
      </c>
      <c r="M317" s="8"/>
      <c r="N317" s="8" t="str">
        <f>IF(OR(M317="",E317=""),"",M317+IFERROR(VLOOKUP(E317,リードタイム!$A$2:$D$9,4,FALSE),0))</f>
        <v/>
      </c>
      <c r="O317" s="5" t="s">
        <v>531</v>
      </c>
      <c r="P317" s="5" t="s">
        <v>533</v>
      </c>
      <c r="Q317" s="5" t="s">
        <v>32</v>
      </c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  <c r="FS317" s="30"/>
      <c r="FT317" s="30"/>
      <c r="FU317" s="30"/>
      <c r="FV317" s="30"/>
      <c r="FW317" s="30"/>
      <c r="FX317" s="30"/>
      <c r="FY317" s="30"/>
      <c r="FZ317" s="30"/>
      <c r="GA317" s="30"/>
      <c r="GB317" s="30"/>
      <c r="GC317" s="30"/>
      <c r="GD317" s="30"/>
      <c r="GE317" s="30"/>
      <c r="GF317" s="30"/>
      <c r="GG317" s="30"/>
      <c r="GH317" s="30"/>
      <c r="GI317" s="30"/>
      <c r="GJ317" s="30"/>
      <c r="GK317" s="30"/>
      <c r="GL317" s="30"/>
      <c r="GM317" s="30"/>
      <c r="GN317" s="30"/>
      <c r="GO317" s="30"/>
      <c r="GP317" s="30"/>
      <c r="GQ317" s="30"/>
      <c r="GR317" s="30"/>
      <c r="GS317" s="30"/>
      <c r="GT317" s="30"/>
      <c r="GU317" s="30"/>
      <c r="GV317" s="30"/>
      <c r="GW317" s="30"/>
      <c r="GX317" s="30"/>
      <c r="GY317" s="30"/>
      <c r="GZ317" s="30"/>
      <c r="HA317" s="30"/>
      <c r="HB317" s="30"/>
      <c r="HC317" s="30"/>
      <c r="HD317" s="30"/>
      <c r="HE317" s="30"/>
      <c r="HF317" s="30"/>
      <c r="HG317" s="30"/>
      <c r="HH317" s="30"/>
      <c r="HI317" s="30"/>
      <c r="HJ317" s="30"/>
      <c r="HK317" s="30"/>
      <c r="HL317" s="30"/>
      <c r="HM317" s="30"/>
      <c r="HN317" s="30"/>
      <c r="HO317" s="30"/>
      <c r="HP317" s="30"/>
      <c r="HQ317" s="30"/>
      <c r="HR317" s="30"/>
      <c r="HS317" s="30"/>
      <c r="HT317" s="30"/>
      <c r="HU317" s="30"/>
      <c r="HV317" s="30"/>
      <c r="HW317" s="30"/>
      <c r="HX317" s="30"/>
      <c r="HY317" s="30"/>
      <c r="HZ317" s="30"/>
      <c r="IA317" s="30"/>
      <c r="IB317" s="30"/>
      <c r="IC317" s="30"/>
      <c r="ID317" s="30"/>
      <c r="IE317" s="30"/>
      <c r="IF317" s="30"/>
      <c r="IG317" s="30"/>
      <c r="IH317" s="30"/>
      <c r="II317" s="30"/>
      <c r="IJ317" s="30"/>
      <c r="IK317" s="30"/>
      <c r="IL317" s="30"/>
      <c r="IM317" s="30"/>
      <c r="IN317" s="30"/>
      <c r="IO317" s="30"/>
      <c r="IP317" s="30"/>
      <c r="IQ317" s="30"/>
      <c r="IR317" s="30"/>
      <c r="IS317" s="30"/>
      <c r="IT317" s="30"/>
      <c r="IU317" s="30"/>
      <c r="IV317" s="30"/>
      <c r="IW317" s="30"/>
      <c r="IX317" s="30"/>
      <c r="IY317" s="30"/>
      <c r="IZ317" s="30"/>
      <c r="JA317" s="30"/>
      <c r="JB317" s="30"/>
      <c r="JC317" s="30"/>
      <c r="JD317" s="30"/>
      <c r="JE317" s="30"/>
      <c r="JF317" s="30"/>
      <c r="JG317" s="30"/>
      <c r="JH317" s="30"/>
      <c r="JI317" s="30"/>
      <c r="JJ317" s="30"/>
      <c r="JK317" s="30"/>
      <c r="JL317" s="30"/>
      <c r="JM317" s="30"/>
      <c r="JN317" s="30"/>
      <c r="JO317" s="30"/>
      <c r="JP317" s="30"/>
      <c r="JQ317" s="30"/>
      <c r="JR317" s="30"/>
      <c r="JS317" s="30"/>
      <c r="JT317" s="30"/>
      <c r="JU317" s="30"/>
      <c r="JV317" s="30"/>
      <c r="JW317" s="30"/>
      <c r="JX317" s="30"/>
      <c r="JY317" s="30"/>
      <c r="JZ317" s="30"/>
      <c r="KA317" s="30"/>
      <c r="KB317" s="30"/>
      <c r="KC317" s="30"/>
      <c r="KD317" s="30"/>
      <c r="KE317" s="30"/>
      <c r="KF317" s="30"/>
      <c r="KG317" s="30"/>
      <c r="KH317" s="30"/>
      <c r="KI317" s="30"/>
      <c r="KJ317" s="30"/>
      <c r="KK317" s="30"/>
      <c r="KL317" s="30"/>
      <c r="KM317" s="30"/>
      <c r="KN317" s="30"/>
      <c r="KO317" s="30"/>
      <c r="KP317" s="30"/>
      <c r="KQ317" s="30"/>
      <c r="KR317" s="30"/>
      <c r="KS317" s="30"/>
      <c r="KT317" s="30"/>
      <c r="KU317" s="30"/>
      <c r="KV317" s="30"/>
      <c r="KW317" s="30"/>
      <c r="KX317" s="30"/>
      <c r="KY317" s="30"/>
      <c r="KZ317" s="30"/>
      <c r="LA317" s="30"/>
      <c r="LB317" s="30"/>
      <c r="LC317" s="30"/>
      <c r="LD317" s="30"/>
      <c r="LE317" s="30"/>
      <c r="LF317" s="30"/>
      <c r="LG317" s="30"/>
      <c r="LH317" s="30"/>
      <c r="LI317" s="30"/>
      <c r="LJ317" s="30"/>
      <c r="LK317" s="30"/>
      <c r="LL317" s="30"/>
      <c r="LM317" s="30"/>
      <c r="LN317" s="30"/>
      <c r="LO317" s="30"/>
      <c r="LP317" s="30"/>
      <c r="LQ317" s="30"/>
      <c r="LR317" s="30"/>
      <c r="LS317" s="30"/>
      <c r="LT317" s="30"/>
      <c r="LU317" s="30"/>
      <c r="LV317" s="30"/>
      <c r="LW317" s="30"/>
      <c r="LX317" s="30"/>
      <c r="LY317" s="30"/>
      <c r="LZ317" s="30"/>
      <c r="MA317" s="30"/>
      <c r="MB317" s="30"/>
      <c r="MC317" s="30"/>
      <c r="MD317" s="30"/>
      <c r="ME317" s="30"/>
      <c r="MF317" s="30"/>
      <c r="MG317" s="30"/>
      <c r="MH317" s="30"/>
      <c r="MI317" s="30"/>
      <c r="MJ317" s="30"/>
      <c r="MK317" s="30"/>
      <c r="ML317" s="30"/>
      <c r="MM317" s="30"/>
      <c r="MN317" s="30"/>
      <c r="MO317" s="30"/>
      <c r="MP317" s="30"/>
      <c r="MQ317" s="30"/>
      <c r="MR317" s="30"/>
      <c r="MS317" s="30"/>
      <c r="MT317" s="30"/>
      <c r="MU317" s="30"/>
      <c r="MV317" s="30"/>
      <c r="MW317" s="30"/>
      <c r="MX317" s="30"/>
      <c r="MY317" s="30"/>
      <c r="MZ317" s="30"/>
      <c r="NA317" s="30"/>
      <c r="NB317" s="30"/>
      <c r="NC317" s="30"/>
      <c r="ND317" s="30"/>
      <c r="NE317" s="30"/>
      <c r="NF317" s="30"/>
      <c r="NG317" s="30"/>
      <c r="NH317" s="30"/>
      <c r="NI317" s="30"/>
      <c r="NJ317" s="30"/>
      <c r="NK317" s="30"/>
      <c r="NL317" s="30"/>
      <c r="NM317" s="30"/>
      <c r="NN317" s="30"/>
      <c r="NO317" s="30"/>
      <c r="NP317" s="30"/>
      <c r="NQ317" s="30"/>
      <c r="NR317" s="30"/>
    </row>
    <row r="318" spans="1:382" s="3" customFormat="1" ht="20.100000000000001" customHeight="1" x14ac:dyDescent="0.4">
      <c r="A318" s="29">
        <v>1</v>
      </c>
      <c r="B318" s="5">
        <v>1059</v>
      </c>
      <c r="C318" s="5" t="s">
        <v>429</v>
      </c>
      <c r="D318" s="5" t="s">
        <v>430</v>
      </c>
      <c r="E318" s="5" t="s">
        <v>18</v>
      </c>
      <c r="F318" s="5" t="s">
        <v>32</v>
      </c>
      <c r="G318" s="5" t="s">
        <v>32</v>
      </c>
      <c r="H318" s="5" t="s">
        <v>32</v>
      </c>
      <c r="I318" s="8"/>
      <c r="J318" s="8"/>
      <c r="K318" s="8" t="str">
        <f>IF(OR(J318="",E318=""),"",J318+IFERROR(VLOOKUP(E318,リードタイム!$A$2:$C$9,3,FALSE),0))</f>
        <v/>
      </c>
      <c r="L318" s="5" t="s">
        <v>530</v>
      </c>
      <c r="M318" s="8"/>
      <c r="N318" s="8" t="str">
        <f>IF(OR(M318="",E318=""),"",M318+IFERROR(VLOOKUP(E318,リードタイム!$A$2:$D$9,4,FALSE),0))</f>
        <v/>
      </c>
      <c r="O318" s="5" t="s">
        <v>530</v>
      </c>
      <c r="P318" s="5" t="s">
        <v>530</v>
      </c>
      <c r="Q318" s="5" t="s">
        <v>431</v>
      </c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  <c r="FS318" s="30"/>
      <c r="FT318" s="30"/>
      <c r="FU318" s="30"/>
      <c r="FV318" s="30"/>
      <c r="FW318" s="30"/>
      <c r="FX318" s="30"/>
      <c r="FY318" s="30"/>
      <c r="FZ318" s="30"/>
      <c r="GA318" s="30"/>
      <c r="GB318" s="30"/>
      <c r="GC318" s="30"/>
      <c r="GD318" s="30"/>
      <c r="GE318" s="30"/>
      <c r="GF318" s="30"/>
      <c r="GG318" s="30"/>
      <c r="GH318" s="30"/>
      <c r="GI318" s="30"/>
      <c r="GJ318" s="30"/>
      <c r="GK318" s="30"/>
      <c r="GL318" s="30"/>
      <c r="GM318" s="30"/>
      <c r="GN318" s="30"/>
      <c r="GO318" s="30"/>
      <c r="GP318" s="30"/>
      <c r="GQ318" s="30"/>
      <c r="GR318" s="30"/>
      <c r="GS318" s="30"/>
      <c r="GT318" s="30"/>
      <c r="GU318" s="30"/>
      <c r="GV318" s="30"/>
      <c r="GW318" s="30"/>
      <c r="GX318" s="30"/>
      <c r="GY318" s="30"/>
      <c r="GZ318" s="30"/>
      <c r="HA318" s="30"/>
      <c r="HB318" s="30"/>
      <c r="HC318" s="30"/>
      <c r="HD318" s="30"/>
      <c r="HE318" s="30"/>
      <c r="HF318" s="30"/>
      <c r="HG318" s="30"/>
      <c r="HH318" s="30"/>
      <c r="HI318" s="30"/>
      <c r="HJ318" s="30"/>
      <c r="HK318" s="30"/>
      <c r="HL318" s="30"/>
      <c r="HM318" s="30"/>
      <c r="HN318" s="30"/>
      <c r="HO318" s="30"/>
      <c r="HP318" s="30"/>
      <c r="HQ318" s="30"/>
      <c r="HR318" s="30"/>
      <c r="HS318" s="30"/>
      <c r="HT318" s="30"/>
      <c r="HU318" s="30"/>
      <c r="HV318" s="30"/>
      <c r="HW318" s="30"/>
      <c r="HX318" s="30"/>
      <c r="HY318" s="30"/>
      <c r="HZ318" s="30"/>
      <c r="IA318" s="30"/>
      <c r="IB318" s="30"/>
      <c r="IC318" s="30"/>
      <c r="ID318" s="30"/>
      <c r="IE318" s="30"/>
      <c r="IF318" s="30"/>
      <c r="IG318" s="30"/>
      <c r="IH318" s="30"/>
      <c r="II318" s="30"/>
      <c r="IJ318" s="30"/>
      <c r="IK318" s="30"/>
      <c r="IL318" s="30"/>
      <c r="IM318" s="30"/>
      <c r="IN318" s="30"/>
      <c r="IO318" s="30"/>
      <c r="IP318" s="30"/>
      <c r="IQ318" s="30"/>
      <c r="IR318" s="30"/>
      <c r="IS318" s="30"/>
      <c r="IT318" s="30"/>
      <c r="IU318" s="30"/>
      <c r="IV318" s="30"/>
      <c r="IW318" s="30"/>
      <c r="IX318" s="30"/>
      <c r="IY318" s="30"/>
      <c r="IZ318" s="30"/>
      <c r="JA318" s="30"/>
      <c r="JB318" s="30"/>
      <c r="JC318" s="30"/>
      <c r="JD318" s="30"/>
      <c r="JE318" s="30"/>
      <c r="JF318" s="30"/>
      <c r="JG318" s="30"/>
      <c r="JH318" s="30"/>
      <c r="JI318" s="30"/>
      <c r="JJ318" s="30"/>
      <c r="JK318" s="30"/>
      <c r="JL318" s="30"/>
      <c r="JM318" s="30"/>
      <c r="JN318" s="30"/>
      <c r="JO318" s="30"/>
      <c r="JP318" s="30"/>
      <c r="JQ318" s="30"/>
      <c r="JR318" s="30"/>
      <c r="JS318" s="30"/>
      <c r="JT318" s="30"/>
      <c r="JU318" s="30"/>
      <c r="JV318" s="30"/>
      <c r="JW318" s="30"/>
      <c r="JX318" s="30"/>
      <c r="JY318" s="30"/>
      <c r="JZ318" s="30"/>
      <c r="KA318" s="30"/>
      <c r="KB318" s="30"/>
      <c r="KC318" s="30"/>
      <c r="KD318" s="30"/>
      <c r="KE318" s="30"/>
      <c r="KF318" s="30"/>
      <c r="KG318" s="30"/>
      <c r="KH318" s="30"/>
      <c r="KI318" s="30"/>
      <c r="KJ318" s="30"/>
      <c r="KK318" s="30"/>
      <c r="KL318" s="30"/>
      <c r="KM318" s="30"/>
      <c r="KN318" s="30"/>
      <c r="KO318" s="30"/>
      <c r="KP318" s="30"/>
      <c r="KQ318" s="30"/>
      <c r="KR318" s="30"/>
      <c r="KS318" s="30"/>
      <c r="KT318" s="30"/>
      <c r="KU318" s="30"/>
      <c r="KV318" s="30"/>
      <c r="KW318" s="30"/>
      <c r="KX318" s="30"/>
      <c r="KY318" s="30"/>
      <c r="KZ318" s="30"/>
      <c r="LA318" s="30"/>
      <c r="LB318" s="30"/>
      <c r="LC318" s="30"/>
      <c r="LD318" s="30"/>
      <c r="LE318" s="30"/>
      <c r="LF318" s="30"/>
      <c r="LG318" s="30"/>
      <c r="LH318" s="30"/>
      <c r="LI318" s="30"/>
      <c r="LJ318" s="30"/>
      <c r="LK318" s="30"/>
      <c r="LL318" s="30"/>
      <c r="LM318" s="30"/>
      <c r="LN318" s="30"/>
      <c r="LO318" s="30"/>
      <c r="LP318" s="30"/>
      <c r="LQ318" s="30"/>
      <c r="LR318" s="30"/>
      <c r="LS318" s="30"/>
      <c r="LT318" s="30"/>
      <c r="LU318" s="30"/>
      <c r="LV318" s="30"/>
      <c r="LW318" s="30"/>
      <c r="LX318" s="30"/>
      <c r="LY318" s="30"/>
      <c r="LZ318" s="30"/>
      <c r="MA318" s="30"/>
      <c r="MB318" s="30"/>
      <c r="MC318" s="30"/>
      <c r="MD318" s="30"/>
      <c r="ME318" s="30"/>
      <c r="MF318" s="30"/>
      <c r="MG318" s="30"/>
      <c r="MH318" s="30"/>
      <c r="MI318" s="30"/>
      <c r="MJ318" s="30"/>
      <c r="MK318" s="30"/>
      <c r="ML318" s="30"/>
      <c r="MM318" s="30"/>
      <c r="MN318" s="30"/>
      <c r="MO318" s="30"/>
      <c r="MP318" s="30"/>
      <c r="MQ318" s="30"/>
      <c r="MR318" s="30"/>
      <c r="MS318" s="30"/>
      <c r="MT318" s="30"/>
      <c r="MU318" s="30"/>
      <c r="MV318" s="30"/>
      <c r="MW318" s="30"/>
      <c r="MX318" s="30"/>
      <c r="MY318" s="30"/>
      <c r="MZ318" s="30"/>
      <c r="NA318" s="30"/>
      <c r="NB318" s="30"/>
      <c r="NC318" s="30"/>
      <c r="ND318" s="30"/>
      <c r="NE318" s="30"/>
      <c r="NF318" s="30"/>
      <c r="NG318" s="30"/>
      <c r="NH318" s="30"/>
      <c r="NI318" s="30"/>
      <c r="NJ318" s="30"/>
      <c r="NK318" s="30"/>
      <c r="NL318" s="30"/>
      <c r="NM318" s="30"/>
      <c r="NN318" s="30"/>
      <c r="NO318" s="30"/>
      <c r="NP318" s="30"/>
      <c r="NQ318" s="30"/>
      <c r="NR318" s="30"/>
    </row>
    <row r="319" spans="1:382" s="3" customFormat="1" ht="20.100000000000001" customHeight="1" x14ac:dyDescent="0.4">
      <c r="A319" s="29">
        <v>1</v>
      </c>
      <c r="B319" s="5">
        <v>1757</v>
      </c>
      <c r="C319" s="5" t="s">
        <v>432</v>
      </c>
      <c r="D319" s="5" t="s">
        <v>433</v>
      </c>
      <c r="E319" s="5" t="s">
        <v>18</v>
      </c>
      <c r="F319" s="5" t="s">
        <v>32</v>
      </c>
      <c r="G319" s="5" t="s">
        <v>32</v>
      </c>
      <c r="H319" s="5" t="s">
        <v>32</v>
      </c>
      <c r="I319" s="8"/>
      <c r="J319" s="8"/>
      <c r="K319" s="8" t="str">
        <f>IF(OR(J319="",E319=""),"",J319+IFERROR(VLOOKUP(E319,リードタイム!$A$2:$C$9,3,FALSE),0))</f>
        <v/>
      </c>
      <c r="L319" s="5" t="s">
        <v>531</v>
      </c>
      <c r="M319" s="8"/>
      <c r="N319" s="8" t="str">
        <f>IF(OR(M319="",E319=""),"",M319+IFERROR(VLOOKUP(E319,リードタイム!$A$2:$D$9,4,FALSE),0))</f>
        <v/>
      </c>
      <c r="O319" s="5" t="s">
        <v>531</v>
      </c>
      <c r="P319" s="5" t="s">
        <v>533</v>
      </c>
      <c r="Q319" s="5" t="s">
        <v>32</v>
      </c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  <c r="FS319" s="30"/>
      <c r="FT319" s="30"/>
      <c r="FU319" s="30"/>
      <c r="FV319" s="30"/>
      <c r="FW319" s="30"/>
      <c r="FX319" s="30"/>
      <c r="FY319" s="30"/>
      <c r="FZ319" s="30"/>
      <c r="GA319" s="30"/>
      <c r="GB319" s="30"/>
      <c r="GC319" s="30"/>
      <c r="GD319" s="30"/>
      <c r="GE319" s="30"/>
      <c r="GF319" s="30"/>
      <c r="GG319" s="30"/>
      <c r="GH319" s="30"/>
      <c r="GI319" s="30"/>
      <c r="GJ319" s="30"/>
      <c r="GK319" s="30"/>
      <c r="GL319" s="30"/>
      <c r="GM319" s="30"/>
      <c r="GN319" s="30"/>
      <c r="GO319" s="30"/>
      <c r="GP319" s="30"/>
      <c r="GQ319" s="30"/>
      <c r="GR319" s="30"/>
      <c r="GS319" s="30"/>
      <c r="GT319" s="30"/>
      <c r="GU319" s="30"/>
      <c r="GV319" s="30"/>
      <c r="GW319" s="30"/>
      <c r="GX319" s="30"/>
      <c r="GY319" s="30"/>
      <c r="GZ319" s="30"/>
      <c r="HA319" s="30"/>
      <c r="HB319" s="30"/>
      <c r="HC319" s="30"/>
      <c r="HD319" s="30"/>
      <c r="HE319" s="30"/>
      <c r="HF319" s="30"/>
      <c r="HG319" s="30"/>
      <c r="HH319" s="30"/>
      <c r="HI319" s="30"/>
      <c r="HJ319" s="30"/>
      <c r="HK319" s="30"/>
      <c r="HL319" s="30"/>
      <c r="HM319" s="30"/>
      <c r="HN319" s="30"/>
      <c r="HO319" s="30"/>
      <c r="HP319" s="30"/>
      <c r="HQ319" s="30"/>
      <c r="HR319" s="30"/>
      <c r="HS319" s="30"/>
      <c r="HT319" s="30"/>
      <c r="HU319" s="30"/>
      <c r="HV319" s="30"/>
      <c r="HW319" s="30"/>
      <c r="HX319" s="30"/>
      <c r="HY319" s="30"/>
      <c r="HZ319" s="30"/>
      <c r="IA319" s="30"/>
      <c r="IB319" s="30"/>
      <c r="IC319" s="30"/>
      <c r="ID319" s="30"/>
      <c r="IE319" s="30"/>
      <c r="IF319" s="30"/>
      <c r="IG319" s="30"/>
      <c r="IH319" s="30"/>
      <c r="II319" s="30"/>
      <c r="IJ319" s="30"/>
      <c r="IK319" s="30"/>
      <c r="IL319" s="30"/>
      <c r="IM319" s="30"/>
      <c r="IN319" s="30"/>
      <c r="IO319" s="30"/>
      <c r="IP319" s="30"/>
      <c r="IQ319" s="30"/>
      <c r="IR319" s="30"/>
      <c r="IS319" s="30"/>
      <c r="IT319" s="30"/>
      <c r="IU319" s="30"/>
      <c r="IV319" s="30"/>
      <c r="IW319" s="30"/>
      <c r="IX319" s="30"/>
      <c r="IY319" s="30"/>
      <c r="IZ319" s="30"/>
      <c r="JA319" s="30"/>
      <c r="JB319" s="30"/>
      <c r="JC319" s="30"/>
      <c r="JD319" s="30"/>
      <c r="JE319" s="30"/>
      <c r="JF319" s="30"/>
      <c r="JG319" s="30"/>
      <c r="JH319" s="30"/>
      <c r="JI319" s="30"/>
      <c r="JJ319" s="30"/>
      <c r="JK319" s="30"/>
      <c r="JL319" s="30"/>
      <c r="JM319" s="30"/>
      <c r="JN319" s="30"/>
      <c r="JO319" s="30"/>
      <c r="JP319" s="30"/>
      <c r="JQ319" s="30"/>
      <c r="JR319" s="30"/>
      <c r="JS319" s="30"/>
      <c r="JT319" s="30"/>
      <c r="JU319" s="30"/>
      <c r="JV319" s="30"/>
      <c r="JW319" s="30"/>
      <c r="JX319" s="30"/>
      <c r="JY319" s="30"/>
      <c r="JZ319" s="30"/>
      <c r="KA319" s="30"/>
      <c r="KB319" s="30"/>
      <c r="KC319" s="30"/>
      <c r="KD319" s="30"/>
      <c r="KE319" s="30"/>
      <c r="KF319" s="30"/>
      <c r="KG319" s="30"/>
      <c r="KH319" s="30"/>
      <c r="KI319" s="30"/>
      <c r="KJ319" s="30"/>
      <c r="KK319" s="30"/>
      <c r="KL319" s="30"/>
      <c r="KM319" s="30"/>
      <c r="KN319" s="30"/>
      <c r="KO319" s="30"/>
      <c r="KP319" s="30"/>
      <c r="KQ319" s="30"/>
      <c r="KR319" s="30"/>
      <c r="KS319" s="30"/>
      <c r="KT319" s="30"/>
      <c r="KU319" s="30"/>
      <c r="KV319" s="30"/>
      <c r="KW319" s="30"/>
      <c r="KX319" s="30"/>
      <c r="KY319" s="30"/>
      <c r="KZ319" s="30"/>
      <c r="LA319" s="30"/>
      <c r="LB319" s="30"/>
      <c r="LC319" s="30"/>
      <c r="LD319" s="30"/>
      <c r="LE319" s="30"/>
      <c r="LF319" s="30"/>
      <c r="LG319" s="30"/>
      <c r="LH319" s="30"/>
      <c r="LI319" s="30"/>
      <c r="LJ319" s="30"/>
      <c r="LK319" s="30"/>
      <c r="LL319" s="30"/>
      <c r="LM319" s="30"/>
      <c r="LN319" s="30"/>
      <c r="LO319" s="30"/>
      <c r="LP319" s="30"/>
      <c r="LQ319" s="30"/>
      <c r="LR319" s="30"/>
      <c r="LS319" s="30"/>
      <c r="LT319" s="30"/>
      <c r="LU319" s="30"/>
      <c r="LV319" s="30"/>
      <c r="LW319" s="30"/>
      <c r="LX319" s="30"/>
      <c r="LY319" s="30"/>
      <c r="LZ319" s="30"/>
      <c r="MA319" s="30"/>
      <c r="MB319" s="30"/>
      <c r="MC319" s="30"/>
      <c r="MD319" s="30"/>
      <c r="ME319" s="30"/>
      <c r="MF319" s="30"/>
      <c r="MG319" s="30"/>
      <c r="MH319" s="30"/>
      <c r="MI319" s="30"/>
      <c r="MJ319" s="30"/>
      <c r="MK319" s="30"/>
      <c r="ML319" s="30"/>
      <c r="MM319" s="30"/>
      <c r="MN319" s="30"/>
      <c r="MO319" s="30"/>
      <c r="MP319" s="30"/>
      <c r="MQ319" s="30"/>
      <c r="MR319" s="30"/>
      <c r="MS319" s="30"/>
      <c r="MT319" s="30"/>
      <c r="MU319" s="30"/>
      <c r="MV319" s="30"/>
      <c r="MW319" s="30"/>
      <c r="MX319" s="30"/>
      <c r="MY319" s="30"/>
      <c r="MZ319" s="30"/>
      <c r="NA319" s="30"/>
      <c r="NB319" s="30"/>
      <c r="NC319" s="30"/>
      <c r="ND319" s="30"/>
      <c r="NE319" s="30"/>
      <c r="NF319" s="30"/>
      <c r="NG319" s="30"/>
      <c r="NH319" s="30"/>
      <c r="NI319" s="30"/>
      <c r="NJ319" s="30"/>
      <c r="NK319" s="30"/>
      <c r="NL319" s="30"/>
      <c r="NM319" s="30"/>
      <c r="NN319" s="30"/>
      <c r="NO319" s="30"/>
      <c r="NP319" s="30"/>
      <c r="NQ319" s="30"/>
      <c r="NR319" s="30"/>
    </row>
    <row r="320" spans="1:382" s="3" customFormat="1" ht="20.100000000000001" customHeight="1" x14ac:dyDescent="0.4">
      <c r="A320" s="29">
        <v>1</v>
      </c>
      <c r="B320" s="5">
        <v>1300</v>
      </c>
      <c r="C320" s="5" t="s">
        <v>434</v>
      </c>
      <c r="D320" s="5" t="s">
        <v>435</v>
      </c>
      <c r="E320" s="5" t="s">
        <v>18</v>
      </c>
      <c r="F320" s="5" t="s">
        <v>32</v>
      </c>
      <c r="G320" s="5" t="s">
        <v>32</v>
      </c>
      <c r="H320" s="5" t="s">
        <v>32</v>
      </c>
      <c r="I320" s="8">
        <v>45916.625</v>
      </c>
      <c r="J320" s="8"/>
      <c r="K320" s="8" t="str">
        <f>IF(OR(J320="",E320=""),"",J320+IFERROR(VLOOKUP(E320,リードタイム!$A$2:$C$9,3,FALSE),0))</f>
        <v/>
      </c>
      <c r="L320" s="5" t="s">
        <v>531</v>
      </c>
      <c r="M320" s="8"/>
      <c r="N320" s="8" t="str">
        <f>IF(OR(M320="",E320=""),"",M320+IFERROR(VLOOKUP(E320,リードタイム!$A$2:$D$9,4,FALSE),0))</f>
        <v/>
      </c>
      <c r="O320" s="5" t="s">
        <v>531</v>
      </c>
      <c r="P320" s="5" t="s">
        <v>533</v>
      </c>
      <c r="Q320" s="5" t="s">
        <v>32</v>
      </c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  <c r="FS320" s="30"/>
      <c r="FT320" s="30"/>
      <c r="FU320" s="30"/>
      <c r="FV320" s="30"/>
      <c r="FW320" s="30"/>
      <c r="FX320" s="30"/>
      <c r="FY320" s="30"/>
      <c r="FZ320" s="30"/>
      <c r="GA320" s="30"/>
      <c r="GB320" s="30"/>
      <c r="GC320" s="30"/>
      <c r="GD320" s="30"/>
      <c r="GE320" s="30"/>
      <c r="GF320" s="30"/>
      <c r="GG320" s="30"/>
      <c r="GH320" s="30"/>
      <c r="GI320" s="30"/>
      <c r="GJ320" s="30"/>
      <c r="GK320" s="30"/>
      <c r="GL320" s="30"/>
      <c r="GM320" s="30"/>
      <c r="GN320" s="30"/>
      <c r="GO320" s="30"/>
      <c r="GP320" s="30"/>
      <c r="GQ320" s="30"/>
      <c r="GR320" s="30"/>
      <c r="GS320" s="30"/>
      <c r="GT320" s="30"/>
      <c r="GU320" s="30"/>
      <c r="GV320" s="30"/>
      <c r="GW320" s="30"/>
      <c r="GX320" s="30"/>
      <c r="GY320" s="30"/>
      <c r="GZ320" s="30"/>
      <c r="HA320" s="30"/>
      <c r="HB320" s="30"/>
      <c r="HC320" s="30"/>
      <c r="HD320" s="30"/>
      <c r="HE320" s="30"/>
      <c r="HF320" s="30"/>
      <c r="HG320" s="30"/>
      <c r="HH320" s="30"/>
      <c r="HI320" s="30"/>
      <c r="HJ320" s="30"/>
      <c r="HK320" s="30"/>
      <c r="HL320" s="30"/>
      <c r="HM320" s="30"/>
      <c r="HN320" s="30"/>
      <c r="HO320" s="30"/>
      <c r="HP320" s="30"/>
      <c r="HQ320" s="30"/>
      <c r="HR320" s="30"/>
      <c r="HS320" s="30"/>
      <c r="HT320" s="30"/>
      <c r="HU320" s="30"/>
      <c r="HV320" s="30"/>
      <c r="HW320" s="30"/>
      <c r="HX320" s="30"/>
      <c r="HY320" s="30"/>
      <c r="HZ320" s="30"/>
      <c r="IA320" s="30"/>
      <c r="IB320" s="30"/>
      <c r="IC320" s="30"/>
      <c r="ID320" s="30"/>
      <c r="IE320" s="30"/>
      <c r="IF320" s="30"/>
      <c r="IG320" s="30"/>
      <c r="IH320" s="30"/>
      <c r="II320" s="30"/>
      <c r="IJ320" s="30"/>
      <c r="IK320" s="30"/>
      <c r="IL320" s="30"/>
      <c r="IM320" s="30"/>
      <c r="IN320" s="30"/>
      <c r="IO320" s="30"/>
      <c r="IP320" s="30"/>
      <c r="IQ320" s="30"/>
      <c r="IR320" s="30"/>
      <c r="IS320" s="30"/>
      <c r="IT320" s="30"/>
      <c r="IU320" s="30"/>
      <c r="IV320" s="30"/>
      <c r="IW320" s="30"/>
      <c r="IX320" s="30"/>
      <c r="IY320" s="30"/>
      <c r="IZ320" s="30"/>
      <c r="JA320" s="30"/>
      <c r="JB320" s="30"/>
      <c r="JC320" s="30"/>
      <c r="JD320" s="30"/>
      <c r="JE320" s="30"/>
      <c r="JF320" s="30"/>
      <c r="JG320" s="30"/>
      <c r="JH320" s="30"/>
      <c r="JI320" s="30"/>
      <c r="JJ320" s="30"/>
      <c r="JK320" s="30"/>
      <c r="JL320" s="30"/>
      <c r="JM320" s="30"/>
      <c r="JN320" s="30"/>
      <c r="JO320" s="30"/>
      <c r="JP320" s="30"/>
      <c r="JQ320" s="30"/>
      <c r="JR320" s="30"/>
      <c r="JS320" s="30"/>
      <c r="JT320" s="30"/>
      <c r="JU320" s="30"/>
      <c r="JV320" s="30"/>
      <c r="JW320" s="30"/>
      <c r="JX320" s="30"/>
      <c r="JY320" s="30"/>
      <c r="JZ320" s="30"/>
      <c r="KA320" s="30"/>
      <c r="KB320" s="30"/>
      <c r="KC320" s="30"/>
      <c r="KD320" s="30"/>
      <c r="KE320" s="30"/>
      <c r="KF320" s="30"/>
      <c r="KG320" s="30"/>
      <c r="KH320" s="30"/>
      <c r="KI320" s="30"/>
      <c r="KJ320" s="30"/>
      <c r="KK320" s="30"/>
      <c r="KL320" s="30"/>
      <c r="KM320" s="30"/>
      <c r="KN320" s="30"/>
      <c r="KO320" s="30"/>
      <c r="KP320" s="30"/>
      <c r="KQ320" s="30"/>
      <c r="KR320" s="30"/>
      <c r="KS320" s="30"/>
      <c r="KT320" s="30"/>
      <c r="KU320" s="30"/>
      <c r="KV320" s="30"/>
      <c r="KW320" s="30"/>
      <c r="KX320" s="30"/>
      <c r="KY320" s="30"/>
      <c r="KZ320" s="30"/>
      <c r="LA320" s="30"/>
      <c r="LB320" s="30"/>
      <c r="LC320" s="30"/>
      <c r="LD320" s="30"/>
      <c r="LE320" s="30"/>
      <c r="LF320" s="30"/>
      <c r="LG320" s="30"/>
      <c r="LH320" s="30"/>
      <c r="LI320" s="30"/>
      <c r="LJ320" s="30"/>
      <c r="LK320" s="30"/>
      <c r="LL320" s="30"/>
      <c r="LM320" s="30"/>
      <c r="LN320" s="30"/>
      <c r="LO320" s="30"/>
      <c r="LP320" s="30"/>
      <c r="LQ320" s="30"/>
      <c r="LR320" s="30"/>
      <c r="LS320" s="30"/>
      <c r="LT320" s="30"/>
      <c r="LU320" s="30"/>
      <c r="LV320" s="30"/>
      <c r="LW320" s="30"/>
      <c r="LX320" s="30"/>
      <c r="LY320" s="30"/>
      <c r="LZ320" s="30"/>
      <c r="MA320" s="30"/>
      <c r="MB320" s="30"/>
      <c r="MC320" s="30"/>
      <c r="MD320" s="30"/>
      <c r="ME320" s="30"/>
      <c r="MF320" s="30"/>
      <c r="MG320" s="30"/>
      <c r="MH320" s="30"/>
      <c r="MI320" s="30"/>
      <c r="MJ320" s="30"/>
      <c r="MK320" s="30"/>
      <c r="ML320" s="30"/>
      <c r="MM320" s="30"/>
      <c r="MN320" s="30"/>
      <c r="MO320" s="30"/>
      <c r="MP320" s="30"/>
      <c r="MQ320" s="30"/>
      <c r="MR320" s="30"/>
      <c r="MS320" s="30"/>
      <c r="MT320" s="30"/>
      <c r="MU320" s="30"/>
      <c r="MV320" s="30"/>
      <c r="MW320" s="30"/>
      <c r="MX320" s="30"/>
      <c r="MY320" s="30"/>
      <c r="MZ320" s="30"/>
      <c r="NA320" s="30"/>
      <c r="NB320" s="30"/>
      <c r="NC320" s="30"/>
      <c r="ND320" s="30"/>
      <c r="NE320" s="30"/>
      <c r="NF320" s="30"/>
      <c r="NG320" s="30"/>
      <c r="NH320" s="30"/>
      <c r="NI320" s="30"/>
      <c r="NJ320" s="30"/>
      <c r="NK320" s="30"/>
      <c r="NL320" s="30"/>
      <c r="NM320" s="30"/>
      <c r="NN320" s="30"/>
      <c r="NO320" s="30"/>
      <c r="NP320" s="30"/>
      <c r="NQ320" s="30"/>
      <c r="NR320" s="30"/>
    </row>
    <row r="321" spans="1:382" s="3" customFormat="1" ht="20.100000000000001" customHeight="1" x14ac:dyDescent="0.4">
      <c r="A321" s="29">
        <v>2</v>
      </c>
      <c r="B321" s="5">
        <v>1831</v>
      </c>
      <c r="C321" s="5" t="s">
        <v>434</v>
      </c>
      <c r="D321" s="5" t="s">
        <v>436</v>
      </c>
      <c r="E321" s="5" t="s">
        <v>18</v>
      </c>
      <c r="F321" s="5" t="s">
        <v>32</v>
      </c>
      <c r="G321" s="5" t="s">
        <v>32</v>
      </c>
      <c r="H321" s="5" t="s">
        <v>32</v>
      </c>
      <c r="I321" s="8"/>
      <c r="J321" s="8"/>
      <c r="K321" s="8" t="str">
        <f>IF(OR(J321="",E321=""),"",J321+IFERROR(VLOOKUP(E321,リードタイム!$A$2:$C$9,3,FALSE),0))</f>
        <v/>
      </c>
      <c r="L321" s="5" t="s">
        <v>531</v>
      </c>
      <c r="M321" s="8"/>
      <c r="N321" s="8" t="str">
        <f>IF(OR(M321="",E321=""),"",M321+IFERROR(VLOOKUP(E321,リードタイム!$A$2:$D$9,4,FALSE),0))</f>
        <v/>
      </c>
      <c r="O321" s="5" t="s">
        <v>531</v>
      </c>
      <c r="P321" s="5" t="s">
        <v>533</v>
      </c>
      <c r="Q321" s="5" t="s">
        <v>32</v>
      </c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  <c r="FS321" s="30"/>
      <c r="FT321" s="30"/>
      <c r="FU321" s="30"/>
      <c r="FV321" s="30"/>
      <c r="FW321" s="30"/>
      <c r="FX321" s="30"/>
      <c r="FY321" s="30"/>
      <c r="FZ321" s="30"/>
      <c r="GA321" s="30"/>
      <c r="GB321" s="30"/>
      <c r="GC321" s="30"/>
      <c r="GD321" s="30"/>
      <c r="GE321" s="30"/>
      <c r="GF321" s="30"/>
      <c r="GG321" s="30"/>
      <c r="GH321" s="30"/>
      <c r="GI321" s="30"/>
      <c r="GJ321" s="30"/>
      <c r="GK321" s="30"/>
      <c r="GL321" s="30"/>
      <c r="GM321" s="30"/>
      <c r="GN321" s="30"/>
      <c r="GO321" s="30"/>
      <c r="GP321" s="30"/>
      <c r="GQ321" s="30"/>
      <c r="GR321" s="30"/>
      <c r="GS321" s="30"/>
      <c r="GT321" s="30"/>
      <c r="GU321" s="30"/>
      <c r="GV321" s="30"/>
      <c r="GW321" s="30"/>
      <c r="GX321" s="30"/>
      <c r="GY321" s="30"/>
      <c r="GZ321" s="30"/>
      <c r="HA321" s="30"/>
      <c r="HB321" s="30"/>
      <c r="HC321" s="30"/>
      <c r="HD321" s="30"/>
      <c r="HE321" s="30"/>
      <c r="HF321" s="30"/>
      <c r="HG321" s="30"/>
      <c r="HH321" s="30"/>
      <c r="HI321" s="30"/>
      <c r="HJ321" s="30"/>
      <c r="HK321" s="30"/>
      <c r="HL321" s="30"/>
      <c r="HM321" s="30"/>
      <c r="HN321" s="30"/>
      <c r="HO321" s="30"/>
      <c r="HP321" s="30"/>
      <c r="HQ321" s="30"/>
      <c r="HR321" s="30"/>
      <c r="HS321" s="30"/>
      <c r="HT321" s="30"/>
      <c r="HU321" s="30"/>
      <c r="HV321" s="30"/>
      <c r="HW321" s="30"/>
      <c r="HX321" s="30"/>
      <c r="HY321" s="30"/>
      <c r="HZ321" s="30"/>
      <c r="IA321" s="30"/>
      <c r="IB321" s="30"/>
      <c r="IC321" s="30"/>
      <c r="ID321" s="30"/>
      <c r="IE321" s="30"/>
      <c r="IF321" s="30"/>
      <c r="IG321" s="30"/>
      <c r="IH321" s="30"/>
      <c r="II321" s="30"/>
      <c r="IJ321" s="30"/>
      <c r="IK321" s="30"/>
      <c r="IL321" s="30"/>
      <c r="IM321" s="30"/>
      <c r="IN321" s="30"/>
      <c r="IO321" s="30"/>
      <c r="IP321" s="30"/>
      <c r="IQ321" s="30"/>
      <c r="IR321" s="30"/>
      <c r="IS321" s="30"/>
      <c r="IT321" s="30"/>
      <c r="IU321" s="30"/>
      <c r="IV321" s="30"/>
      <c r="IW321" s="30"/>
      <c r="IX321" s="30"/>
      <c r="IY321" s="30"/>
      <c r="IZ321" s="30"/>
      <c r="JA321" s="30"/>
      <c r="JB321" s="30"/>
      <c r="JC321" s="30"/>
      <c r="JD321" s="30"/>
      <c r="JE321" s="30"/>
      <c r="JF321" s="30"/>
      <c r="JG321" s="30"/>
      <c r="JH321" s="30"/>
      <c r="JI321" s="30"/>
      <c r="JJ321" s="30"/>
      <c r="JK321" s="30"/>
      <c r="JL321" s="30"/>
      <c r="JM321" s="30"/>
      <c r="JN321" s="30"/>
      <c r="JO321" s="30"/>
      <c r="JP321" s="30"/>
      <c r="JQ321" s="30"/>
      <c r="JR321" s="30"/>
      <c r="JS321" s="30"/>
      <c r="JT321" s="30"/>
      <c r="JU321" s="30"/>
      <c r="JV321" s="30"/>
      <c r="JW321" s="30"/>
      <c r="JX321" s="30"/>
      <c r="JY321" s="30"/>
      <c r="JZ321" s="30"/>
      <c r="KA321" s="30"/>
      <c r="KB321" s="30"/>
      <c r="KC321" s="30"/>
      <c r="KD321" s="30"/>
      <c r="KE321" s="30"/>
      <c r="KF321" s="30"/>
      <c r="KG321" s="30"/>
      <c r="KH321" s="30"/>
      <c r="KI321" s="30"/>
      <c r="KJ321" s="30"/>
      <c r="KK321" s="30"/>
      <c r="KL321" s="30"/>
      <c r="KM321" s="30"/>
      <c r="KN321" s="30"/>
      <c r="KO321" s="30"/>
      <c r="KP321" s="30"/>
      <c r="KQ321" s="30"/>
      <c r="KR321" s="30"/>
      <c r="KS321" s="30"/>
      <c r="KT321" s="30"/>
      <c r="KU321" s="30"/>
      <c r="KV321" s="30"/>
      <c r="KW321" s="30"/>
      <c r="KX321" s="30"/>
      <c r="KY321" s="30"/>
      <c r="KZ321" s="30"/>
      <c r="LA321" s="30"/>
      <c r="LB321" s="30"/>
      <c r="LC321" s="30"/>
      <c r="LD321" s="30"/>
      <c r="LE321" s="30"/>
      <c r="LF321" s="30"/>
      <c r="LG321" s="30"/>
      <c r="LH321" s="30"/>
      <c r="LI321" s="30"/>
      <c r="LJ321" s="30"/>
      <c r="LK321" s="30"/>
      <c r="LL321" s="30"/>
      <c r="LM321" s="30"/>
      <c r="LN321" s="30"/>
      <c r="LO321" s="30"/>
      <c r="LP321" s="30"/>
      <c r="LQ321" s="30"/>
      <c r="LR321" s="30"/>
      <c r="LS321" s="30"/>
      <c r="LT321" s="30"/>
      <c r="LU321" s="30"/>
      <c r="LV321" s="30"/>
      <c r="LW321" s="30"/>
      <c r="LX321" s="30"/>
      <c r="LY321" s="30"/>
      <c r="LZ321" s="30"/>
      <c r="MA321" s="30"/>
      <c r="MB321" s="30"/>
      <c r="MC321" s="30"/>
      <c r="MD321" s="30"/>
      <c r="ME321" s="30"/>
      <c r="MF321" s="30"/>
      <c r="MG321" s="30"/>
      <c r="MH321" s="30"/>
      <c r="MI321" s="30"/>
      <c r="MJ321" s="30"/>
      <c r="MK321" s="30"/>
      <c r="ML321" s="30"/>
      <c r="MM321" s="30"/>
      <c r="MN321" s="30"/>
      <c r="MO321" s="30"/>
      <c r="MP321" s="30"/>
      <c r="MQ321" s="30"/>
      <c r="MR321" s="30"/>
      <c r="MS321" s="30"/>
      <c r="MT321" s="30"/>
      <c r="MU321" s="30"/>
      <c r="MV321" s="30"/>
      <c r="MW321" s="30"/>
      <c r="MX321" s="30"/>
      <c r="MY321" s="30"/>
      <c r="MZ321" s="30"/>
      <c r="NA321" s="30"/>
      <c r="NB321" s="30"/>
      <c r="NC321" s="30"/>
      <c r="ND321" s="30"/>
      <c r="NE321" s="30"/>
      <c r="NF321" s="30"/>
      <c r="NG321" s="30"/>
      <c r="NH321" s="30"/>
      <c r="NI321" s="30"/>
      <c r="NJ321" s="30"/>
      <c r="NK321" s="30"/>
      <c r="NL321" s="30"/>
      <c r="NM321" s="30"/>
      <c r="NN321" s="30"/>
      <c r="NO321" s="30"/>
      <c r="NP321" s="30"/>
      <c r="NQ321" s="30"/>
      <c r="NR321" s="30"/>
    </row>
    <row r="322" spans="1:382" s="3" customFormat="1" ht="20.100000000000001" customHeight="1" x14ac:dyDescent="0.4">
      <c r="A322" s="29">
        <v>3</v>
      </c>
      <c r="B322" s="5">
        <v>1548</v>
      </c>
      <c r="C322" s="5" t="s">
        <v>434</v>
      </c>
      <c r="D322" s="5" t="s">
        <v>437</v>
      </c>
      <c r="E322" s="5" t="s">
        <v>18</v>
      </c>
      <c r="F322" s="5" t="s">
        <v>32</v>
      </c>
      <c r="G322" s="5" t="s">
        <v>32</v>
      </c>
      <c r="H322" s="5" t="s">
        <v>32</v>
      </c>
      <c r="I322" s="8"/>
      <c r="J322" s="8"/>
      <c r="K322" s="8" t="str">
        <f>IF(OR(J322="",E322=""),"",J322+IFERROR(VLOOKUP(E322,リードタイム!$A$2:$C$9,3,FALSE),0))</f>
        <v/>
      </c>
      <c r="L322" s="5" t="s">
        <v>531</v>
      </c>
      <c r="M322" s="8"/>
      <c r="N322" s="8" t="str">
        <f>IF(OR(M322="",E322=""),"",M322+IFERROR(VLOOKUP(E322,リードタイム!$A$2:$D$9,4,FALSE),0))</f>
        <v/>
      </c>
      <c r="O322" s="5" t="s">
        <v>531</v>
      </c>
      <c r="P322" s="5" t="s">
        <v>533</v>
      </c>
      <c r="Q322" s="5" t="s">
        <v>32</v>
      </c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  <c r="FS322" s="30"/>
      <c r="FT322" s="30"/>
      <c r="FU322" s="30"/>
      <c r="FV322" s="30"/>
      <c r="FW322" s="30"/>
      <c r="FX322" s="30"/>
      <c r="FY322" s="30"/>
      <c r="FZ322" s="30"/>
      <c r="GA322" s="30"/>
      <c r="GB322" s="30"/>
      <c r="GC322" s="30"/>
      <c r="GD322" s="30"/>
      <c r="GE322" s="30"/>
      <c r="GF322" s="30"/>
      <c r="GG322" s="30"/>
      <c r="GH322" s="30"/>
      <c r="GI322" s="30"/>
      <c r="GJ322" s="30"/>
      <c r="GK322" s="30"/>
      <c r="GL322" s="30"/>
      <c r="GM322" s="30"/>
      <c r="GN322" s="30"/>
      <c r="GO322" s="30"/>
      <c r="GP322" s="30"/>
      <c r="GQ322" s="30"/>
      <c r="GR322" s="30"/>
      <c r="GS322" s="30"/>
      <c r="GT322" s="30"/>
      <c r="GU322" s="30"/>
      <c r="GV322" s="30"/>
      <c r="GW322" s="30"/>
      <c r="GX322" s="30"/>
      <c r="GY322" s="30"/>
      <c r="GZ322" s="30"/>
      <c r="HA322" s="30"/>
      <c r="HB322" s="30"/>
      <c r="HC322" s="30"/>
      <c r="HD322" s="30"/>
      <c r="HE322" s="30"/>
      <c r="HF322" s="30"/>
      <c r="HG322" s="30"/>
      <c r="HH322" s="30"/>
      <c r="HI322" s="30"/>
      <c r="HJ322" s="30"/>
      <c r="HK322" s="30"/>
      <c r="HL322" s="30"/>
      <c r="HM322" s="30"/>
      <c r="HN322" s="30"/>
      <c r="HO322" s="30"/>
      <c r="HP322" s="30"/>
      <c r="HQ322" s="30"/>
      <c r="HR322" s="30"/>
      <c r="HS322" s="30"/>
      <c r="HT322" s="30"/>
      <c r="HU322" s="30"/>
      <c r="HV322" s="30"/>
      <c r="HW322" s="30"/>
      <c r="HX322" s="30"/>
      <c r="HY322" s="30"/>
      <c r="HZ322" s="30"/>
      <c r="IA322" s="30"/>
      <c r="IB322" s="30"/>
      <c r="IC322" s="30"/>
      <c r="ID322" s="30"/>
      <c r="IE322" s="30"/>
      <c r="IF322" s="30"/>
      <c r="IG322" s="30"/>
      <c r="IH322" s="30"/>
      <c r="II322" s="30"/>
      <c r="IJ322" s="30"/>
      <c r="IK322" s="30"/>
      <c r="IL322" s="30"/>
      <c r="IM322" s="30"/>
      <c r="IN322" s="30"/>
      <c r="IO322" s="30"/>
      <c r="IP322" s="30"/>
      <c r="IQ322" s="30"/>
      <c r="IR322" s="30"/>
      <c r="IS322" s="30"/>
      <c r="IT322" s="30"/>
      <c r="IU322" s="30"/>
      <c r="IV322" s="30"/>
      <c r="IW322" s="30"/>
      <c r="IX322" s="30"/>
      <c r="IY322" s="30"/>
      <c r="IZ322" s="30"/>
      <c r="JA322" s="30"/>
      <c r="JB322" s="30"/>
      <c r="JC322" s="30"/>
      <c r="JD322" s="30"/>
      <c r="JE322" s="30"/>
      <c r="JF322" s="30"/>
      <c r="JG322" s="30"/>
      <c r="JH322" s="30"/>
      <c r="JI322" s="30"/>
      <c r="JJ322" s="30"/>
      <c r="JK322" s="30"/>
      <c r="JL322" s="30"/>
      <c r="JM322" s="30"/>
      <c r="JN322" s="30"/>
      <c r="JO322" s="30"/>
      <c r="JP322" s="30"/>
      <c r="JQ322" s="30"/>
      <c r="JR322" s="30"/>
      <c r="JS322" s="30"/>
      <c r="JT322" s="30"/>
      <c r="JU322" s="30"/>
      <c r="JV322" s="30"/>
      <c r="JW322" s="30"/>
      <c r="JX322" s="30"/>
      <c r="JY322" s="30"/>
      <c r="JZ322" s="30"/>
      <c r="KA322" s="30"/>
      <c r="KB322" s="30"/>
      <c r="KC322" s="30"/>
      <c r="KD322" s="30"/>
      <c r="KE322" s="30"/>
      <c r="KF322" s="30"/>
      <c r="KG322" s="30"/>
      <c r="KH322" s="30"/>
      <c r="KI322" s="30"/>
      <c r="KJ322" s="30"/>
      <c r="KK322" s="30"/>
      <c r="KL322" s="30"/>
      <c r="KM322" s="30"/>
      <c r="KN322" s="30"/>
      <c r="KO322" s="30"/>
      <c r="KP322" s="30"/>
      <c r="KQ322" s="30"/>
      <c r="KR322" s="30"/>
      <c r="KS322" s="30"/>
      <c r="KT322" s="30"/>
      <c r="KU322" s="30"/>
      <c r="KV322" s="30"/>
      <c r="KW322" s="30"/>
      <c r="KX322" s="30"/>
      <c r="KY322" s="30"/>
      <c r="KZ322" s="30"/>
      <c r="LA322" s="30"/>
      <c r="LB322" s="30"/>
      <c r="LC322" s="30"/>
      <c r="LD322" s="30"/>
      <c r="LE322" s="30"/>
      <c r="LF322" s="30"/>
      <c r="LG322" s="30"/>
      <c r="LH322" s="30"/>
      <c r="LI322" s="30"/>
      <c r="LJ322" s="30"/>
      <c r="LK322" s="30"/>
      <c r="LL322" s="30"/>
      <c r="LM322" s="30"/>
      <c r="LN322" s="30"/>
      <c r="LO322" s="30"/>
      <c r="LP322" s="30"/>
      <c r="LQ322" s="30"/>
      <c r="LR322" s="30"/>
      <c r="LS322" s="30"/>
      <c r="LT322" s="30"/>
      <c r="LU322" s="30"/>
      <c r="LV322" s="30"/>
      <c r="LW322" s="30"/>
      <c r="LX322" s="30"/>
      <c r="LY322" s="30"/>
      <c r="LZ322" s="30"/>
      <c r="MA322" s="30"/>
      <c r="MB322" s="30"/>
      <c r="MC322" s="30"/>
      <c r="MD322" s="30"/>
      <c r="ME322" s="30"/>
      <c r="MF322" s="30"/>
      <c r="MG322" s="30"/>
      <c r="MH322" s="30"/>
      <c r="MI322" s="30"/>
      <c r="MJ322" s="30"/>
      <c r="MK322" s="30"/>
      <c r="ML322" s="30"/>
      <c r="MM322" s="30"/>
      <c r="MN322" s="30"/>
      <c r="MO322" s="30"/>
      <c r="MP322" s="30"/>
      <c r="MQ322" s="30"/>
      <c r="MR322" s="30"/>
      <c r="MS322" s="30"/>
      <c r="MT322" s="30"/>
      <c r="MU322" s="30"/>
      <c r="MV322" s="30"/>
      <c r="MW322" s="30"/>
      <c r="MX322" s="30"/>
      <c r="MY322" s="30"/>
      <c r="MZ322" s="30"/>
      <c r="NA322" s="30"/>
      <c r="NB322" s="30"/>
      <c r="NC322" s="30"/>
      <c r="ND322" s="30"/>
      <c r="NE322" s="30"/>
      <c r="NF322" s="30"/>
      <c r="NG322" s="30"/>
      <c r="NH322" s="30"/>
      <c r="NI322" s="30"/>
      <c r="NJ322" s="30"/>
      <c r="NK322" s="30"/>
      <c r="NL322" s="30"/>
      <c r="NM322" s="30"/>
      <c r="NN322" s="30"/>
      <c r="NO322" s="30"/>
      <c r="NP322" s="30"/>
      <c r="NQ322" s="30"/>
      <c r="NR322" s="30"/>
    </row>
    <row r="323" spans="1:382" s="3" customFormat="1" ht="20.100000000000001" customHeight="1" x14ac:dyDescent="0.4">
      <c r="A323" s="29">
        <v>4</v>
      </c>
      <c r="B323" s="5">
        <v>1549</v>
      </c>
      <c r="C323" s="5" t="s">
        <v>434</v>
      </c>
      <c r="D323" s="5" t="s">
        <v>438</v>
      </c>
      <c r="E323" s="5" t="s">
        <v>18</v>
      </c>
      <c r="F323" s="5" t="s">
        <v>32</v>
      </c>
      <c r="G323" s="5" t="s">
        <v>32</v>
      </c>
      <c r="H323" s="5" t="s">
        <v>32</v>
      </c>
      <c r="I323" s="8"/>
      <c r="J323" s="8"/>
      <c r="K323" s="8" t="str">
        <f>IF(OR(J323="",E323=""),"",J323+IFERROR(VLOOKUP(E323,リードタイム!$A$2:$C$9,3,FALSE),0))</f>
        <v/>
      </c>
      <c r="L323" s="5" t="s">
        <v>531</v>
      </c>
      <c r="M323" s="8"/>
      <c r="N323" s="8" t="str">
        <f>IF(OR(M323="",E323=""),"",M323+IFERROR(VLOOKUP(E323,リードタイム!$A$2:$D$9,4,FALSE),0))</f>
        <v/>
      </c>
      <c r="O323" s="5" t="s">
        <v>531</v>
      </c>
      <c r="P323" s="5" t="s">
        <v>533</v>
      </c>
      <c r="Q323" s="5" t="s">
        <v>32</v>
      </c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  <c r="FS323" s="30"/>
      <c r="FT323" s="30"/>
      <c r="FU323" s="30"/>
      <c r="FV323" s="30"/>
      <c r="FW323" s="30"/>
      <c r="FX323" s="30"/>
      <c r="FY323" s="30"/>
      <c r="FZ323" s="30"/>
      <c r="GA323" s="30"/>
      <c r="GB323" s="30"/>
      <c r="GC323" s="30"/>
      <c r="GD323" s="30"/>
      <c r="GE323" s="30"/>
      <c r="GF323" s="30"/>
      <c r="GG323" s="30"/>
      <c r="GH323" s="30"/>
      <c r="GI323" s="30"/>
      <c r="GJ323" s="30"/>
      <c r="GK323" s="30"/>
      <c r="GL323" s="30"/>
      <c r="GM323" s="30"/>
      <c r="GN323" s="30"/>
      <c r="GO323" s="30"/>
      <c r="GP323" s="30"/>
      <c r="GQ323" s="30"/>
      <c r="GR323" s="30"/>
      <c r="GS323" s="30"/>
      <c r="GT323" s="30"/>
      <c r="GU323" s="30"/>
      <c r="GV323" s="30"/>
      <c r="GW323" s="30"/>
      <c r="GX323" s="30"/>
      <c r="GY323" s="30"/>
      <c r="GZ323" s="30"/>
      <c r="HA323" s="30"/>
      <c r="HB323" s="30"/>
      <c r="HC323" s="30"/>
      <c r="HD323" s="30"/>
      <c r="HE323" s="30"/>
      <c r="HF323" s="30"/>
      <c r="HG323" s="30"/>
      <c r="HH323" s="30"/>
      <c r="HI323" s="30"/>
      <c r="HJ323" s="30"/>
      <c r="HK323" s="30"/>
      <c r="HL323" s="30"/>
      <c r="HM323" s="30"/>
      <c r="HN323" s="30"/>
      <c r="HO323" s="30"/>
      <c r="HP323" s="30"/>
      <c r="HQ323" s="30"/>
      <c r="HR323" s="30"/>
      <c r="HS323" s="30"/>
      <c r="HT323" s="30"/>
      <c r="HU323" s="30"/>
      <c r="HV323" s="30"/>
      <c r="HW323" s="30"/>
      <c r="HX323" s="30"/>
      <c r="HY323" s="30"/>
      <c r="HZ323" s="30"/>
      <c r="IA323" s="30"/>
      <c r="IB323" s="30"/>
      <c r="IC323" s="30"/>
      <c r="ID323" s="30"/>
      <c r="IE323" s="30"/>
      <c r="IF323" s="30"/>
      <c r="IG323" s="30"/>
      <c r="IH323" s="30"/>
      <c r="II323" s="30"/>
      <c r="IJ323" s="30"/>
      <c r="IK323" s="30"/>
      <c r="IL323" s="30"/>
      <c r="IM323" s="30"/>
      <c r="IN323" s="30"/>
      <c r="IO323" s="30"/>
      <c r="IP323" s="30"/>
      <c r="IQ323" s="30"/>
      <c r="IR323" s="30"/>
      <c r="IS323" s="30"/>
      <c r="IT323" s="30"/>
      <c r="IU323" s="30"/>
      <c r="IV323" s="30"/>
      <c r="IW323" s="30"/>
      <c r="IX323" s="30"/>
      <c r="IY323" s="30"/>
      <c r="IZ323" s="30"/>
      <c r="JA323" s="30"/>
      <c r="JB323" s="30"/>
      <c r="JC323" s="30"/>
      <c r="JD323" s="30"/>
      <c r="JE323" s="30"/>
      <c r="JF323" s="30"/>
      <c r="JG323" s="30"/>
      <c r="JH323" s="30"/>
      <c r="JI323" s="30"/>
      <c r="JJ323" s="30"/>
      <c r="JK323" s="30"/>
      <c r="JL323" s="30"/>
      <c r="JM323" s="30"/>
      <c r="JN323" s="30"/>
      <c r="JO323" s="30"/>
      <c r="JP323" s="30"/>
      <c r="JQ323" s="30"/>
      <c r="JR323" s="30"/>
      <c r="JS323" s="30"/>
      <c r="JT323" s="30"/>
      <c r="JU323" s="30"/>
      <c r="JV323" s="30"/>
      <c r="JW323" s="30"/>
      <c r="JX323" s="30"/>
      <c r="JY323" s="30"/>
      <c r="JZ323" s="30"/>
      <c r="KA323" s="30"/>
      <c r="KB323" s="30"/>
      <c r="KC323" s="30"/>
      <c r="KD323" s="30"/>
      <c r="KE323" s="30"/>
      <c r="KF323" s="30"/>
      <c r="KG323" s="30"/>
      <c r="KH323" s="30"/>
      <c r="KI323" s="30"/>
      <c r="KJ323" s="30"/>
      <c r="KK323" s="30"/>
      <c r="KL323" s="30"/>
      <c r="KM323" s="30"/>
      <c r="KN323" s="30"/>
      <c r="KO323" s="30"/>
      <c r="KP323" s="30"/>
      <c r="KQ323" s="30"/>
      <c r="KR323" s="30"/>
      <c r="KS323" s="30"/>
      <c r="KT323" s="30"/>
      <c r="KU323" s="30"/>
      <c r="KV323" s="30"/>
      <c r="KW323" s="30"/>
      <c r="KX323" s="30"/>
      <c r="KY323" s="30"/>
      <c r="KZ323" s="30"/>
      <c r="LA323" s="30"/>
      <c r="LB323" s="30"/>
      <c r="LC323" s="30"/>
      <c r="LD323" s="30"/>
      <c r="LE323" s="30"/>
      <c r="LF323" s="30"/>
      <c r="LG323" s="30"/>
      <c r="LH323" s="30"/>
      <c r="LI323" s="30"/>
      <c r="LJ323" s="30"/>
      <c r="LK323" s="30"/>
      <c r="LL323" s="30"/>
      <c r="LM323" s="30"/>
      <c r="LN323" s="30"/>
      <c r="LO323" s="30"/>
      <c r="LP323" s="30"/>
      <c r="LQ323" s="30"/>
      <c r="LR323" s="30"/>
      <c r="LS323" s="30"/>
      <c r="LT323" s="30"/>
      <c r="LU323" s="30"/>
      <c r="LV323" s="30"/>
      <c r="LW323" s="30"/>
      <c r="LX323" s="30"/>
      <c r="LY323" s="30"/>
      <c r="LZ323" s="30"/>
      <c r="MA323" s="30"/>
      <c r="MB323" s="30"/>
      <c r="MC323" s="30"/>
      <c r="MD323" s="30"/>
      <c r="ME323" s="30"/>
      <c r="MF323" s="30"/>
      <c r="MG323" s="30"/>
      <c r="MH323" s="30"/>
      <c r="MI323" s="30"/>
      <c r="MJ323" s="30"/>
      <c r="MK323" s="30"/>
      <c r="ML323" s="30"/>
      <c r="MM323" s="30"/>
      <c r="MN323" s="30"/>
      <c r="MO323" s="30"/>
      <c r="MP323" s="30"/>
      <c r="MQ323" s="30"/>
      <c r="MR323" s="30"/>
      <c r="MS323" s="30"/>
      <c r="MT323" s="30"/>
      <c r="MU323" s="30"/>
      <c r="MV323" s="30"/>
      <c r="MW323" s="30"/>
      <c r="MX323" s="30"/>
      <c r="MY323" s="30"/>
      <c r="MZ323" s="30"/>
      <c r="NA323" s="30"/>
      <c r="NB323" s="30"/>
      <c r="NC323" s="30"/>
      <c r="ND323" s="30"/>
      <c r="NE323" s="30"/>
      <c r="NF323" s="30"/>
      <c r="NG323" s="30"/>
      <c r="NH323" s="30"/>
      <c r="NI323" s="30"/>
      <c r="NJ323" s="30"/>
      <c r="NK323" s="30"/>
      <c r="NL323" s="30"/>
      <c r="NM323" s="30"/>
      <c r="NN323" s="30"/>
      <c r="NO323" s="30"/>
      <c r="NP323" s="30"/>
      <c r="NQ323" s="30"/>
      <c r="NR323" s="30"/>
    </row>
    <row r="324" spans="1:382" s="3" customFormat="1" ht="20.100000000000001" customHeight="1" x14ac:dyDescent="0.4">
      <c r="A324" s="29">
        <v>5</v>
      </c>
      <c r="B324" s="5">
        <v>1573</v>
      </c>
      <c r="C324" s="5" t="s">
        <v>434</v>
      </c>
      <c r="D324" s="5" t="s">
        <v>439</v>
      </c>
      <c r="E324" s="5" t="s">
        <v>18</v>
      </c>
      <c r="F324" s="5" t="s">
        <v>32</v>
      </c>
      <c r="G324" s="5" t="s">
        <v>32</v>
      </c>
      <c r="H324" s="5" t="s">
        <v>32</v>
      </c>
      <c r="I324" s="8"/>
      <c r="J324" s="8"/>
      <c r="K324" s="8" t="str">
        <f>IF(OR(J324="",E324=""),"",J324+IFERROR(VLOOKUP(E324,リードタイム!$A$2:$C$9,3,FALSE),0))</f>
        <v/>
      </c>
      <c r="L324" s="5" t="s">
        <v>531</v>
      </c>
      <c r="M324" s="8"/>
      <c r="N324" s="8" t="str">
        <f>IF(OR(M324="",E324=""),"",M324+IFERROR(VLOOKUP(E324,リードタイム!$A$2:$D$9,4,FALSE),0))</f>
        <v/>
      </c>
      <c r="O324" s="5" t="s">
        <v>531</v>
      </c>
      <c r="P324" s="5" t="s">
        <v>533</v>
      </c>
      <c r="Q324" s="5" t="s">
        <v>32</v>
      </c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  <c r="FS324" s="30"/>
      <c r="FT324" s="30"/>
      <c r="FU324" s="30"/>
      <c r="FV324" s="30"/>
      <c r="FW324" s="30"/>
      <c r="FX324" s="30"/>
      <c r="FY324" s="30"/>
      <c r="FZ324" s="30"/>
      <c r="GA324" s="30"/>
      <c r="GB324" s="30"/>
      <c r="GC324" s="30"/>
      <c r="GD324" s="30"/>
      <c r="GE324" s="30"/>
      <c r="GF324" s="30"/>
      <c r="GG324" s="30"/>
      <c r="GH324" s="30"/>
      <c r="GI324" s="30"/>
      <c r="GJ324" s="30"/>
      <c r="GK324" s="30"/>
      <c r="GL324" s="30"/>
      <c r="GM324" s="30"/>
      <c r="GN324" s="30"/>
      <c r="GO324" s="30"/>
      <c r="GP324" s="30"/>
      <c r="GQ324" s="30"/>
      <c r="GR324" s="30"/>
      <c r="GS324" s="30"/>
      <c r="GT324" s="30"/>
      <c r="GU324" s="30"/>
      <c r="GV324" s="30"/>
      <c r="GW324" s="30"/>
      <c r="GX324" s="30"/>
      <c r="GY324" s="30"/>
      <c r="GZ324" s="30"/>
      <c r="HA324" s="30"/>
      <c r="HB324" s="30"/>
      <c r="HC324" s="30"/>
      <c r="HD324" s="30"/>
      <c r="HE324" s="30"/>
      <c r="HF324" s="30"/>
      <c r="HG324" s="30"/>
      <c r="HH324" s="30"/>
      <c r="HI324" s="30"/>
      <c r="HJ324" s="30"/>
      <c r="HK324" s="30"/>
      <c r="HL324" s="30"/>
      <c r="HM324" s="30"/>
      <c r="HN324" s="30"/>
      <c r="HO324" s="30"/>
      <c r="HP324" s="30"/>
      <c r="HQ324" s="30"/>
      <c r="HR324" s="30"/>
      <c r="HS324" s="30"/>
      <c r="HT324" s="30"/>
      <c r="HU324" s="30"/>
      <c r="HV324" s="30"/>
      <c r="HW324" s="30"/>
      <c r="HX324" s="30"/>
      <c r="HY324" s="30"/>
      <c r="HZ324" s="30"/>
      <c r="IA324" s="30"/>
      <c r="IB324" s="30"/>
      <c r="IC324" s="30"/>
      <c r="ID324" s="30"/>
      <c r="IE324" s="30"/>
      <c r="IF324" s="30"/>
      <c r="IG324" s="30"/>
      <c r="IH324" s="30"/>
      <c r="II324" s="30"/>
      <c r="IJ324" s="30"/>
      <c r="IK324" s="30"/>
      <c r="IL324" s="30"/>
      <c r="IM324" s="30"/>
      <c r="IN324" s="30"/>
      <c r="IO324" s="30"/>
      <c r="IP324" s="30"/>
      <c r="IQ324" s="30"/>
      <c r="IR324" s="30"/>
      <c r="IS324" s="30"/>
      <c r="IT324" s="30"/>
      <c r="IU324" s="30"/>
      <c r="IV324" s="30"/>
      <c r="IW324" s="30"/>
      <c r="IX324" s="30"/>
      <c r="IY324" s="30"/>
      <c r="IZ324" s="30"/>
      <c r="JA324" s="30"/>
      <c r="JB324" s="30"/>
      <c r="JC324" s="30"/>
      <c r="JD324" s="30"/>
      <c r="JE324" s="30"/>
      <c r="JF324" s="30"/>
      <c r="JG324" s="30"/>
      <c r="JH324" s="30"/>
      <c r="JI324" s="30"/>
      <c r="JJ324" s="30"/>
      <c r="JK324" s="30"/>
      <c r="JL324" s="30"/>
      <c r="JM324" s="30"/>
      <c r="JN324" s="30"/>
      <c r="JO324" s="30"/>
      <c r="JP324" s="30"/>
      <c r="JQ324" s="30"/>
      <c r="JR324" s="30"/>
      <c r="JS324" s="30"/>
      <c r="JT324" s="30"/>
      <c r="JU324" s="30"/>
      <c r="JV324" s="30"/>
      <c r="JW324" s="30"/>
      <c r="JX324" s="30"/>
      <c r="JY324" s="30"/>
      <c r="JZ324" s="30"/>
      <c r="KA324" s="30"/>
      <c r="KB324" s="30"/>
      <c r="KC324" s="30"/>
      <c r="KD324" s="30"/>
      <c r="KE324" s="30"/>
      <c r="KF324" s="30"/>
      <c r="KG324" s="30"/>
      <c r="KH324" s="30"/>
      <c r="KI324" s="30"/>
      <c r="KJ324" s="30"/>
      <c r="KK324" s="30"/>
      <c r="KL324" s="30"/>
      <c r="KM324" s="30"/>
      <c r="KN324" s="30"/>
      <c r="KO324" s="30"/>
      <c r="KP324" s="30"/>
      <c r="KQ324" s="30"/>
      <c r="KR324" s="30"/>
      <c r="KS324" s="30"/>
      <c r="KT324" s="30"/>
      <c r="KU324" s="30"/>
      <c r="KV324" s="30"/>
      <c r="KW324" s="30"/>
      <c r="KX324" s="30"/>
      <c r="KY324" s="30"/>
      <c r="KZ324" s="30"/>
      <c r="LA324" s="30"/>
      <c r="LB324" s="30"/>
      <c r="LC324" s="30"/>
      <c r="LD324" s="30"/>
      <c r="LE324" s="30"/>
      <c r="LF324" s="30"/>
      <c r="LG324" s="30"/>
      <c r="LH324" s="30"/>
      <c r="LI324" s="30"/>
      <c r="LJ324" s="30"/>
      <c r="LK324" s="30"/>
      <c r="LL324" s="30"/>
      <c r="LM324" s="30"/>
      <c r="LN324" s="30"/>
      <c r="LO324" s="30"/>
      <c r="LP324" s="30"/>
      <c r="LQ324" s="30"/>
      <c r="LR324" s="30"/>
      <c r="LS324" s="30"/>
      <c r="LT324" s="30"/>
      <c r="LU324" s="30"/>
      <c r="LV324" s="30"/>
      <c r="LW324" s="30"/>
      <c r="LX324" s="30"/>
      <c r="LY324" s="30"/>
      <c r="LZ324" s="30"/>
      <c r="MA324" s="30"/>
      <c r="MB324" s="30"/>
      <c r="MC324" s="30"/>
      <c r="MD324" s="30"/>
      <c r="ME324" s="30"/>
      <c r="MF324" s="30"/>
      <c r="MG324" s="30"/>
      <c r="MH324" s="30"/>
      <c r="MI324" s="30"/>
      <c r="MJ324" s="30"/>
      <c r="MK324" s="30"/>
      <c r="ML324" s="30"/>
      <c r="MM324" s="30"/>
      <c r="MN324" s="30"/>
      <c r="MO324" s="30"/>
      <c r="MP324" s="30"/>
      <c r="MQ324" s="30"/>
      <c r="MR324" s="30"/>
      <c r="MS324" s="30"/>
      <c r="MT324" s="30"/>
      <c r="MU324" s="30"/>
      <c r="MV324" s="30"/>
      <c r="MW324" s="30"/>
      <c r="MX324" s="30"/>
      <c r="MY324" s="30"/>
      <c r="MZ324" s="30"/>
      <c r="NA324" s="30"/>
      <c r="NB324" s="30"/>
      <c r="NC324" s="30"/>
      <c r="ND324" s="30"/>
      <c r="NE324" s="30"/>
      <c r="NF324" s="30"/>
      <c r="NG324" s="30"/>
      <c r="NH324" s="30"/>
      <c r="NI324" s="30"/>
      <c r="NJ324" s="30"/>
      <c r="NK324" s="30"/>
      <c r="NL324" s="30"/>
      <c r="NM324" s="30"/>
      <c r="NN324" s="30"/>
      <c r="NO324" s="30"/>
      <c r="NP324" s="30"/>
      <c r="NQ324" s="30"/>
      <c r="NR324" s="30"/>
    </row>
    <row r="325" spans="1:382" s="3" customFormat="1" ht="20.100000000000001" customHeight="1" x14ac:dyDescent="0.4">
      <c r="A325" s="29">
        <v>6</v>
      </c>
      <c r="B325" s="5">
        <v>1300</v>
      </c>
      <c r="C325" s="5" t="s">
        <v>434</v>
      </c>
      <c r="D325" s="5" t="s">
        <v>435</v>
      </c>
      <c r="E325" s="5" t="s">
        <v>18</v>
      </c>
      <c r="F325" s="5" t="s">
        <v>32</v>
      </c>
      <c r="G325" s="5" t="s">
        <v>32</v>
      </c>
      <c r="H325" s="5" t="s">
        <v>32</v>
      </c>
      <c r="I325" s="8"/>
      <c r="J325" s="8"/>
      <c r="K325" s="8" t="str">
        <f>IF(OR(J325="",E325=""),"",J325+IFERROR(VLOOKUP(E325,リードタイム!$A$2:$C$9,3,FALSE),0))</f>
        <v/>
      </c>
      <c r="L325" s="5" t="s">
        <v>530</v>
      </c>
      <c r="M325" s="8"/>
      <c r="N325" s="8" t="str">
        <f>IF(OR(M325="",E325=""),"",M325+IFERROR(VLOOKUP(E325,リードタイム!$A$2:$D$9,4,FALSE),0))</f>
        <v/>
      </c>
      <c r="O325" s="5" t="s">
        <v>530</v>
      </c>
      <c r="P325" s="5" t="s">
        <v>530</v>
      </c>
      <c r="Q325" s="5" t="s">
        <v>32</v>
      </c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  <c r="FS325" s="30"/>
      <c r="FT325" s="30"/>
      <c r="FU325" s="30"/>
      <c r="FV325" s="30"/>
      <c r="FW325" s="30"/>
      <c r="FX325" s="30"/>
      <c r="FY325" s="30"/>
      <c r="FZ325" s="30"/>
      <c r="GA325" s="30"/>
      <c r="GB325" s="30"/>
      <c r="GC325" s="30"/>
      <c r="GD325" s="30"/>
      <c r="GE325" s="30"/>
      <c r="GF325" s="30"/>
      <c r="GG325" s="30"/>
      <c r="GH325" s="30"/>
      <c r="GI325" s="30"/>
      <c r="GJ325" s="30"/>
      <c r="GK325" s="30"/>
      <c r="GL325" s="30"/>
      <c r="GM325" s="30"/>
      <c r="GN325" s="30"/>
      <c r="GO325" s="30"/>
      <c r="GP325" s="30"/>
      <c r="GQ325" s="30"/>
      <c r="GR325" s="30"/>
      <c r="GS325" s="30"/>
      <c r="GT325" s="30"/>
      <c r="GU325" s="30"/>
      <c r="GV325" s="30"/>
      <c r="GW325" s="30"/>
      <c r="GX325" s="30"/>
      <c r="GY325" s="30"/>
      <c r="GZ325" s="30"/>
      <c r="HA325" s="30"/>
      <c r="HB325" s="30"/>
      <c r="HC325" s="30"/>
      <c r="HD325" s="30"/>
      <c r="HE325" s="30"/>
      <c r="HF325" s="30"/>
      <c r="HG325" s="30"/>
      <c r="HH325" s="30"/>
      <c r="HI325" s="30"/>
      <c r="HJ325" s="30"/>
      <c r="HK325" s="30"/>
      <c r="HL325" s="30"/>
      <c r="HM325" s="30"/>
      <c r="HN325" s="30"/>
      <c r="HO325" s="30"/>
      <c r="HP325" s="30"/>
      <c r="HQ325" s="30"/>
      <c r="HR325" s="30"/>
      <c r="HS325" s="30"/>
      <c r="HT325" s="30"/>
      <c r="HU325" s="30"/>
      <c r="HV325" s="30"/>
      <c r="HW325" s="30"/>
      <c r="HX325" s="30"/>
      <c r="HY325" s="30"/>
      <c r="HZ325" s="30"/>
      <c r="IA325" s="30"/>
      <c r="IB325" s="30"/>
      <c r="IC325" s="30"/>
      <c r="ID325" s="30"/>
      <c r="IE325" s="30"/>
      <c r="IF325" s="30"/>
      <c r="IG325" s="30"/>
      <c r="IH325" s="30"/>
      <c r="II325" s="30"/>
      <c r="IJ325" s="30"/>
      <c r="IK325" s="30"/>
      <c r="IL325" s="30"/>
      <c r="IM325" s="30"/>
      <c r="IN325" s="30"/>
      <c r="IO325" s="30"/>
      <c r="IP325" s="30"/>
      <c r="IQ325" s="30"/>
      <c r="IR325" s="30"/>
      <c r="IS325" s="30"/>
      <c r="IT325" s="30"/>
      <c r="IU325" s="30"/>
      <c r="IV325" s="30"/>
      <c r="IW325" s="30"/>
      <c r="IX325" s="30"/>
      <c r="IY325" s="30"/>
      <c r="IZ325" s="30"/>
      <c r="JA325" s="30"/>
      <c r="JB325" s="30"/>
      <c r="JC325" s="30"/>
      <c r="JD325" s="30"/>
      <c r="JE325" s="30"/>
      <c r="JF325" s="30"/>
      <c r="JG325" s="30"/>
      <c r="JH325" s="30"/>
      <c r="JI325" s="30"/>
      <c r="JJ325" s="30"/>
      <c r="JK325" s="30"/>
      <c r="JL325" s="30"/>
      <c r="JM325" s="30"/>
      <c r="JN325" s="30"/>
      <c r="JO325" s="30"/>
      <c r="JP325" s="30"/>
      <c r="JQ325" s="30"/>
      <c r="JR325" s="30"/>
      <c r="JS325" s="30"/>
      <c r="JT325" s="30"/>
      <c r="JU325" s="30"/>
      <c r="JV325" s="30"/>
      <c r="JW325" s="30"/>
      <c r="JX325" s="30"/>
      <c r="JY325" s="30"/>
      <c r="JZ325" s="30"/>
      <c r="KA325" s="30"/>
      <c r="KB325" s="30"/>
      <c r="KC325" s="30"/>
      <c r="KD325" s="30"/>
      <c r="KE325" s="30"/>
      <c r="KF325" s="30"/>
      <c r="KG325" s="30"/>
      <c r="KH325" s="30"/>
      <c r="KI325" s="30"/>
      <c r="KJ325" s="30"/>
      <c r="KK325" s="30"/>
      <c r="KL325" s="30"/>
      <c r="KM325" s="30"/>
      <c r="KN325" s="30"/>
      <c r="KO325" s="30"/>
      <c r="KP325" s="30"/>
      <c r="KQ325" s="30"/>
      <c r="KR325" s="30"/>
      <c r="KS325" s="30"/>
      <c r="KT325" s="30"/>
      <c r="KU325" s="30"/>
      <c r="KV325" s="30"/>
      <c r="KW325" s="30"/>
      <c r="KX325" s="30"/>
      <c r="KY325" s="30"/>
      <c r="KZ325" s="30"/>
      <c r="LA325" s="30"/>
      <c r="LB325" s="30"/>
      <c r="LC325" s="30"/>
      <c r="LD325" s="30"/>
      <c r="LE325" s="30"/>
      <c r="LF325" s="30"/>
      <c r="LG325" s="30"/>
      <c r="LH325" s="30"/>
      <c r="LI325" s="30"/>
      <c r="LJ325" s="30"/>
      <c r="LK325" s="30"/>
      <c r="LL325" s="30"/>
      <c r="LM325" s="30"/>
      <c r="LN325" s="30"/>
      <c r="LO325" s="30"/>
      <c r="LP325" s="30"/>
      <c r="LQ325" s="30"/>
      <c r="LR325" s="30"/>
      <c r="LS325" s="30"/>
      <c r="LT325" s="30"/>
      <c r="LU325" s="30"/>
      <c r="LV325" s="30"/>
      <c r="LW325" s="30"/>
      <c r="LX325" s="30"/>
      <c r="LY325" s="30"/>
      <c r="LZ325" s="30"/>
      <c r="MA325" s="30"/>
      <c r="MB325" s="30"/>
      <c r="MC325" s="30"/>
      <c r="MD325" s="30"/>
      <c r="ME325" s="30"/>
      <c r="MF325" s="30"/>
      <c r="MG325" s="30"/>
      <c r="MH325" s="30"/>
      <c r="MI325" s="30"/>
      <c r="MJ325" s="30"/>
      <c r="MK325" s="30"/>
      <c r="ML325" s="30"/>
      <c r="MM325" s="30"/>
      <c r="MN325" s="30"/>
      <c r="MO325" s="30"/>
      <c r="MP325" s="30"/>
      <c r="MQ325" s="30"/>
      <c r="MR325" s="30"/>
      <c r="MS325" s="30"/>
      <c r="MT325" s="30"/>
      <c r="MU325" s="30"/>
      <c r="MV325" s="30"/>
      <c r="MW325" s="30"/>
      <c r="MX325" s="30"/>
      <c r="MY325" s="30"/>
      <c r="MZ325" s="30"/>
      <c r="NA325" s="30"/>
      <c r="NB325" s="30"/>
      <c r="NC325" s="30"/>
      <c r="ND325" s="30"/>
      <c r="NE325" s="30"/>
      <c r="NF325" s="30"/>
      <c r="NG325" s="30"/>
      <c r="NH325" s="30"/>
      <c r="NI325" s="30"/>
      <c r="NJ325" s="30"/>
      <c r="NK325" s="30"/>
      <c r="NL325" s="30"/>
      <c r="NM325" s="30"/>
      <c r="NN325" s="30"/>
      <c r="NO325" s="30"/>
      <c r="NP325" s="30"/>
      <c r="NQ325" s="30"/>
      <c r="NR325" s="30"/>
    </row>
    <row r="326" spans="1:382" s="3" customFormat="1" ht="20.100000000000001" customHeight="1" x14ac:dyDescent="0.4">
      <c r="A326" s="29">
        <v>7</v>
      </c>
      <c r="B326" s="5">
        <v>1548</v>
      </c>
      <c r="C326" s="5" t="s">
        <v>434</v>
      </c>
      <c r="D326" s="5" t="s">
        <v>437</v>
      </c>
      <c r="E326" s="5" t="s">
        <v>18</v>
      </c>
      <c r="F326" s="5" t="s">
        <v>32</v>
      </c>
      <c r="G326" s="5" t="s">
        <v>32</v>
      </c>
      <c r="H326" s="5" t="s">
        <v>32</v>
      </c>
      <c r="I326" s="8"/>
      <c r="J326" s="8"/>
      <c r="K326" s="8" t="str">
        <f>IF(OR(J326="",E326=""),"",J326+IFERROR(VLOOKUP(E326,リードタイム!$A$2:$C$9,3,FALSE),0))</f>
        <v/>
      </c>
      <c r="L326" s="5" t="s">
        <v>530</v>
      </c>
      <c r="M326" s="8"/>
      <c r="N326" s="8" t="str">
        <f>IF(OR(M326="",E326=""),"",M326+IFERROR(VLOOKUP(E326,リードタイム!$A$2:$D$9,4,FALSE),0))</f>
        <v/>
      </c>
      <c r="O326" s="5" t="s">
        <v>530</v>
      </c>
      <c r="P326" s="5" t="s">
        <v>530</v>
      </c>
      <c r="Q326" s="5" t="s">
        <v>440</v>
      </c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  <c r="FS326" s="30"/>
      <c r="FT326" s="30"/>
      <c r="FU326" s="30"/>
      <c r="FV326" s="30"/>
      <c r="FW326" s="30"/>
      <c r="FX326" s="30"/>
      <c r="FY326" s="30"/>
      <c r="FZ326" s="30"/>
      <c r="GA326" s="30"/>
      <c r="GB326" s="30"/>
      <c r="GC326" s="30"/>
      <c r="GD326" s="30"/>
      <c r="GE326" s="30"/>
      <c r="GF326" s="30"/>
      <c r="GG326" s="30"/>
      <c r="GH326" s="30"/>
      <c r="GI326" s="30"/>
      <c r="GJ326" s="30"/>
      <c r="GK326" s="30"/>
      <c r="GL326" s="30"/>
      <c r="GM326" s="30"/>
      <c r="GN326" s="30"/>
      <c r="GO326" s="30"/>
      <c r="GP326" s="30"/>
      <c r="GQ326" s="30"/>
      <c r="GR326" s="30"/>
      <c r="GS326" s="30"/>
      <c r="GT326" s="30"/>
      <c r="GU326" s="30"/>
      <c r="GV326" s="30"/>
      <c r="GW326" s="30"/>
      <c r="GX326" s="30"/>
      <c r="GY326" s="30"/>
      <c r="GZ326" s="30"/>
      <c r="HA326" s="30"/>
      <c r="HB326" s="30"/>
      <c r="HC326" s="30"/>
      <c r="HD326" s="30"/>
      <c r="HE326" s="30"/>
      <c r="HF326" s="30"/>
      <c r="HG326" s="30"/>
      <c r="HH326" s="30"/>
      <c r="HI326" s="30"/>
      <c r="HJ326" s="30"/>
      <c r="HK326" s="30"/>
      <c r="HL326" s="30"/>
      <c r="HM326" s="30"/>
      <c r="HN326" s="30"/>
      <c r="HO326" s="30"/>
      <c r="HP326" s="30"/>
      <c r="HQ326" s="30"/>
      <c r="HR326" s="30"/>
      <c r="HS326" s="30"/>
      <c r="HT326" s="30"/>
      <c r="HU326" s="30"/>
      <c r="HV326" s="30"/>
      <c r="HW326" s="30"/>
      <c r="HX326" s="30"/>
      <c r="HY326" s="30"/>
      <c r="HZ326" s="30"/>
      <c r="IA326" s="30"/>
      <c r="IB326" s="30"/>
      <c r="IC326" s="30"/>
      <c r="ID326" s="30"/>
      <c r="IE326" s="30"/>
      <c r="IF326" s="30"/>
      <c r="IG326" s="30"/>
      <c r="IH326" s="30"/>
      <c r="II326" s="30"/>
      <c r="IJ326" s="30"/>
      <c r="IK326" s="30"/>
      <c r="IL326" s="30"/>
      <c r="IM326" s="30"/>
      <c r="IN326" s="30"/>
      <c r="IO326" s="30"/>
      <c r="IP326" s="30"/>
      <c r="IQ326" s="30"/>
      <c r="IR326" s="30"/>
      <c r="IS326" s="30"/>
      <c r="IT326" s="30"/>
      <c r="IU326" s="30"/>
      <c r="IV326" s="30"/>
      <c r="IW326" s="30"/>
      <c r="IX326" s="30"/>
      <c r="IY326" s="30"/>
      <c r="IZ326" s="30"/>
      <c r="JA326" s="30"/>
      <c r="JB326" s="30"/>
      <c r="JC326" s="30"/>
      <c r="JD326" s="30"/>
      <c r="JE326" s="30"/>
      <c r="JF326" s="30"/>
      <c r="JG326" s="30"/>
      <c r="JH326" s="30"/>
      <c r="JI326" s="30"/>
      <c r="JJ326" s="30"/>
      <c r="JK326" s="30"/>
      <c r="JL326" s="30"/>
      <c r="JM326" s="30"/>
      <c r="JN326" s="30"/>
      <c r="JO326" s="30"/>
      <c r="JP326" s="30"/>
      <c r="JQ326" s="30"/>
      <c r="JR326" s="30"/>
      <c r="JS326" s="30"/>
      <c r="JT326" s="30"/>
      <c r="JU326" s="30"/>
      <c r="JV326" s="30"/>
      <c r="JW326" s="30"/>
      <c r="JX326" s="30"/>
      <c r="JY326" s="30"/>
      <c r="JZ326" s="30"/>
      <c r="KA326" s="30"/>
      <c r="KB326" s="30"/>
      <c r="KC326" s="30"/>
      <c r="KD326" s="30"/>
      <c r="KE326" s="30"/>
      <c r="KF326" s="30"/>
      <c r="KG326" s="30"/>
      <c r="KH326" s="30"/>
      <c r="KI326" s="30"/>
      <c r="KJ326" s="30"/>
      <c r="KK326" s="30"/>
      <c r="KL326" s="30"/>
      <c r="KM326" s="30"/>
      <c r="KN326" s="30"/>
      <c r="KO326" s="30"/>
      <c r="KP326" s="30"/>
      <c r="KQ326" s="30"/>
      <c r="KR326" s="30"/>
      <c r="KS326" s="30"/>
      <c r="KT326" s="30"/>
      <c r="KU326" s="30"/>
      <c r="KV326" s="30"/>
      <c r="KW326" s="30"/>
      <c r="KX326" s="30"/>
      <c r="KY326" s="30"/>
      <c r="KZ326" s="30"/>
      <c r="LA326" s="30"/>
      <c r="LB326" s="30"/>
      <c r="LC326" s="30"/>
      <c r="LD326" s="30"/>
      <c r="LE326" s="30"/>
      <c r="LF326" s="30"/>
      <c r="LG326" s="30"/>
      <c r="LH326" s="30"/>
      <c r="LI326" s="30"/>
      <c r="LJ326" s="30"/>
      <c r="LK326" s="30"/>
      <c r="LL326" s="30"/>
      <c r="LM326" s="30"/>
      <c r="LN326" s="30"/>
      <c r="LO326" s="30"/>
      <c r="LP326" s="30"/>
      <c r="LQ326" s="30"/>
      <c r="LR326" s="30"/>
      <c r="LS326" s="30"/>
      <c r="LT326" s="30"/>
      <c r="LU326" s="30"/>
      <c r="LV326" s="30"/>
      <c r="LW326" s="30"/>
      <c r="LX326" s="30"/>
      <c r="LY326" s="30"/>
      <c r="LZ326" s="30"/>
      <c r="MA326" s="30"/>
      <c r="MB326" s="30"/>
      <c r="MC326" s="30"/>
      <c r="MD326" s="30"/>
      <c r="ME326" s="30"/>
      <c r="MF326" s="30"/>
      <c r="MG326" s="30"/>
      <c r="MH326" s="30"/>
      <c r="MI326" s="30"/>
      <c r="MJ326" s="30"/>
      <c r="MK326" s="30"/>
      <c r="ML326" s="30"/>
      <c r="MM326" s="30"/>
      <c r="MN326" s="30"/>
      <c r="MO326" s="30"/>
      <c r="MP326" s="30"/>
      <c r="MQ326" s="30"/>
      <c r="MR326" s="30"/>
      <c r="MS326" s="30"/>
      <c r="MT326" s="30"/>
      <c r="MU326" s="30"/>
      <c r="MV326" s="30"/>
      <c r="MW326" s="30"/>
      <c r="MX326" s="30"/>
      <c r="MY326" s="30"/>
      <c r="MZ326" s="30"/>
      <c r="NA326" s="30"/>
      <c r="NB326" s="30"/>
      <c r="NC326" s="30"/>
      <c r="ND326" s="30"/>
      <c r="NE326" s="30"/>
      <c r="NF326" s="30"/>
      <c r="NG326" s="30"/>
      <c r="NH326" s="30"/>
      <c r="NI326" s="30"/>
      <c r="NJ326" s="30"/>
      <c r="NK326" s="30"/>
      <c r="NL326" s="30"/>
      <c r="NM326" s="30"/>
      <c r="NN326" s="30"/>
      <c r="NO326" s="30"/>
      <c r="NP326" s="30"/>
      <c r="NQ326" s="30"/>
      <c r="NR326" s="30"/>
    </row>
    <row r="327" spans="1:382" s="3" customFormat="1" ht="20.100000000000001" customHeight="1" x14ac:dyDescent="0.4">
      <c r="A327" s="29">
        <v>8</v>
      </c>
      <c r="B327" s="5">
        <v>1573</v>
      </c>
      <c r="C327" s="5" t="s">
        <v>434</v>
      </c>
      <c r="D327" s="5" t="s">
        <v>441</v>
      </c>
      <c r="E327" s="5" t="s">
        <v>18</v>
      </c>
      <c r="F327" s="5" t="s">
        <v>32</v>
      </c>
      <c r="G327" s="5" t="s">
        <v>32</v>
      </c>
      <c r="H327" s="5" t="s">
        <v>32</v>
      </c>
      <c r="I327" s="8"/>
      <c r="J327" s="8"/>
      <c r="K327" s="8" t="str">
        <f>IF(OR(J327="",E327=""),"",J327+IFERROR(VLOOKUP(E327,リードタイム!$A$2:$C$9,3,FALSE),0))</f>
        <v/>
      </c>
      <c r="L327" s="5" t="s">
        <v>531</v>
      </c>
      <c r="M327" s="8"/>
      <c r="N327" s="8" t="str">
        <f>IF(OR(M327="",E327=""),"",M327+IFERROR(VLOOKUP(E327,リードタイム!$A$2:$D$9,4,FALSE),0))</f>
        <v/>
      </c>
      <c r="O327" s="5" t="s">
        <v>531</v>
      </c>
      <c r="P327" s="5" t="s">
        <v>533</v>
      </c>
      <c r="Q327" s="5" t="s">
        <v>442</v>
      </c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  <c r="FS327" s="30"/>
      <c r="FT327" s="30"/>
      <c r="FU327" s="30"/>
      <c r="FV327" s="30"/>
      <c r="FW327" s="30"/>
      <c r="FX327" s="30"/>
      <c r="FY327" s="30"/>
      <c r="FZ327" s="30"/>
      <c r="GA327" s="30"/>
      <c r="GB327" s="30"/>
      <c r="GC327" s="30"/>
      <c r="GD327" s="30"/>
      <c r="GE327" s="30"/>
      <c r="GF327" s="30"/>
      <c r="GG327" s="30"/>
      <c r="GH327" s="30"/>
      <c r="GI327" s="30"/>
      <c r="GJ327" s="30"/>
      <c r="GK327" s="30"/>
      <c r="GL327" s="30"/>
      <c r="GM327" s="30"/>
      <c r="GN327" s="30"/>
      <c r="GO327" s="30"/>
      <c r="GP327" s="30"/>
      <c r="GQ327" s="30"/>
      <c r="GR327" s="30"/>
      <c r="GS327" s="30"/>
      <c r="GT327" s="30"/>
      <c r="GU327" s="30"/>
      <c r="GV327" s="30"/>
      <c r="GW327" s="30"/>
      <c r="GX327" s="30"/>
      <c r="GY327" s="30"/>
      <c r="GZ327" s="30"/>
      <c r="HA327" s="30"/>
      <c r="HB327" s="30"/>
      <c r="HC327" s="30"/>
      <c r="HD327" s="30"/>
      <c r="HE327" s="30"/>
      <c r="HF327" s="30"/>
      <c r="HG327" s="30"/>
      <c r="HH327" s="30"/>
      <c r="HI327" s="30"/>
      <c r="HJ327" s="30"/>
      <c r="HK327" s="30"/>
      <c r="HL327" s="30"/>
      <c r="HM327" s="30"/>
      <c r="HN327" s="30"/>
      <c r="HO327" s="30"/>
      <c r="HP327" s="30"/>
      <c r="HQ327" s="30"/>
      <c r="HR327" s="30"/>
      <c r="HS327" s="30"/>
      <c r="HT327" s="30"/>
      <c r="HU327" s="30"/>
      <c r="HV327" s="30"/>
      <c r="HW327" s="30"/>
      <c r="HX327" s="30"/>
      <c r="HY327" s="30"/>
      <c r="HZ327" s="30"/>
      <c r="IA327" s="30"/>
      <c r="IB327" s="30"/>
      <c r="IC327" s="30"/>
      <c r="ID327" s="30"/>
      <c r="IE327" s="30"/>
      <c r="IF327" s="30"/>
      <c r="IG327" s="30"/>
      <c r="IH327" s="30"/>
      <c r="II327" s="30"/>
      <c r="IJ327" s="30"/>
      <c r="IK327" s="30"/>
      <c r="IL327" s="30"/>
      <c r="IM327" s="30"/>
      <c r="IN327" s="30"/>
      <c r="IO327" s="30"/>
      <c r="IP327" s="30"/>
      <c r="IQ327" s="30"/>
      <c r="IR327" s="30"/>
      <c r="IS327" s="30"/>
      <c r="IT327" s="30"/>
      <c r="IU327" s="30"/>
      <c r="IV327" s="30"/>
      <c r="IW327" s="30"/>
      <c r="IX327" s="30"/>
      <c r="IY327" s="30"/>
      <c r="IZ327" s="30"/>
      <c r="JA327" s="30"/>
      <c r="JB327" s="30"/>
      <c r="JC327" s="30"/>
      <c r="JD327" s="30"/>
      <c r="JE327" s="30"/>
      <c r="JF327" s="30"/>
      <c r="JG327" s="30"/>
      <c r="JH327" s="30"/>
      <c r="JI327" s="30"/>
      <c r="JJ327" s="30"/>
      <c r="JK327" s="30"/>
      <c r="JL327" s="30"/>
      <c r="JM327" s="30"/>
      <c r="JN327" s="30"/>
      <c r="JO327" s="30"/>
      <c r="JP327" s="30"/>
      <c r="JQ327" s="30"/>
      <c r="JR327" s="30"/>
      <c r="JS327" s="30"/>
      <c r="JT327" s="30"/>
      <c r="JU327" s="30"/>
      <c r="JV327" s="30"/>
      <c r="JW327" s="30"/>
      <c r="JX327" s="30"/>
      <c r="JY327" s="30"/>
      <c r="JZ327" s="30"/>
      <c r="KA327" s="30"/>
      <c r="KB327" s="30"/>
      <c r="KC327" s="30"/>
      <c r="KD327" s="30"/>
      <c r="KE327" s="30"/>
      <c r="KF327" s="30"/>
      <c r="KG327" s="30"/>
      <c r="KH327" s="30"/>
      <c r="KI327" s="30"/>
      <c r="KJ327" s="30"/>
      <c r="KK327" s="30"/>
      <c r="KL327" s="30"/>
      <c r="KM327" s="30"/>
      <c r="KN327" s="30"/>
      <c r="KO327" s="30"/>
      <c r="KP327" s="30"/>
      <c r="KQ327" s="30"/>
      <c r="KR327" s="30"/>
      <c r="KS327" s="30"/>
      <c r="KT327" s="30"/>
      <c r="KU327" s="30"/>
      <c r="KV327" s="30"/>
      <c r="KW327" s="30"/>
      <c r="KX327" s="30"/>
      <c r="KY327" s="30"/>
      <c r="KZ327" s="30"/>
      <c r="LA327" s="30"/>
      <c r="LB327" s="30"/>
      <c r="LC327" s="30"/>
      <c r="LD327" s="30"/>
      <c r="LE327" s="30"/>
      <c r="LF327" s="30"/>
      <c r="LG327" s="30"/>
      <c r="LH327" s="30"/>
      <c r="LI327" s="30"/>
      <c r="LJ327" s="30"/>
      <c r="LK327" s="30"/>
      <c r="LL327" s="30"/>
      <c r="LM327" s="30"/>
      <c r="LN327" s="30"/>
      <c r="LO327" s="30"/>
      <c r="LP327" s="30"/>
      <c r="LQ327" s="30"/>
      <c r="LR327" s="30"/>
      <c r="LS327" s="30"/>
      <c r="LT327" s="30"/>
      <c r="LU327" s="30"/>
      <c r="LV327" s="30"/>
      <c r="LW327" s="30"/>
      <c r="LX327" s="30"/>
      <c r="LY327" s="30"/>
      <c r="LZ327" s="30"/>
      <c r="MA327" s="30"/>
      <c r="MB327" s="30"/>
      <c r="MC327" s="30"/>
      <c r="MD327" s="30"/>
      <c r="ME327" s="30"/>
      <c r="MF327" s="30"/>
      <c r="MG327" s="30"/>
      <c r="MH327" s="30"/>
      <c r="MI327" s="30"/>
      <c r="MJ327" s="30"/>
      <c r="MK327" s="30"/>
      <c r="ML327" s="30"/>
      <c r="MM327" s="30"/>
      <c r="MN327" s="30"/>
      <c r="MO327" s="30"/>
      <c r="MP327" s="30"/>
      <c r="MQ327" s="30"/>
      <c r="MR327" s="30"/>
      <c r="MS327" s="30"/>
      <c r="MT327" s="30"/>
      <c r="MU327" s="30"/>
      <c r="MV327" s="30"/>
      <c r="MW327" s="30"/>
      <c r="MX327" s="30"/>
      <c r="MY327" s="30"/>
      <c r="MZ327" s="30"/>
      <c r="NA327" s="30"/>
      <c r="NB327" s="30"/>
      <c r="NC327" s="30"/>
      <c r="ND327" s="30"/>
      <c r="NE327" s="30"/>
      <c r="NF327" s="30"/>
      <c r="NG327" s="30"/>
      <c r="NH327" s="30"/>
      <c r="NI327" s="30"/>
      <c r="NJ327" s="30"/>
      <c r="NK327" s="30"/>
      <c r="NL327" s="30"/>
      <c r="NM327" s="30"/>
      <c r="NN327" s="30"/>
      <c r="NO327" s="30"/>
      <c r="NP327" s="30"/>
      <c r="NQ327" s="30"/>
      <c r="NR327" s="30"/>
    </row>
    <row r="328" spans="1:382" s="3" customFormat="1" ht="20.100000000000001" customHeight="1" x14ac:dyDescent="0.4">
      <c r="A328" s="29">
        <v>9</v>
      </c>
      <c r="B328" s="5">
        <v>1928</v>
      </c>
      <c r="C328" s="5" t="s">
        <v>434</v>
      </c>
      <c r="D328" s="5" t="s">
        <v>443</v>
      </c>
      <c r="E328" s="5" t="s">
        <v>18</v>
      </c>
      <c r="F328" s="5" t="s">
        <v>32</v>
      </c>
      <c r="G328" s="5" t="s">
        <v>32</v>
      </c>
      <c r="H328" s="5" t="s">
        <v>32</v>
      </c>
      <c r="I328" s="8"/>
      <c r="J328" s="8"/>
      <c r="K328" s="8" t="str">
        <f>IF(OR(J328="",E328=""),"",J328+IFERROR(VLOOKUP(E328,リードタイム!$A$2:$C$9,3,FALSE),0))</f>
        <v/>
      </c>
      <c r="L328" s="5" t="s">
        <v>530</v>
      </c>
      <c r="M328" s="8"/>
      <c r="N328" s="8" t="str">
        <f>IF(OR(M328="",E328=""),"",M328+IFERROR(VLOOKUP(E328,リードタイム!$A$2:$D$9,4,FALSE),0))</f>
        <v/>
      </c>
      <c r="O328" s="5" t="s">
        <v>530</v>
      </c>
      <c r="P328" s="5" t="s">
        <v>530</v>
      </c>
      <c r="Q328" s="5" t="s">
        <v>32</v>
      </c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  <c r="FS328" s="30"/>
      <c r="FT328" s="30"/>
      <c r="FU328" s="30"/>
      <c r="FV328" s="30"/>
      <c r="FW328" s="30"/>
      <c r="FX328" s="30"/>
      <c r="FY328" s="30"/>
      <c r="FZ328" s="30"/>
      <c r="GA328" s="30"/>
      <c r="GB328" s="30"/>
      <c r="GC328" s="30"/>
      <c r="GD328" s="30"/>
      <c r="GE328" s="30"/>
      <c r="GF328" s="30"/>
      <c r="GG328" s="30"/>
      <c r="GH328" s="30"/>
      <c r="GI328" s="30"/>
      <c r="GJ328" s="30"/>
      <c r="GK328" s="30"/>
      <c r="GL328" s="30"/>
      <c r="GM328" s="30"/>
      <c r="GN328" s="30"/>
      <c r="GO328" s="30"/>
      <c r="GP328" s="30"/>
      <c r="GQ328" s="30"/>
      <c r="GR328" s="30"/>
      <c r="GS328" s="30"/>
      <c r="GT328" s="30"/>
      <c r="GU328" s="30"/>
      <c r="GV328" s="30"/>
      <c r="GW328" s="30"/>
      <c r="GX328" s="30"/>
      <c r="GY328" s="30"/>
      <c r="GZ328" s="30"/>
      <c r="HA328" s="30"/>
      <c r="HB328" s="30"/>
      <c r="HC328" s="30"/>
      <c r="HD328" s="30"/>
      <c r="HE328" s="30"/>
      <c r="HF328" s="30"/>
      <c r="HG328" s="30"/>
      <c r="HH328" s="30"/>
      <c r="HI328" s="30"/>
      <c r="HJ328" s="30"/>
      <c r="HK328" s="30"/>
      <c r="HL328" s="30"/>
      <c r="HM328" s="30"/>
      <c r="HN328" s="30"/>
      <c r="HO328" s="30"/>
      <c r="HP328" s="30"/>
      <c r="HQ328" s="30"/>
      <c r="HR328" s="30"/>
      <c r="HS328" s="30"/>
      <c r="HT328" s="30"/>
      <c r="HU328" s="30"/>
      <c r="HV328" s="30"/>
      <c r="HW328" s="30"/>
      <c r="HX328" s="30"/>
      <c r="HY328" s="30"/>
      <c r="HZ328" s="30"/>
      <c r="IA328" s="30"/>
      <c r="IB328" s="30"/>
      <c r="IC328" s="30"/>
      <c r="ID328" s="30"/>
      <c r="IE328" s="30"/>
      <c r="IF328" s="30"/>
      <c r="IG328" s="30"/>
      <c r="IH328" s="30"/>
      <c r="II328" s="30"/>
      <c r="IJ328" s="30"/>
      <c r="IK328" s="30"/>
      <c r="IL328" s="30"/>
      <c r="IM328" s="30"/>
      <c r="IN328" s="30"/>
      <c r="IO328" s="30"/>
      <c r="IP328" s="30"/>
      <c r="IQ328" s="30"/>
      <c r="IR328" s="30"/>
      <c r="IS328" s="30"/>
      <c r="IT328" s="30"/>
      <c r="IU328" s="30"/>
      <c r="IV328" s="30"/>
      <c r="IW328" s="30"/>
      <c r="IX328" s="30"/>
      <c r="IY328" s="30"/>
      <c r="IZ328" s="30"/>
      <c r="JA328" s="30"/>
      <c r="JB328" s="30"/>
      <c r="JC328" s="30"/>
      <c r="JD328" s="30"/>
      <c r="JE328" s="30"/>
      <c r="JF328" s="30"/>
      <c r="JG328" s="30"/>
      <c r="JH328" s="30"/>
      <c r="JI328" s="30"/>
      <c r="JJ328" s="30"/>
      <c r="JK328" s="30"/>
      <c r="JL328" s="30"/>
      <c r="JM328" s="30"/>
      <c r="JN328" s="30"/>
      <c r="JO328" s="30"/>
      <c r="JP328" s="30"/>
      <c r="JQ328" s="30"/>
      <c r="JR328" s="30"/>
      <c r="JS328" s="30"/>
      <c r="JT328" s="30"/>
      <c r="JU328" s="30"/>
      <c r="JV328" s="30"/>
      <c r="JW328" s="30"/>
      <c r="JX328" s="30"/>
      <c r="JY328" s="30"/>
      <c r="JZ328" s="30"/>
      <c r="KA328" s="30"/>
      <c r="KB328" s="30"/>
      <c r="KC328" s="30"/>
      <c r="KD328" s="30"/>
      <c r="KE328" s="30"/>
      <c r="KF328" s="30"/>
      <c r="KG328" s="30"/>
      <c r="KH328" s="30"/>
      <c r="KI328" s="30"/>
      <c r="KJ328" s="30"/>
      <c r="KK328" s="30"/>
      <c r="KL328" s="30"/>
      <c r="KM328" s="30"/>
      <c r="KN328" s="30"/>
      <c r="KO328" s="30"/>
      <c r="KP328" s="30"/>
      <c r="KQ328" s="30"/>
      <c r="KR328" s="30"/>
      <c r="KS328" s="30"/>
      <c r="KT328" s="30"/>
      <c r="KU328" s="30"/>
      <c r="KV328" s="30"/>
      <c r="KW328" s="30"/>
      <c r="KX328" s="30"/>
      <c r="KY328" s="30"/>
      <c r="KZ328" s="30"/>
      <c r="LA328" s="30"/>
      <c r="LB328" s="30"/>
      <c r="LC328" s="30"/>
      <c r="LD328" s="30"/>
      <c r="LE328" s="30"/>
      <c r="LF328" s="30"/>
      <c r="LG328" s="30"/>
      <c r="LH328" s="30"/>
      <c r="LI328" s="30"/>
      <c r="LJ328" s="30"/>
      <c r="LK328" s="30"/>
      <c r="LL328" s="30"/>
      <c r="LM328" s="30"/>
      <c r="LN328" s="30"/>
      <c r="LO328" s="30"/>
      <c r="LP328" s="30"/>
      <c r="LQ328" s="30"/>
      <c r="LR328" s="30"/>
      <c r="LS328" s="30"/>
      <c r="LT328" s="30"/>
      <c r="LU328" s="30"/>
      <c r="LV328" s="30"/>
      <c r="LW328" s="30"/>
      <c r="LX328" s="30"/>
      <c r="LY328" s="30"/>
      <c r="LZ328" s="30"/>
      <c r="MA328" s="30"/>
      <c r="MB328" s="30"/>
      <c r="MC328" s="30"/>
      <c r="MD328" s="30"/>
      <c r="ME328" s="30"/>
      <c r="MF328" s="30"/>
      <c r="MG328" s="30"/>
      <c r="MH328" s="30"/>
      <c r="MI328" s="30"/>
      <c r="MJ328" s="30"/>
      <c r="MK328" s="30"/>
      <c r="ML328" s="30"/>
      <c r="MM328" s="30"/>
      <c r="MN328" s="30"/>
      <c r="MO328" s="30"/>
      <c r="MP328" s="30"/>
      <c r="MQ328" s="30"/>
      <c r="MR328" s="30"/>
      <c r="MS328" s="30"/>
      <c r="MT328" s="30"/>
      <c r="MU328" s="30"/>
      <c r="MV328" s="30"/>
      <c r="MW328" s="30"/>
      <c r="MX328" s="30"/>
      <c r="MY328" s="30"/>
      <c r="MZ328" s="30"/>
      <c r="NA328" s="30"/>
      <c r="NB328" s="30"/>
      <c r="NC328" s="30"/>
      <c r="ND328" s="30"/>
      <c r="NE328" s="30"/>
      <c r="NF328" s="30"/>
      <c r="NG328" s="30"/>
      <c r="NH328" s="30"/>
      <c r="NI328" s="30"/>
      <c r="NJ328" s="30"/>
      <c r="NK328" s="30"/>
      <c r="NL328" s="30"/>
      <c r="NM328" s="30"/>
      <c r="NN328" s="30"/>
      <c r="NO328" s="30"/>
      <c r="NP328" s="30"/>
      <c r="NQ328" s="30"/>
      <c r="NR328" s="30"/>
    </row>
    <row r="329" spans="1:382" s="3" customFormat="1" ht="20.100000000000001" customHeight="1" x14ac:dyDescent="0.4">
      <c r="A329" s="29">
        <v>10</v>
      </c>
      <c r="B329" s="5">
        <v>1926</v>
      </c>
      <c r="C329" s="5" t="s">
        <v>434</v>
      </c>
      <c r="D329" s="5" t="s">
        <v>444</v>
      </c>
      <c r="E329" s="5" t="s">
        <v>4</v>
      </c>
      <c r="F329" s="5" t="s">
        <v>32</v>
      </c>
      <c r="G329" s="5" t="s">
        <v>32</v>
      </c>
      <c r="H329" s="5" t="s">
        <v>32</v>
      </c>
      <c r="I329" s="8"/>
      <c r="J329" s="8"/>
      <c r="K329" s="8" t="str">
        <f>IF(OR(J329="",E329=""),"",J329+IFERROR(VLOOKUP(E329,リードタイム!$A$2:$C$9,3,FALSE),0))</f>
        <v/>
      </c>
      <c r="L329" s="5" t="s">
        <v>531</v>
      </c>
      <c r="M329" s="8"/>
      <c r="N329" s="8" t="str">
        <f>IF(OR(M329="",E329=""),"",M329+IFERROR(VLOOKUP(E329,リードタイム!$A$2:$D$9,4,FALSE),0))</f>
        <v/>
      </c>
      <c r="O329" s="5" t="s">
        <v>531</v>
      </c>
      <c r="P329" s="5" t="s">
        <v>533</v>
      </c>
      <c r="Q329" s="5" t="s">
        <v>137</v>
      </c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  <c r="FS329" s="30"/>
      <c r="FT329" s="30"/>
      <c r="FU329" s="30"/>
      <c r="FV329" s="30"/>
      <c r="FW329" s="30"/>
      <c r="FX329" s="30"/>
      <c r="FY329" s="30"/>
      <c r="FZ329" s="30"/>
      <c r="GA329" s="30"/>
      <c r="GB329" s="30"/>
      <c r="GC329" s="30"/>
      <c r="GD329" s="30"/>
      <c r="GE329" s="30"/>
      <c r="GF329" s="30"/>
      <c r="GG329" s="30"/>
      <c r="GH329" s="30"/>
      <c r="GI329" s="30"/>
      <c r="GJ329" s="30"/>
      <c r="GK329" s="30"/>
      <c r="GL329" s="30"/>
      <c r="GM329" s="30"/>
      <c r="GN329" s="30"/>
      <c r="GO329" s="30"/>
      <c r="GP329" s="30"/>
      <c r="GQ329" s="30"/>
      <c r="GR329" s="30"/>
      <c r="GS329" s="30"/>
      <c r="GT329" s="30"/>
      <c r="GU329" s="30"/>
      <c r="GV329" s="30"/>
      <c r="GW329" s="30"/>
      <c r="GX329" s="30"/>
      <c r="GY329" s="30"/>
      <c r="GZ329" s="30"/>
      <c r="HA329" s="30"/>
      <c r="HB329" s="30"/>
      <c r="HC329" s="30"/>
      <c r="HD329" s="30"/>
      <c r="HE329" s="30"/>
      <c r="HF329" s="30"/>
      <c r="HG329" s="30"/>
      <c r="HH329" s="30"/>
      <c r="HI329" s="30"/>
      <c r="HJ329" s="30"/>
      <c r="HK329" s="30"/>
      <c r="HL329" s="30"/>
      <c r="HM329" s="30"/>
      <c r="HN329" s="30"/>
      <c r="HO329" s="30"/>
      <c r="HP329" s="30"/>
      <c r="HQ329" s="30"/>
      <c r="HR329" s="30"/>
      <c r="HS329" s="30"/>
      <c r="HT329" s="30"/>
      <c r="HU329" s="30"/>
      <c r="HV329" s="30"/>
      <c r="HW329" s="30"/>
      <c r="HX329" s="30"/>
      <c r="HY329" s="30"/>
      <c r="HZ329" s="30"/>
      <c r="IA329" s="30"/>
      <c r="IB329" s="30"/>
      <c r="IC329" s="30"/>
      <c r="ID329" s="30"/>
      <c r="IE329" s="30"/>
      <c r="IF329" s="30"/>
      <c r="IG329" s="30"/>
      <c r="IH329" s="30"/>
      <c r="II329" s="30"/>
      <c r="IJ329" s="30"/>
      <c r="IK329" s="30"/>
      <c r="IL329" s="30"/>
      <c r="IM329" s="30"/>
      <c r="IN329" s="30"/>
      <c r="IO329" s="30"/>
      <c r="IP329" s="30"/>
      <c r="IQ329" s="30"/>
      <c r="IR329" s="30"/>
      <c r="IS329" s="30"/>
      <c r="IT329" s="30"/>
      <c r="IU329" s="30"/>
      <c r="IV329" s="30"/>
      <c r="IW329" s="30"/>
      <c r="IX329" s="30"/>
      <c r="IY329" s="30"/>
      <c r="IZ329" s="30"/>
      <c r="JA329" s="30"/>
      <c r="JB329" s="30"/>
      <c r="JC329" s="30"/>
      <c r="JD329" s="30"/>
      <c r="JE329" s="30"/>
      <c r="JF329" s="30"/>
      <c r="JG329" s="30"/>
      <c r="JH329" s="30"/>
      <c r="JI329" s="30"/>
      <c r="JJ329" s="30"/>
      <c r="JK329" s="30"/>
      <c r="JL329" s="30"/>
      <c r="JM329" s="30"/>
      <c r="JN329" s="30"/>
      <c r="JO329" s="30"/>
      <c r="JP329" s="30"/>
      <c r="JQ329" s="30"/>
      <c r="JR329" s="30"/>
      <c r="JS329" s="30"/>
      <c r="JT329" s="30"/>
      <c r="JU329" s="30"/>
      <c r="JV329" s="30"/>
      <c r="JW329" s="30"/>
      <c r="JX329" s="30"/>
      <c r="JY329" s="30"/>
      <c r="JZ329" s="30"/>
      <c r="KA329" s="30"/>
      <c r="KB329" s="30"/>
      <c r="KC329" s="30"/>
      <c r="KD329" s="30"/>
      <c r="KE329" s="30"/>
      <c r="KF329" s="30"/>
      <c r="KG329" s="30"/>
      <c r="KH329" s="30"/>
      <c r="KI329" s="30"/>
      <c r="KJ329" s="30"/>
      <c r="KK329" s="30"/>
      <c r="KL329" s="30"/>
      <c r="KM329" s="30"/>
      <c r="KN329" s="30"/>
      <c r="KO329" s="30"/>
      <c r="KP329" s="30"/>
      <c r="KQ329" s="30"/>
      <c r="KR329" s="30"/>
      <c r="KS329" s="30"/>
      <c r="KT329" s="30"/>
      <c r="KU329" s="30"/>
      <c r="KV329" s="30"/>
      <c r="KW329" s="30"/>
      <c r="KX329" s="30"/>
      <c r="KY329" s="30"/>
      <c r="KZ329" s="30"/>
      <c r="LA329" s="30"/>
      <c r="LB329" s="30"/>
      <c r="LC329" s="30"/>
      <c r="LD329" s="30"/>
      <c r="LE329" s="30"/>
      <c r="LF329" s="30"/>
      <c r="LG329" s="30"/>
      <c r="LH329" s="30"/>
      <c r="LI329" s="30"/>
      <c r="LJ329" s="30"/>
      <c r="LK329" s="30"/>
      <c r="LL329" s="30"/>
      <c r="LM329" s="30"/>
      <c r="LN329" s="30"/>
      <c r="LO329" s="30"/>
      <c r="LP329" s="30"/>
      <c r="LQ329" s="30"/>
      <c r="LR329" s="30"/>
      <c r="LS329" s="30"/>
      <c r="LT329" s="30"/>
      <c r="LU329" s="30"/>
      <c r="LV329" s="30"/>
      <c r="LW329" s="30"/>
      <c r="LX329" s="30"/>
      <c r="LY329" s="30"/>
      <c r="LZ329" s="30"/>
      <c r="MA329" s="30"/>
      <c r="MB329" s="30"/>
      <c r="MC329" s="30"/>
      <c r="MD329" s="30"/>
      <c r="ME329" s="30"/>
      <c r="MF329" s="30"/>
      <c r="MG329" s="30"/>
      <c r="MH329" s="30"/>
      <c r="MI329" s="30"/>
      <c r="MJ329" s="30"/>
      <c r="MK329" s="30"/>
      <c r="ML329" s="30"/>
      <c r="MM329" s="30"/>
      <c r="MN329" s="30"/>
      <c r="MO329" s="30"/>
      <c r="MP329" s="30"/>
      <c r="MQ329" s="30"/>
      <c r="MR329" s="30"/>
      <c r="MS329" s="30"/>
      <c r="MT329" s="30"/>
      <c r="MU329" s="30"/>
      <c r="MV329" s="30"/>
      <c r="MW329" s="30"/>
      <c r="MX329" s="30"/>
      <c r="MY329" s="30"/>
      <c r="MZ329" s="30"/>
      <c r="NA329" s="30"/>
      <c r="NB329" s="30"/>
      <c r="NC329" s="30"/>
      <c r="ND329" s="30"/>
      <c r="NE329" s="30"/>
      <c r="NF329" s="30"/>
      <c r="NG329" s="30"/>
      <c r="NH329" s="30"/>
      <c r="NI329" s="30"/>
      <c r="NJ329" s="30"/>
      <c r="NK329" s="30"/>
      <c r="NL329" s="30"/>
      <c r="NM329" s="30"/>
      <c r="NN329" s="30"/>
      <c r="NO329" s="30"/>
      <c r="NP329" s="30"/>
      <c r="NQ329" s="30"/>
      <c r="NR329" s="30"/>
    </row>
    <row r="330" spans="1:382" s="3" customFormat="1" ht="20.100000000000001" customHeight="1" x14ac:dyDescent="0.4">
      <c r="A330" s="29">
        <v>11</v>
      </c>
      <c r="B330" s="5">
        <v>1300</v>
      </c>
      <c r="C330" s="5" t="s">
        <v>434</v>
      </c>
      <c r="D330" s="5" t="s">
        <v>435</v>
      </c>
      <c r="E330" s="5" t="s">
        <v>18</v>
      </c>
      <c r="F330" s="5" t="s">
        <v>32</v>
      </c>
      <c r="G330" s="5" t="s">
        <v>32</v>
      </c>
      <c r="H330" s="5" t="s">
        <v>32</v>
      </c>
      <c r="I330" s="8"/>
      <c r="J330" s="8"/>
      <c r="K330" s="8" t="str">
        <f>IF(OR(J330="",E330=""),"",J330+IFERROR(VLOOKUP(E330,リードタイム!$A$2:$C$9,3,FALSE),0))</f>
        <v/>
      </c>
      <c r="L330" s="5" t="s">
        <v>531</v>
      </c>
      <c r="M330" s="8"/>
      <c r="N330" s="8" t="str">
        <f>IF(OR(M330="",E330=""),"",M330+IFERROR(VLOOKUP(E330,リードタイム!$A$2:$D$9,4,FALSE),0))</f>
        <v/>
      </c>
      <c r="O330" s="5" t="s">
        <v>531</v>
      </c>
      <c r="P330" s="5" t="s">
        <v>533</v>
      </c>
      <c r="Q330" s="5" t="s">
        <v>32</v>
      </c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  <c r="FS330" s="30"/>
      <c r="FT330" s="30"/>
      <c r="FU330" s="30"/>
      <c r="FV330" s="30"/>
      <c r="FW330" s="30"/>
      <c r="FX330" s="30"/>
      <c r="FY330" s="30"/>
      <c r="FZ330" s="30"/>
      <c r="GA330" s="30"/>
      <c r="GB330" s="30"/>
      <c r="GC330" s="30"/>
      <c r="GD330" s="30"/>
      <c r="GE330" s="30"/>
      <c r="GF330" s="30"/>
      <c r="GG330" s="30"/>
      <c r="GH330" s="30"/>
      <c r="GI330" s="30"/>
      <c r="GJ330" s="30"/>
      <c r="GK330" s="30"/>
      <c r="GL330" s="30"/>
      <c r="GM330" s="30"/>
      <c r="GN330" s="30"/>
      <c r="GO330" s="30"/>
      <c r="GP330" s="30"/>
      <c r="GQ330" s="30"/>
      <c r="GR330" s="30"/>
      <c r="GS330" s="30"/>
      <c r="GT330" s="30"/>
      <c r="GU330" s="30"/>
      <c r="GV330" s="30"/>
      <c r="GW330" s="30"/>
      <c r="GX330" s="30"/>
      <c r="GY330" s="30"/>
      <c r="GZ330" s="30"/>
      <c r="HA330" s="30"/>
      <c r="HB330" s="30"/>
      <c r="HC330" s="30"/>
      <c r="HD330" s="30"/>
      <c r="HE330" s="30"/>
      <c r="HF330" s="30"/>
      <c r="HG330" s="30"/>
      <c r="HH330" s="30"/>
      <c r="HI330" s="30"/>
      <c r="HJ330" s="30"/>
      <c r="HK330" s="30"/>
      <c r="HL330" s="30"/>
      <c r="HM330" s="30"/>
      <c r="HN330" s="30"/>
      <c r="HO330" s="30"/>
      <c r="HP330" s="30"/>
      <c r="HQ330" s="30"/>
      <c r="HR330" s="30"/>
      <c r="HS330" s="30"/>
      <c r="HT330" s="30"/>
      <c r="HU330" s="30"/>
      <c r="HV330" s="30"/>
      <c r="HW330" s="30"/>
      <c r="HX330" s="30"/>
      <c r="HY330" s="30"/>
      <c r="HZ330" s="30"/>
      <c r="IA330" s="30"/>
      <c r="IB330" s="30"/>
      <c r="IC330" s="30"/>
      <c r="ID330" s="30"/>
      <c r="IE330" s="30"/>
      <c r="IF330" s="30"/>
      <c r="IG330" s="30"/>
      <c r="IH330" s="30"/>
      <c r="II330" s="30"/>
      <c r="IJ330" s="30"/>
      <c r="IK330" s="30"/>
      <c r="IL330" s="30"/>
      <c r="IM330" s="30"/>
      <c r="IN330" s="30"/>
      <c r="IO330" s="30"/>
      <c r="IP330" s="30"/>
      <c r="IQ330" s="30"/>
      <c r="IR330" s="30"/>
      <c r="IS330" s="30"/>
      <c r="IT330" s="30"/>
      <c r="IU330" s="30"/>
      <c r="IV330" s="30"/>
      <c r="IW330" s="30"/>
      <c r="IX330" s="30"/>
      <c r="IY330" s="30"/>
      <c r="IZ330" s="30"/>
      <c r="JA330" s="30"/>
      <c r="JB330" s="30"/>
      <c r="JC330" s="30"/>
      <c r="JD330" s="30"/>
      <c r="JE330" s="30"/>
      <c r="JF330" s="30"/>
      <c r="JG330" s="30"/>
      <c r="JH330" s="30"/>
      <c r="JI330" s="30"/>
      <c r="JJ330" s="30"/>
      <c r="JK330" s="30"/>
      <c r="JL330" s="30"/>
      <c r="JM330" s="30"/>
      <c r="JN330" s="30"/>
      <c r="JO330" s="30"/>
      <c r="JP330" s="30"/>
      <c r="JQ330" s="30"/>
      <c r="JR330" s="30"/>
      <c r="JS330" s="30"/>
      <c r="JT330" s="30"/>
      <c r="JU330" s="30"/>
      <c r="JV330" s="30"/>
      <c r="JW330" s="30"/>
      <c r="JX330" s="30"/>
      <c r="JY330" s="30"/>
      <c r="JZ330" s="30"/>
      <c r="KA330" s="30"/>
      <c r="KB330" s="30"/>
      <c r="KC330" s="30"/>
      <c r="KD330" s="30"/>
      <c r="KE330" s="30"/>
      <c r="KF330" s="30"/>
      <c r="KG330" s="30"/>
      <c r="KH330" s="30"/>
      <c r="KI330" s="30"/>
      <c r="KJ330" s="30"/>
      <c r="KK330" s="30"/>
      <c r="KL330" s="30"/>
      <c r="KM330" s="30"/>
      <c r="KN330" s="30"/>
      <c r="KO330" s="30"/>
      <c r="KP330" s="30"/>
      <c r="KQ330" s="30"/>
      <c r="KR330" s="30"/>
      <c r="KS330" s="30"/>
      <c r="KT330" s="30"/>
      <c r="KU330" s="30"/>
      <c r="KV330" s="30"/>
      <c r="KW330" s="30"/>
      <c r="KX330" s="30"/>
      <c r="KY330" s="30"/>
      <c r="KZ330" s="30"/>
      <c r="LA330" s="30"/>
      <c r="LB330" s="30"/>
      <c r="LC330" s="30"/>
      <c r="LD330" s="30"/>
      <c r="LE330" s="30"/>
      <c r="LF330" s="30"/>
      <c r="LG330" s="30"/>
      <c r="LH330" s="30"/>
      <c r="LI330" s="30"/>
      <c r="LJ330" s="30"/>
      <c r="LK330" s="30"/>
      <c r="LL330" s="30"/>
      <c r="LM330" s="30"/>
      <c r="LN330" s="30"/>
      <c r="LO330" s="30"/>
      <c r="LP330" s="30"/>
      <c r="LQ330" s="30"/>
      <c r="LR330" s="30"/>
      <c r="LS330" s="30"/>
      <c r="LT330" s="30"/>
      <c r="LU330" s="30"/>
      <c r="LV330" s="30"/>
      <c r="LW330" s="30"/>
      <c r="LX330" s="30"/>
      <c r="LY330" s="30"/>
      <c r="LZ330" s="30"/>
      <c r="MA330" s="30"/>
      <c r="MB330" s="30"/>
      <c r="MC330" s="30"/>
      <c r="MD330" s="30"/>
      <c r="ME330" s="30"/>
      <c r="MF330" s="30"/>
      <c r="MG330" s="30"/>
      <c r="MH330" s="30"/>
      <c r="MI330" s="30"/>
      <c r="MJ330" s="30"/>
      <c r="MK330" s="30"/>
      <c r="ML330" s="30"/>
      <c r="MM330" s="30"/>
      <c r="MN330" s="30"/>
      <c r="MO330" s="30"/>
      <c r="MP330" s="30"/>
      <c r="MQ330" s="30"/>
      <c r="MR330" s="30"/>
      <c r="MS330" s="30"/>
      <c r="MT330" s="30"/>
      <c r="MU330" s="30"/>
      <c r="MV330" s="30"/>
      <c r="MW330" s="30"/>
      <c r="MX330" s="30"/>
      <c r="MY330" s="30"/>
      <c r="MZ330" s="30"/>
      <c r="NA330" s="30"/>
      <c r="NB330" s="30"/>
      <c r="NC330" s="30"/>
      <c r="ND330" s="30"/>
      <c r="NE330" s="30"/>
      <c r="NF330" s="30"/>
      <c r="NG330" s="30"/>
      <c r="NH330" s="30"/>
      <c r="NI330" s="30"/>
      <c r="NJ330" s="30"/>
      <c r="NK330" s="30"/>
      <c r="NL330" s="30"/>
      <c r="NM330" s="30"/>
      <c r="NN330" s="30"/>
      <c r="NO330" s="30"/>
      <c r="NP330" s="30"/>
      <c r="NQ330" s="30"/>
      <c r="NR330" s="30"/>
    </row>
    <row r="331" spans="1:382" s="3" customFormat="1" ht="20.100000000000001" customHeight="1" x14ac:dyDescent="0.4">
      <c r="A331" s="29">
        <v>12</v>
      </c>
      <c r="B331" s="5">
        <v>1300</v>
      </c>
      <c r="C331" s="5" t="s">
        <v>434</v>
      </c>
      <c r="D331" s="5" t="s">
        <v>435</v>
      </c>
      <c r="E331" s="5" t="s">
        <v>18</v>
      </c>
      <c r="F331" s="5" t="s">
        <v>32</v>
      </c>
      <c r="G331" s="5" t="s">
        <v>32</v>
      </c>
      <c r="H331" s="5" t="s">
        <v>32</v>
      </c>
      <c r="I331" s="8"/>
      <c r="J331" s="8"/>
      <c r="K331" s="8" t="str">
        <f>IF(OR(J331="",E331=""),"",J331+IFERROR(VLOOKUP(E331,リードタイム!$A$2:$C$9,3,FALSE),0))</f>
        <v/>
      </c>
      <c r="L331" s="5" t="s">
        <v>531</v>
      </c>
      <c r="M331" s="8"/>
      <c r="N331" s="8" t="str">
        <f>IF(OR(M331="",E331=""),"",M331+IFERROR(VLOOKUP(E331,リードタイム!$A$2:$D$9,4,FALSE),0))</f>
        <v/>
      </c>
      <c r="O331" s="5" t="s">
        <v>531</v>
      </c>
      <c r="P331" s="5" t="s">
        <v>533</v>
      </c>
      <c r="Q331" s="5" t="s">
        <v>445</v>
      </c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  <c r="FS331" s="30"/>
      <c r="FT331" s="30"/>
      <c r="FU331" s="30"/>
      <c r="FV331" s="30"/>
      <c r="FW331" s="30"/>
      <c r="FX331" s="30"/>
      <c r="FY331" s="30"/>
      <c r="FZ331" s="30"/>
      <c r="GA331" s="30"/>
      <c r="GB331" s="30"/>
      <c r="GC331" s="30"/>
      <c r="GD331" s="30"/>
      <c r="GE331" s="30"/>
      <c r="GF331" s="30"/>
      <c r="GG331" s="30"/>
      <c r="GH331" s="30"/>
      <c r="GI331" s="30"/>
      <c r="GJ331" s="30"/>
      <c r="GK331" s="30"/>
      <c r="GL331" s="30"/>
      <c r="GM331" s="30"/>
      <c r="GN331" s="30"/>
      <c r="GO331" s="30"/>
      <c r="GP331" s="30"/>
      <c r="GQ331" s="30"/>
      <c r="GR331" s="30"/>
      <c r="GS331" s="30"/>
      <c r="GT331" s="30"/>
      <c r="GU331" s="30"/>
      <c r="GV331" s="30"/>
      <c r="GW331" s="30"/>
      <c r="GX331" s="30"/>
      <c r="GY331" s="30"/>
      <c r="GZ331" s="30"/>
      <c r="HA331" s="30"/>
      <c r="HB331" s="30"/>
      <c r="HC331" s="30"/>
      <c r="HD331" s="30"/>
      <c r="HE331" s="30"/>
      <c r="HF331" s="30"/>
      <c r="HG331" s="30"/>
      <c r="HH331" s="30"/>
      <c r="HI331" s="30"/>
      <c r="HJ331" s="30"/>
      <c r="HK331" s="30"/>
      <c r="HL331" s="30"/>
      <c r="HM331" s="30"/>
      <c r="HN331" s="30"/>
      <c r="HO331" s="30"/>
      <c r="HP331" s="30"/>
      <c r="HQ331" s="30"/>
      <c r="HR331" s="30"/>
      <c r="HS331" s="30"/>
      <c r="HT331" s="30"/>
      <c r="HU331" s="30"/>
      <c r="HV331" s="30"/>
      <c r="HW331" s="30"/>
      <c r="HX331" s="30"/>
      <c r="HY331" s="30"/>
      <c r="HZ331" s="30"/>
      <c r="IA331" s="30"/>
      <c r="IB331" s="30"/>
      <c r="IC331" s="30"/>
      <c r="ID331" s="30"/>
      <c r="IE331" s="30"/>
      <c r="IF331" s="30"/>
      <c r="IG331" s="30"/>
      <c r="IH331" s="30"/>
      <c r="II331" s="30"/>
      <c r="IJ331" s="30"/>
      <c r="IK331" s="30"/>
      <c r="IL331" s="30"/>
      <c r="IM331" s="30"/>
      <c r="IN331" s="30"/>
      <c r="IO331" s="30"/>
      <c r="IP331" s="30"/>
      <c r="IQ331" s="30"/>
      <c r="IR331" s="30"/>
      <c r="IS331" s="30"/>
      <c r="IT331" s="30"/>
      <c r="IU331" s="30"/>
      <c r="IV331" s="30"/>
      <c r="IW331" s="30"/>
      <c r="IX331" s="30"/>
      <c r="IY331" s="30"/>
      <c r="IZ331" s="30"/>
      <c r="JA331" s="30"/>
      <c r="JB331" s="30"/>
      <c r="JC331" s="30"/>
      <c r="JD331" s="30"/>
      <c r="JE331" s="30"/>
      <c r="JF331" s="30"/>
      <c r="JG331" s="30"/>
      <c r="JH331" s="30"/>
      <c r="JI331" s="30"/>
      <c r="JJ331" s="30"/>
      <c r="JK331" s="30"/>
      <c r="JL331" s="30"/>
      <c r="JM331" s="30"/>
      <c r="JN331" s="30"/>
      <c r="JO331" s="30"/>
      <c r="JP331" s="30"/>
      <c r="JQ331" s="30"/>
      <c r="JR331" s="30"/>
      <c r="JS331" s="30"/>
      <c r="JT331" s="30"/>
      <c r="JU331" s="30"/>
      <c r="JV331" s="30"/>
      <c r="JW331" s="30"/>
      <c r="JX331" s="30"/>
      <c r="JY331" s="30"/>
      <c r="JZ331" s="30"/>
      <c r="KA331" s="30"/>
      <c r="KB331" s="30"/>
      <c r="KC331" s="30"/>
      <c r="KD331" s="30"/>
      <c r="KE331" s="30"/>
      <c r="KF331" s="30"/>
      <c r="KG331" s="30"/>
      <c r="KH331" s="30"/>
      <c r="KI331" s="30"/>
      <c r="KJ331" s="30"/>
      <c r="KK331" s="30"/>
      <c r="KL331" s="30"/>
      <c r="KM331" s="30"/>
      <c r="KN331" s="30"/>
      <c r="KO331" s="30"/>
      <c r="KP331" s="30"/>
      <c r="KQ331" s="30"/>
      <c r="KR331" s="30"/>
      <c r="KS331" s="30"/>
      <c r="KT331" s="30"/>
      <c r="KU331" s="30"/>
      <c r="KV331" s="30"/>
      <c r="KW331" s="30"/>
      <c r="KX331" s="30"/>
      <c r="KY331" s="30"/>
      <c r="KZ331" s="30"/>
      <c r="LA331" s="30"/>
      <c r="LB331" s="30"/>
      <c r="LC331" s="30"/>
      <c r="LD331" s="30"/>
      <c r="LE331" s="30"/>
      <c r="LF331" s="30"/>
      <c r="LG331" s="30"/>
      <c r="LH331" s="30"/>
      <c r="LI331" s="30"/>
      <c r="LJ331" s="30"/>
      <c r="LK331" s="30"/>
      <c r="LL331" s="30"/>
      <c r="LM331" s="30"/>
      <c r="LN331" s="30"/>
      <c r="LO331" s="30"/>
      <c r="LP331" s="30"/>
      <c r="LQ331" s="30"/>
      <c r="LR331" s="30"/>
      <c r="LS331" s="30"/>
      <c r="LT331" s="30"/>
      <c r="LU331" s="30"/>
      <c r="LV331" s="30"/>
      <c r="LW331" s="30"/>
      <c r="LX331" s="30"/>
      <c r="LY331" s="30"/>
      <c r="LZ331" s="30"/>
      <c r="MA331" s="30"/>
      <c r="MB331" s="30"/>
      <c r="MC331" s="30"/>
      <c r="MD331" s="30"/>
      <c r="ME331" s="30"/>
      <c r="MF331" s="30"/>
      <c r="MG331" s="30"/>
      <c r="MH331" s="30"/>
      <c r="MI331" s="30"/>
      <c r="MJ331" s="30"/>
      <c r="MK331" s="30"/>
      <c r="ML331" s="30"/>
      <c r="MM331" s="30"/>
      <c r="MN331" s="30"/>
      <c r="MO331" s="30"/>
      <c r="MP331" s="30"/>
      <c r="MQ331" s="30"/>
      <c r="MR331" s="30"/>
      <c r="MS331" s="30"/>
      <c r="MT331" s="30"/>
      <c r="MU331" s="30"/>
      <c r="MV331" s="30"/>
      <c r="MW331" s="30"/>
      <c r="MX331" s="30"/>
      <c r="MY331" s="30"/>
      <c r="MZ331" s="30"/>
      <c r="NA331" s="30"/>
      <c r="NB331" s="30"/>
      <c r="NC331" s="30"/>
      <c r="ND331" s="30"/>
      <c r="NE331" s="30"/>
      <c r="NF331" s="30"/>
      <c r="NG331" s="30"/>
      <c r="NH331" s="30"/>
      <c r="NI331" s="30"/>
      <c r="NJ331" s="30"/>
      <c r="NK331" s="30"/>
      <c r="NL331" s="30"/>
      <c r="NM331" s="30"/>
      <c r="NN331" s="30"/>
      <c r="NO331" s="30"/>
      <c r="NP331" s="30"/>
      <c r="NQ331" s="30"/>
      <c r="NR331" s="30"/>
    </row>
    <row r="332" spans="1:382" s="3" customFormat="1" ht="20.100000000000001" customHeight="1" x14ac:dyDescent="0.4">
      <c r="A332" s="29">
        <v>13</v>
      </c>
      <c r="B332" s="5">
        <v>1300</v>
      </c>
      <c r="C332" s="5" t="s">
        <v>434</v>
      </c>
      <c r="D332" s="5" t="s">
        <v>435</v>
      </c>
      <c r="E332" s="5" t="s">
        <v>18</v>
      </c>
      <c r="F332" s="5" t="s">
        <v>32</v>
      </c>
      <c r="G332" s="5" t="s">
        <v>32</v>
      </c>
      <c r="H332" s="5" t="s">
        <v>32</v>
      </c>
      <c r="I332" s="8"/>
      <c r="J332" s="8"/>
      <c r="K332" s="8" t="str">
        <f>IF(OR(J332="",E332=""),"",J332+IFERROR(VLOOKUP(E332,リードタイム!$A$2:$C$9,3,FALSE),0))</f>
        <v/>
      </c>
      <c r="L332" s="5" t="s">
        <v>530</v>
      </c>
      <c r="M332" s="8"/>
      <c r="N332" s="8" t="str">
        <f>IF(OR(M332="",E332=""),"",M332+IFERROR(VLOOKUP(E332,リードタイム!$A$2:$D$9,4,FALSE),0))</f>
        <v/>
      </c>
      <c r="O332" s="5" t="s">
        <v>530</v>
      </c>
      <c r="P332" s="5" t="s">
        <v>530</v>
      </c>
      <c r="Q332" s="5" t="s">
        <v>446</v>
      </c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  <c r="FS332" s="30"/>
      <c r="FT332" s="30"/>
      <c r="FU332" s="30"/>
      <c r="FV332" s="30"/>
      <c r="FW332" s="30"/>
      <c r="FX332" s="30"/>
      <c r="FY332" s="30"/>
      <c r="FZ332" s="30"/>
      <c r="GA332" s="30"/>
      <c r="GB332" s="30"/>
      <c r="GC332" s="30"/>
      <c r="GD332" s="30"/>
      <c r="GE332" s="30"/>
      <c r="GF332" s="30"/>
      <c r="GG332" s="30"/>
      <c r="GH332" s="30"/>
      <c r="GI332" s="30"/>
      <c r="GJ332" s="30"/>
      <c r="GK332" s="30"/>
      <c r="GL332" s="30"/>
      <c r="GM332" s="30"/>
      <c r="GN332" s="30"/>
      <c r="GO332" s="30"/>
      <c r="GP332" s="30"/>
      <c r="GQ332" s="30"/>
      <c r="GR332" s="30"/>
      <c r="GS332" s="30"/>
      <c r="GT332" s="30"/>
      <c r="GU332" s="30"/>
      <c r="GV332" s="30"/>
      <c r="GW332" s="30"/>
      <c r="GX332" s="30"/>
      <c r="GY332" s="30"/>
      <c r="GZ332" s="30"/>
      <c r="HA332" s="30"/>
      <c r="HB332" s="30"/>
      <c r="HC332" s="30"/>
      <c r="HD332" s="30"/>
      <c r="HE332" s="30"/>
      <c r="HF332" s="30"/>
      <c r="HG332" s="30"/>
      <c r="HH332" s="30"/>
      <c r="HI332" s="30"/>
      <c r="HJ332" s="30"/>
      <c r="HK332" s="30"/>
      <c r="HL332" s="30"/>
      <c r="HM332" s="30"/>
      <c r="HN332" s="30"/>
      <c r="HO332" s="30"/>
      <c r="HP332" s="30"/>
      <c r="HQ332" s="30"/>
      <c r="HR332" s="30"/>
      <c r="HS332" s="30"/>
      <c r="HT332" s="30"/>
      <c r="HU332" s="30"/>
      <c r="HV332" s="30"/>
      <c r="HW332" s="30"/>
      <c r="HX332" s="30"/>
      <c r="HY332" s="30"/>
      <c r="HZ332" s="30"/>
      <c r="IA332" s="30"/>
      <c r="IB332" s="30"/>
      <c r="IC332" s="30"/>
      <c r="ID332" s="30"/>
      <c r="IE332" s="30"/>
      <c r="IF332" s="30"/>
      <c r="IG332" s="30"/>
      <c r="IH332" s="30"/>
      <c r="II332" s="30"/>
      <c r="IJ332" s="30"/>
      <c r="IK332" s="30"/>
      <c r="IL332" s="30"/>
      <c r="IM332" s="30"/>
      <c r="IN332" s="30"/>
      <c r="IO332" s="30"/>
      <c r="IP332" s="30"/>
      <c r="IQ332" s="30"/>
      <c r="IR332" s="30"/>
      <c r="IS332" s="30"/>
      <c r="IT332" s="30"/>
      <c r="IU332" s="30"/>
      <c r="IV332" s="30"/>
      <c r="IW332" s="30"/>
      <c r="IX332" s="30"/>
      <c r="IY332" s="30"/>
      <c r="IZ332" s="30"/>
      <c r="JA332" s="30"/>
      <c r="JB332" s="30"/>
      <c r="JC332" s="30"/>
      <c r="JD332" s="30"/>
      <c r="JE332" s="30"/>
      <c r="JF332" s="30"/>
      <c r="JG332" s="30"/>
      <c r="JH332" s="30"/>
      <c r="JI332" s="30"/>
      <c r="JJ332" s="30"/>
      <c r="JK332" s="30"/>
      <c r="JL332" s="30"/>
      <c r="JM332" s="30"/>
      <c r="JN332" s="30"/>
      <c r="JO332" s="30"/>
      <c r="JP332" s="30"/>
      <c r="JQ332" s="30"/>
      <c r="JR332" s="30"/>
      <c r="JS332" s="30"/>
      <c r="JT332" s="30"/>
      <c r="JU332" s="30"/>
      <c r="JV332" s="30"/>
      <c r="JW332" s="30"/>
      <c r="JX332" s="30"/>
      <c r="JY332" s="30"/>
      <c r="JZ332" s="30"/>
      <c r="KA332" s="30"/>
      <c r="KB332" s="30"/>
      <c r="KC332" s="30"/>
      <c r="KD332" s="30"/>
      <c r="KE332" s="30"/>
      <c r="KF332" s="30"/>
      <c r="KG332" s="30"/>
      <c r="KH332" s="30"/>
      <c r="KI332" s="30"/>
      <c r="KJ332" s="30"/>
      <c r="KK332" s="30"/>
      <c r="KL332" s="30"/>
      <c r="KM332" s="30"/>
      <c r="KN332" s="30"/>
      <c r="KO332" s="30"/>
      <c r="KP332" s="30"/>
      <c r="KQ332" s="30"/>
      <c r="KR332" s="30"/>
      <c r="KS332" s="30"/>
      <c r="KT332" s="30"/>
      <c r="KU332" s="30"/>
      <c r="KV332" s="30"/>
      <c r="KW332" s="30"/>
      <c r="KX332" s="30"/>
      <c r="KY332" s="30"/>
      <c r="KZ332" s="30"/>
      <c r="LA332" s="30"/>
      <c r="LB332" s="30"/>
      <c r="LC332" s="30"/>
      <c r="LD332" s="30"/>
      <c r="LE332" s="30"/>
      <c r="LF332" s="30"/>
      <c r="LG332" s="30"/>
      <c r="LH332" s="30"/>
      <c r="LI332" s="30"/>
      <c r="LJ332" s="30"/>
      <c r="LK332" s="30"/>
      <c r="LL332" s="30"/>
      <c r="LM332" s="30"/>
      <c r="LN332" s="30"/>
      <c r="LO332" s="30"/>
      <c r="LP332" s="30"/>
      <c r="LQ332" s="30"/>
      <c r="LR332" s="30"/>
      <c r="LS332" s="30"/>
      <c r="LT332" s="30"/>
      <c r="LU332" s="30"/>
      <c r="LV332" s="30"/>
      <c r="LW332" s="30"/>
      <c r="LX332" s="30"/>
      <c r="LY332" s="30"/>
      <c r="LZ332" s="30"/>
      <c r="MA332" s="30"/>
      <c r="MB332" s="30"/>
      <c r="MC332" s="30"/>
      <c r="MD332" s="30"/>
      <c r="ME332" s="30"/>
      <c r="MF332" s="30"/>
      <c r="MG332" s="30"/>
      <c r="MH332" s="30"/>
      <c r="MI332" s="30"/>
      <c r="MJ332" s="30"/>
      <c r="MK332" s="30"/>
      <c r="ML332" s="30"/>
      <c r="MM332" s="30"/>
      <c r="MN332" s="30"/>
      <c r="MO332" s="30"/>
      <c r="MP332" s="30"/>
      <c r="MQ332" s="30"/>
      <c r="MR332" s="30"/>
      <c r="MS332" s="30"/>
      <c r="MT332" s="30"/>
      <c r="MU332" s="30"/>
      <c r="MV332" s="30"/>
      <c r="MW332" s="30"/>
      <c r="MX332" s="30"/>
      <c r="MY332" s="30"/>
      <c r="MZ332" s="30"/>
      <c r="NA332" s="30"/>
      <c r="NB332" s="30"/>
      <c r="NC332" s="30"/>
      <c r="ND332" s="30"/>
      <c r="NE332" s="30"/>
      <c r="NF332" s="30"/>
      <c r="NG332" s="30"/>
      <c r="NH332" s="30"/>
      <c r="NI332" s="30"/>
      <c r="NJ332" s="30"/>
      <c r="NK332" s="30"/>
      <c r="NL332" s="30"/>
      <c r="NM332" s="30"/>
      <c r="NN332" s="30"/>
      <c r="NO332" s="30"/>
      <c r="NP332" s="30"/>
      <c r="NQ332" s="30"/>
      <c r="NR332" s="30"/>
    </row>
    <row r="333" spans="1:382" s="3" customFormat="1" ht="20.100000000000001" customHeight="1" x14ac:dyDescent="0.4">
      <c r="A333" s="29">
        <v>14</v>
      </c>
      <c r="B333" s="5">
        <v>1574</v>
      </c>
      <c r="C333" s="5" t="s">
        <v>434</v>
      </c>
      <c r="D333" s="5" t="s">
        <v>447</v>
      </c>
      <c r="E333" s="5" t="s">
        <v>18</v>
      </c>
      <c r="F333" s="5" t="s">
        <v>32</v>
      </c>
      <c r="G333" s="5" t="s">
        <v>32</v>
      </c>
      <c r="H333" s="5" t="s">
        <v>32</v>
      </c>
      <c r="I333" s="8"/>
      <c r="J333" s="8"/>
      <c r="K333" s="8" t="str">
        <f>IF(OR(J333="",E333=""),"",J333+IFERROR(VLOOKUP(E333,リードタイム!$A$2:$C$9,3,FALSE),0))</f>
        <v/>
      </c>
      <c r="L333" s="5" t="s">
        <v>531</v>
      </c>
      <c r="M333" s="8"/>
      <c r="N333" s="8" t="str">
        <f>IF(OR(M333="",E333=""),"",M333+IFERROR(VLOOKUP(E333,リードタイム!$A$2:$D$9,4,FALSE),0))</f>
        <v/>
      </c>
      <c r="O333" s="5" t="s">
        <v>531</v>
      </c>
      <c r="P333" s="5" t="s">
        <v>533</v>
      </c>
      <c r="Q333" s="5" t="s">
        <v>448</v>
      </c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  <c r="FS333" s="30"/>
      <c r="FT333" s="30"/>
      <c r="FU333" s="30"/>
      <c r="FV333" s="30"/>
      <c r="FW333" s="30"/>
      <c r="FX333" s="30"/>
      <c r="FY333" s="30"/>
      <c r="FZ333" s="30"/>
      <c r="GA333" s="30"/>
      <c r="GB333" s="30"/>
      <c r="GC333" s="30"/>
      <c r="GD333" s="30"/>
      <c r="GE333" s="30"/>
      <c r="GF333" s="30"/>
      <c r="GG333" s="30"/>
      <c r="GH333" s="30"/>
      <c r="GI333" s="30"/>
      <c r="GJ333" s="30"/>
      <c r="GK333" s="30"/>
      <c r="GL333" s="30"/>
      <c r="GM333" s="30"/>
      <c r="GN333" s="30"/>
      <c r="GO333" s="30"/>
      <c r="GP333" s="30"/>
      <c r="GQ333" s="30"/>
      <c r="GR333" s="30"/>
      <c r="GS333" s="30"/>
      <c r="GT333" s="30"/>
      <c r="GU333" s="30"/>
      <c r="GV333" s="30"/>
      <c r="GW333" s="30"/>
      <c r="GX333" s="30"/>
      <c r="GY333" s="30"/>
      <c r="GZ333" s="30"/>
      <c r="HA333" s="30"/>
      <c r="HB333" s="30"/>
      <c r="HC333" s="30"/>
      <c r="HD333" s="30"/>
      <c r="HE333" s="30"/>
      <c r="HF333" s="30"/>
      <c r="HG333" s="30"/>
      <c r="HH333" s="30"/>
      <c r="HI333" s="30"/>
      <c r="HJ333" s="30"/>
      <c r="HK333" s="30"/>
      <c r="HL333" s="30"/>
      <c r="HM333" s="30"/>
      <c r="HN333" s="30"/>
      <c r="HO333" s="30"/>
      <c r="HP333" s="30"/>
      <c r="HQ333" s="30"/>
      <c r="HR333" s="30"/>
      <c r="HS333" s="30"/>
      <c r="HT333" s="30"/>
      <c r="HU333" s="30"/>
      <c r="HV333" s="30"/>
      <c r="HW333" s="30"/>
      <c r="HX333" s="30"/>
      <c r="HY333" s="30"/>
      <c r="HZ333" s="30"/>
      <c r="IA333" s="30"/>
      <c r="IB333" s="30"/>
      <c r="IC333" s="30"/>
      <c r="ID333" s="30"/>
      <c r="IE333" s="30"/>
      <c r="IF333" s="30"/>
      <c r="IG333" s="30"/>
      <c r="IH333" s="30"/>
      <c r="II333" s="30"/>
      <c r="IJ333" s="30"/>
      <c r="IK333" s="30"/>
      <c r="IL333" s="30"/>
      <c r="IM333" s="30"/>
      <c r="IN333" s="30"/>
      <c r="IO333" s="30"/>
      <c r="IP333" s="30"/>
      <c r="IQ333" s="30"/>
      <c r="IR333" s="30"/>
      <c r="IS333" s="30"/>
      <c r="IT333" s="30"/>
      <c r="IU333" s="30"/>
      <c r="IV333" s="30"/>
      <c r="IW333" s="30"/>
      <c r="IX333" s="30"/>
      <c r="IY333" s="30"/>
      <c r="IZ333" s="30"/>
      <c r="JA333" s="30"/>
      <c r="JB333" s="30"/>
      <c r="JC333" s="30"/>
      <c r="JD333" s="30"/>
      <c r="JE333" s="30"/>
      <c r="JF333" s="30"/>
      <c r="JG333" s="30"/>
      <c r="JH333" s="30"/>
      <c r="JI333" s="30"/>
      <c r="JJ333" s="30"/>
      <c r="JK333" s="30"/>
      <c r="JL333" s="30"/>
      <c r="JM333" s="30"/>
      <c r="JN333" s="30"/>
      <c r="JO333" s="30"/>
      <c r="JP333" s="30"/>
      <c r="JQ333" s="30"/>
      <c r="JR333" s="30"/>
      <c r="JS333" s="30"/>
      <c r="JT333" s="30"/>
      <c r="JU333" s="30"/>
      <c r="JV333" s="30"/>
      <c r="JW333" s="30"/>
      <c r="JX333" s="30"/>
      <c r="JY333" s="30"/>
      <c r="JZ333" s="30"/>
      <c r="KA333" s="30"/>
      <c r="KB333" s="30"/>
      <c r="KC333" s="30"/>
      <c r="KD333" s="30"/>
      <c r="KE333" s="30"/>
      <c r="KF333" s="30"/>
      <c r="KG333" s="30"/>
      <c r="KH333" s="30"/>
      <c r="KI333" s="30"/>
      <c r="KJ333" s="30"/>
      <c r="KK333" s="30"/>
      <c r="KL333" s="30"/>
      <c r="KM333" s="30"/>
      <c r="KN333" s="30"/>
      <c r="KO333" s="30"/>
      <c r="KP333" s="30"/>
      <c r="KQ333" s="30"/>
      <c r="KR333" s="30"/>
      <c r="KS333" s="30"/>
      <c r="KT333" s="30"/>
      <c r="KU333" s="30"/>
      <c r="KV333" s="30"/>
      <c r="KW333" s="30"/>
      <c r="KX333" s="30"/>
      <c r="KY333" s="30"/>
      <c r="KZ333" s="30"/>
      <c r="LA333" s="30"/>
      <c r="LB333" s="30"/>
      <c r="LC333" s="30"/>
      <c r="LD333" s="30"/>
      <c r="LE333" s="30"/>
      <c r="LF333" s="30"/>
      <c r="LG333" s="30"/>
      <c r="LH333" s="30"/>
      <c r="LI333" s="30"/>
      <c r="LJ333" s="30"/>
      <c r="LK333" s="30"/>
      <c r="LL333" s="30"/>
      <c r="LM333" s="30"/>
      <c r="LN333" s="30"/>
      <c r="LO333" s="30"/>
      <c r="LP333" s="30"/>
      <c r="LQ333" s="30"/>
      <c r="LR333" s="30"/>
      <c r="LS333" s="30"/>
      <c r="LT333" s="30"/>
      <c r="LU333" s="30"/>
      <c r="LV333" s="30"/>
      <c r="LW333" s="30"/>
      <c r="LX333" s="30"/>
      <c r="LY333" s="30"/>
      <c r="LZ333" s="30"/>
      <c r="MA333" s="30"/>
      <c r="MB333" s="30"/>
      <c r="MC333" s="30"/>
      <c r="MD333" s="30"/>
      <c r="ME333" s="30"/>
      <c r="MF333" s="30"/>
      <c r="MG333" s="30"/>
      <c r="MH333" s="30"/>
      <c r="MI333" s="30"/>
      <c r="MJ333" s="30"/>
      <c r="MK333" s="30"/>
      <c r="ML333" s="30"/>
      <c r="MM333" s="30"/>
      <c r="MN333" s="30"/>
      <c r="MO333" s="30"/>
      <c r="MP333" s="30"/>
      <c r="MQ333" s="30"/>
      <c r="MR333" s="30"/>
      <c r="MS333" s="30"/>
      <c r="MT333" s="30"/>
      <c r="MU333" s="30"/>
      <c r="MV333" s="30"/>
      <c r="MW333" s="30"/>
      <c r="MX333" s="30"/>
      <c r="MY333" s="30"/>
      <c r="MZ333" s="30"/>
      <c r="NA333" s="30"/>
      <c r="NB333" s="30"/>
      <c r="NC333" s="30"/>
      <c r="ND333" s="30"/>
      <c r="NE333" s="30"/>
      <c r="NF333" s="30"/>
      <c r="NG333" s="30"/>
      <c r="NH333" s="30"/>
      <c r="NI333" s="30"/>
      <c r="NJ333" s="30"/>
      <c r="NK333" s="30"/>
      <c r="NL333" s="30"/>
      <c r="NM333" s="30"/>
      <c r="NN333" s="30"/>
      <c r="NO333" s="30"/>
      <c r="NP333" s="30"/>
      <c r="NQ333" s="30"/>
      <c r="NR333" s="30"/>
    </row>
    <row r="334" spans="1:382" s="3" customFormat="1" ht="20.100000000000001" customHeight="1" x14ac:dyDescent="0.4">
      <c r="A334" s="29">
        <v>15</v>
      </c>
      <c r="B334" s="5">
        <v>1548</v>
      </c>
      <c r="C334" s="5" t="s">
        <v>434</v>
      </c>
      <c r="D334" s="5" t="s">
        <v>437</v>
      </c>
      <c r="E334" s="5" t="s">
        <v>18</v>
      </c>
      <c r="F334" s="5" t="s">
        <v>32</v>
      </c>
      <c r="G334" s="5" t="s">
        <v>32</v>
      </c>
      <c r="H334" s="5" t="s">
        <v>32</v>
      </c>
      <c r="I334" s="8"/>
      <c r="J334" s="8"/>
      <c r="K334" s="8" t="str">
        <f>IF(OR(J334="",E334=""),"",J334+IFERROR(VLOOKUP(E334,リードタイム!$A$2:$C$9,3,FALSE),0))</f>
        <v/>
      </c>
      <c r="L334" s="5" t="s">
        <v>530</v>
      </c>
      <c r="M334" s="8"/>
      <c r="N334" s="8" t="str">
        <f>IF(OR(M334="",E334=""),"",M334+IFERROR(VLOOKUP(E334,リードタイム!$A$2:$D$9,4,FALSE),0))</f>
        <v/>
      </c>
      <c r="O334" s="5" t="s">
        <v>530</v>
      </c>
      <c r="P334" s="5" t="s">
        <v>530</v>
      </c>
      <c r="Q334" s="5" t="s">
        <v>449</v>
      </c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  <c r="FS334" s="30"/>
      <c r="FT334" s="30"/>
      <c r="FU334" s="30"/>
      <c r="FV334" s="30"/>
      <c r="FW334" s="30"/>
      <c r="FX334" s="30"/>
      <c r="FY334" s="30"/>
      <c r="FZ334" s="30"/>
      <c r="GA334" s="30"/>
      <c r="GB334" s="30"/>
      <c r="GC334" s="30"/>
      <c r="GD334" s="30"/>
      <c r="GE334" s="30"/>
      <c r="GF334" s="30"/>
      <c r="GG334" s="30"/>
      <c r="GH334" s="30"/>
      <c r="GI334" s="30"/>
      <c r="GJ334" s="30"/>
      <c r="GK334" s="30"/>
      <c r="GL334" s="30"/>
      <c r="GM334" s="30"/>
      <c r="GN334" s="30"/>
      <c r="GO334" s="30"/>
      <c r="GP334" s="30"/>
      <c r="GQ334" s="30"/>
      <c r="GR334" s="30"/>
      <c r="GS334" s="30"/>
      <c r="GT334" s="30"/>
      <c r="GU334" s="30"/>
      <c r="GV334" s="30"/>
      <c r="GW334" s="30"/>
      <c r="GX334" s="30"/>
      <c r="GY334" s="30"/>
      <c r="GZ334" s="30"/>
      <c r="HA334" s="30"/>
      <c r="HB334" s="30"/>
      <c r="HC334" s="30"/>
      <c r="HD334" s="30"/>
      <c r="HE334" s="30"/>
      <c r="HF334" s="30"/>
      <c r="HG334" s="30"/>
      <c r="HH334" s="30"/>
      <c r="HI334" s="30"/>
      <c r="HJ334" s="30"/>
      <c r="HK334" s="30"/>
      <c r="HL334" s="30"/>
      <c r="HM334" s="30"/>
      <c r="HN334" s="30"/>
      <c r="HO334" s="30"/>
      <c r="HP334" s="30"/>
      <c r="HQ334" s="30"/>
      <c r="HR334" s="30"/>
      <c r="HS334" s="30"/>
      <c r="HT334" s="30"/>
      <c r="HU334" s="30"/>
      <c r="HV334" s="30"/>
      <c r="HW334" s="30"/>
      <c r="HX334" s="30"/>
      <c r="HY334" s="30"/>
      <c r="HZ334" s="30"/>
      <c r="IA334" s="30"/>
      <c r="IB334" s="30"/>
      <c r="IC334" s="30"/>
      <c r="ID334" s="30"/>
      <c r="IE334" s="30"/>
      <c r="IF334" s="30"/>
      <c r="IG334" s="30"/>
      <c r="IH334" s="30"/>
      <c r="II334" s="30"/>
      <c r="IJ334" s="30"/>
      <c r="IK334" s="30"/>
      <c r="IL334" s="30"/>
      <c r="IM334" s="30"/>
      <c r="IN334" s="30"/>
      <c r="IO334" s="30"/>
      <c r="IP334" s="30"/>
      <c r="IQ334" s="30"/>
      <c r="IR334" s="30"/>
      <c r="IS334" s="30"/>
      <c r="IT334" s="30"/>
      <c r="IU334" s="30"/>
      <c r="IV334" s="30"/>
      <c r="IW334" s="30"/>
      <c r="IX334" s="30"/>
      <c r="IY334" s="30"/>
      <c r="IZ334" s="30"/>
      <c r="JA334" s="30"/>
      <c r="JB334" s="30"/>
      <c r="JC334" s="30"/>
      <c r="JD334" s="30"/>
      <c r="JE334" s="30"/>
      <c r="JF334" s="30"/>
      <c r="JG334" s="30"/>
      <c r="JH334" s="30"/>
      <c r="JI334" s="30"/>
      <c r="JJ334" s="30"/>
      <c r="JK334" s="30"/>
      <c r="JL334" s="30"/>
      <c r="JM334" s="30"/>
      <c r="JN334" s="30"/>
      <c r="JO334" s="30"/>
      <c r="JP334" s="30"/>
      <c r="JQ334" s="30"/>
      <c r="JR334" s="30"/>
      <c r="JS334" s="30"/>
      <c r="JT334" s="30"/>
      <c r="JU334" s="30"/>
      <c r="JV334" s="30"/>
      <c r="JW334" s="30"/>
      <c r="JX334" s="30"/>
      <c r="JY334" s="30"/>
      <c r="JZ334" s="30"/>
      <c r="KA334" s="30"/>
      <c r="KB334" s="30"/>
      <c r="KC334" s="30"/>
      <c r="KD334" s="30"/>
      <c r="KE334" s="30"/>
      <c r="KF334" s="30"/>
      <c r="KG334" s="30"/>
      <c r="KH334" s="30"/>
      <c r="KI334" s="30"/>
      <c r="KJ334" s="30"/>
      <c r="KK334" s="30"/>
      <c r="KL334" s="30"/>
      <c r="KM334" s="30"/>
      <c r="KN334" s="30"/>
      <c r="KO334" s="30"/>
      <c r="KP334" s="30"/>
      <c r="KQ334" s="30"/>
      <c r="KR334" s="30"/>
      <c r="KS334" s="30"/>
      <c r="KT334" s="30"/>
      <c r="KU334" s="30"/>
      <c r="KV334" s="30"/>
      <c r="KW334" s="30"/>
      <c r="KX334" s="30"/>
      <c r="KY334" s="30"/>
      <c r="KZ334" s="30"/>
      <c r="LA334" s="30"/>
      <c r="LB334" s="30"/>
      <c r="LC334" s="30"/>
      <c r="LD334" s="30"/>
      <c r="LE334" s="30"/>
      <c r="LF334" s="30"/>
      <c r="LG334" s="30"/>
      <c r="LH334" s="30"/>
      <c r="LI334" s="30"/>
      <c r="LJ334" s="30"/>
      <c r="LK334" s="30"/>
      <c r="LL334" s="30"/>
      <c r="LM334" s="30"/>
      <c r="LN334" s="30"/>
      <c r="LO334" s="30"/>
      <c r="LP334" s="30"/>
      <c r="LQ334" s="30"/>
      <c r="LR334" s="30"/>
      <c r="LS334" s="30"/>
      <c r="LT334" s="30"/>
      <c r="LU334" s="30"/>
      <c r="LV334" s="30"/>
      <c r="LW334" s="30"/>
      <c r="LX334" s="30"/>
      <c r="LY334" s="30"/>
      <c r="LZ334" s="30"/>
      <c r="MA334" s="30"/>
      <c r="MB334" s="30"/>
      <c r="MC334" s="30"/>
      <c r="MD334" s="30"/>
      <c r="ME334" s="30"/>
      <c r="MF334" s="30"/>
      <c r="MG334" s="30"/>
      <c r="MH334" s="30"/>
      <c r="MI334" s="30"/>
      <c r="MJ334" s="30"/>
      <c r="MK334" s="30"/>
      <c r="ML334" s="30"/>
      <c r="MM334" s="30"/>
      <c r="MN334" s="30"/>
      <c r="MO334" s="30"/>
      <c r="MP334" s="30"/>
      <c r="MQ334" s="30"/>
      <c r="MR334" s="30"/>
      <c r="MS334" s="30"/>
      <c r="MT334" s="30"/>
      <c r="MU334" s="30"/>
      <c r="MV334" s="30"/>
      <c r="MW334" s="30"/>
      <c r="MX334" s="30"/>
      <c r="MY334" s="30"/>
      <c r="MZ334" s="30"/>
      <c r="NA334" s="30"/>
      <c r="NB334" s="30"/>
      <c r="NC334" s="30"/>
      <c r="ND334" s="30"/>
      <c r="NE334" s="30"/>
      <c r="NF334" s="30"/>
      <c r="NG334" s="30"/>
      <c r="NH334" s="30"/>
      <c r="NI334" s="30"/>
      <c r="NJ334" s="30"/>
      <c r="NK334" s="30"/>
      <c r="NL334" s="30"/>
      <c r="NM334" s="30"/>
      <c r="NN334" s="30"/>
      <c r="NO334" s="30"/>
      <c r="NP334" s="30"/>
      <c r="NQ334" s="30"/>
      <c r="NR334" s="30"/>
    </row>
    <row r="335" spans="1:382" s="3" customFormat="1" ht="20.100000000000001" customHeight="1" x14ac:dyDescent="0.4">
      <c r="A335" s="29">
        <v>16</v>
      </c>
      <c r="B335" s="5">
        <v>1300</v>
      </c>
      <c r="C335" s="5" t="s">
        <v>434</v>
      </c>
      <c r="D335" s="5" t="s">
        <v>435</v>
      </c>
      <c r="E335" s="5" t="s">
        <v>18</v>
      </c>
      <c r="F335" s="5" t="s">
        <v>32</v>
      </c>
      <c r="G335" s="5" t="s">
        <v>32</v>
      </c>
      <c r="H335" s="5" t="s">
        <v>32</v>
      </c>
      <c r="I335" s="8"/>
      <c r="J335" s="8"/>
      <c r="K335" s="8" t="str">
        <f>IF(OR(J335="",E335=""),"",J335+IFERROR(VLOOKUP(E335,リードタイム!$A$2:$C$9,3,FALSE),0))</f>
        <v/>
      </c>
      <c r="L335" s="5" t="s">
        <v>531</v>
      </c>
      <c r="M335" s="8"/>
      <c r="N335" s="8" t="str">
        <f>IF(OR(M335="",E335=""),"",M335+IFERROR(VLOOKUP(E335,リードタイム!$A$2:$D$9,4,FALSE),0))</f>
        <v/>
      </c>
      <c r="O335" s="5" t="s">
        <v>531</v>
      </c>
      <c r="P335" s="5" t="s">
        <v>533</v>
      </c>
      <c r="Q335" s="5" t="s">
        <v>32</v>
      </c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  <c r="FS335" s="30"/>
      <c r="FT335" s="30"/>
      <c r="FU335" s="30"/>
      <c r="FV335" s="30"/>
      <c r="FW335" s="30"/>
      <c r="FX335" s="30"/>
      <c r="FY335" s="30"/>
      <c r="FZ335" s="30"/>
      <c r="GA335" s="30"/>
      <c r="GB335" s="30"/>
      <c r="GC335" s="30"/>
      <c r="GD335" s="30"/>
      <c r="GE335" s="30"/>
      <c r="GF335" s="30"/>
      <c r="GG335" s="30"/>
      <c r="GH335" s="30"/>
      <c r="GI335" s="30"/>
      <c r="GJ335" s="30"/>
      <c r="GK335" s="30"/>
      <c r="GL335" s="30"/>
      <c r="GM335" s="30"/>
      <c r="GN335" s="30"/>
      <c r="GO335" s="30"/>
      <c r="GP335" s="30"/>
      <c r="GQ335" s="30"/>
      <c r="GR335" s="30"/>
      <c r="GS335" s="30"/>
      <c r="GT335" s="30"/>
      <c r="GU335" s="30"/>
      <c r="GV335" s="30"/>
      <c r="GW335" s="30"/>
      <c r="GX335" s="30"/>
      <c r="GY335" s="30"/>
      <c r="GZ335" s="30"/>
      <c r="HA335" s="30"/>
      <c r="HB335" s="30"/>
      <c r="HC335" s="30"/>
      <c r="HD335" s="30"/>
      <c r="HE335" s="30"/>
      <c r="HF335" s="30"/>
      <c r="HG335" s="30"/>
      <c r="HH335" s="30"/>
      <c r="HI335" s="30"/>
      <c r="HJ335" s="30"/>
      <c r="HK335" s="30"/>
      <c r="HL335" s="30"/>
      <c r="HM335" s="30"/>
      <c r="HN335" s="30"/>
      <c r="HO335" s="30"/>
      <c r="HP335" s="30"/>
      <c r="HQ335" s="30"/>
      <c r="HR335" s="30"/>
      <c r="HS335" s="30"/>
      <c r="HT335" s="30"/>
      <c r="HU335" s="30"/>
      <c r="HV335" s="30"/>
      <c r="HW335" s="30"/>
      <c r="HX335" s="30"/>
      <c r="HY335" s="30"/>
      <c r="HZ335" s="30"/>
      <c r="IA335" s="30"/>
      <c r="IB335" s="30"/>
      <c r="IC335" s="30"/>
      <c r="ID335" s="30"/>
      <c r="IE335" s="30"/>
      <c r="IF335" s="30"/>
      <c r="IG335" s="30"/>
      <c r="IH335" s="30"/>
      <c r="II335" s="30"/>
      <c r="IJ335" s="30"/>
      <c r="IK335" s="30"/>
      <c r="IL335" s="30"/>
      <c r="IM335" s="30"/>
      <c r="IN335" s="30"/>
      <c r="IO335" s="30"/>
      <c r="IP335" s="30"/>
      <c r="IQ335" s="30"/>
      <c r="IR335" s="30"/>
      <c r="IS335" s="30"/>
      <c r="IT335" s="30"/>
      <c r="IU335" s="30"/>
      <c r="IV335" s="30"/>
      <c r="IW335" s="30"/>
      <c r="IX335" s="30"/>
      <c r="IY335" s="30"/>
      <c r="IZ335" s="30"/>
      <c r="JA335" s="30"/>
      <c r="JB335" s="30"/>
      <c r="JC335" s="30"/>
      <c r="JD335" s="30"/>
      <c r="JE335" s="30"/>
      <c r="JF335" s="30"/>
      <c r="JG335" s="30"/>
      <c r="JH335" s="30"/>
      <c r="JI335" s="30"/>
      <c r="JJ335" s="30"/>
      <c r="JK335" s="30"/>
      <c r="JL335" s="30"/>
      <c r="JM335" s="30"/>
      <c r="JN335" s="30"/>
      <c r="JO335" s="30"/>
      <c r="JP335" s="30"/>
      <c r="JQ335" s="30"/>
      <c r="JR335" s="30"/>
      <c r="JS335" s="30"/>
      <c r="JT335" s="30"/>
      <c r="JU335" s="30"/>
      <c r="JV335" s="30"/>
      <c r="JW335" s="30"/>
      <c r="JX335" s="30"/>
      <c r="JY335" s="30"/>
      <c r="JZ335" s="30"/>
      <c r="KA335" s="30"/>
      <c r="KB335" s="30"/>
      <c r="KC335" s="30"/>
      <c r="KD335" s="30"/>
      <c r="KE335" s="30"/>
      <c r="KF335" s="30"/>
      <c r="KG335" s="30"/>
      <c r="KH335" s="30"/>
      <c r="KI335" s="30"/>
      <c r="KJ335" s="30"/>
      <c r="KK335" s="30"/>
      <c r="KL335" s="30"/>
      <c r="KM335" s="30"/>
      <c r="KN335" s="30"/>
      <c r="KO335" s="30"/>
      <c r="KP335" s="30"/>
      <c r="KQ335" s="30"/>
      <c r="KR335" s="30"/>
      <c r="KS335" s="30"/>
      <c r="KT335" s="30"/>
      <c r="KU335" s="30"/>
      <c r="KV335" s="30"/>
      <c r="KW335" s="30"/>
      <c r="KX335" s="30"/>
      <c r="KY335" s="30"/>
      <c r="KZ335" s="30"/>
      <c r="LA335" s="30"/>
      <c r="LB335" s="30"/>
      <c r="LC335" s="30"/>
      <c r="LD335" s="30"/>
      <c r="LE335" s="30"/>
      <c r="LF335" s="30"/>
      <c r="LG335" s="30"/>
      <c r="LH335" s="30"/>
      <c r="LI335" s="30"/>
      <c r="LJ335" s="30"/>
      <c r="LK335" s="30"/>
      <c r="LL335" s="30"/>
      <c r="LM335" s="30"/>
      <c r="LN335" s="30"/>
      <c r="LO335" s="30"/>
      <c r="LP335" s="30"/>
      <c r="LQ335" s="30"/>
      <c r="LR335" s="30"/>
      <c r="LS335" s="30"/>
      <c r="LT335" s="30"/>
      <c r="LU335" s="30"/>
      <c r="LV335" s="30"/>
      <c r="LW335" s="30"/>
      <c r="LX335" s="30"/>
      <c r="LY335" s="30"/>
      <c r="LZ335" s="30"/>
      <c r="MA335" s="30"/>
      <c r="MB335" s="30"/>
      <c r="MC335" s="30"/>
      <c r="MD335" s="30"/>
      <c r="ME335" s="30"/>
      <c r="MF335" s="30"/>
      <c r="MG335" s="30"/>
      <c r="MH335" s="30"/>
      <c r="MI335" s="30"/>
      <c r="MJ335" s="30"/>
      <c r="MK335" s="30"/>
      <c r="ML335" s="30"/>
      <c r="MM335" s="30"/>
      <c r="MN335" s="30"/>
      <c r="MO335" s="30"/>
      <c r="MP335" s="30"/>
      <c r="MQ335" s="30"/>
      <c r="MR335" s="30"/>
      <c r="MS335" s="30"/>
      <c r="MT335" s="30"/>
      <c r="MU335" s="30"/>
      <c r="MV335" s="30"/>
      <c r="MW335" s="30"/>
      <c r="MX335" s="30"/>
      <c r="MY335" s="30"/>
      <c r="MZ335" s="30"/>
      <c r="NA335" s="30"/>
      <c r="NB335" s="30"/>
      <c r="NC335" s="30"/>
      <c r="ND335" s="30"/>
      <c r="NE335" s="30"/>
      <c r="NF335" s="30"/>
      <c r="NG335" s="30"/>
      <c r="NH335" s="30"/>
      <c r="NI335" s="30"/>
      <c r="NJ335" s="30"/>
      <c r="NK335" s="30"/>
      <c r="NL335" s="30"/>
      <c r="NM335" s="30"/>
      <c r="NN335" s="30"/>
      <c r="NO335" s="30"/>
      <c r="NP335" s="30"/>
      <c r="NQ335" s="30"/>
      <c r="NR335" s="30"/>
    </row>
    <row r="336" spans="1:382" s="3" customFormat="1" ht="20.100000000000001" customHeight="1" x14ac:dyDescent="0.4">
      <c r="A336" s="29">
        <v>17</v>
      </c>
      <c r="B336" s="5">
        <v>1300</v>
      </c>
      <c r="C336" s="5" t="s">
        <v>434</v>
      </c>
      <c r="D336" s="5" t="s">
        <v>435</v>
      </c>
      <c r="E336" s="5" t="s">
        <v>18</v>
      </c>
      <c r="F336" s="5" t="s">
        <v>32</v>
      </c>
      <c r="G336" s="5" t="s">
        <v>32</v>
      </c>
      <c r="H336" s="5" t="s">
        <v>32</v>
      </c>
      <c r="I336" s="8">
        <v>46092.625</v>
      </c>
      <c r="J336" s="8"/>
      <c r="K336" s="8" t="str">
        <f>IF(OR(J336="",E336=""),"",J336+IFERROR(VLOOKUP(E336,リードタイム!$A$2:$C$9,3,FALSE),0))</f>
        <v/>
      </c>
      <c r="L336" s="5" t="s">
        <v>531</v>
      </c>
      <c r="M336" s="8"/>
      <c r="N336" s="8" t="str">
        <f>IF(OR(M336="",E336=""),"",M336+IFERROR(VLOOKUP(E336,リードタイム!$A$2:$D$9,4,FALSE),0))</f>
        <v/>
      </c>
      <c r="O336" s="5" t="s">
        <v>531</v>
      </c>
      <c r="P336" s="5" t="s">
        <v>532</v>
      </c>
      <c r="Q336" s="5" t="s">
        <v>32</v>
      </c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  <c r="FS336" s="30"/>
      <c r="FT336" s="30"/>
      <c r="FU336" s="30"/>
      <c r="FV336" s="30"/>
      <c r="FW336" s="30"/>
      <c r="FX336" s="30"/>
      <c r="FY336" s="30"/>
      <c r="FZ336" s="30"/>
      <c r="GA336" s="30"/>
      <c r="GB336" s="30"/>
      <c r="GC336" s="30"/>
      <c r="GD336" s="30"/>
      <c r="GE336" s="30"/>
      <c r="GF336" s="30"/>
      <c r="GG336" s="30"/>
      <c r="GH336" s="30"/>
      <c r="GI336" s="30"/>
      <c r="GJ336" s="30"/>
      <c r="GK336" s="30"/>
      <c r="GL336" s="30"/>
      <c r="GM336" s="30"/>
      <c r="GN336" s="30"/>
      <c r="GO336" s="30"/>
      <c r="GP336" s="30"/>
      <c r="GQ336" s="30"/>
      <c r="GR336" s="30"/>
      <c r="GS336" s="30"/>
      <c r="GT336" s="30"/>
      <c r="GU336" s="30"/>
      <c r="GV336" s="30"/>
      <c r="GW336" s="30"/>
      <c r="GX336" s="30"/>
      <c r="GY336" s="30"/>
      <c r="GZ336" s="30"/>
      <c r="HA336" s="30"/>
      <c r="HB336" s="30"/>
      <c r="HC336" s="30"/>
      <c r="HD336" s="30"/>
      <c r="HE336" s="30"/>
      <c r="HF336" s="30"/>
      <c r="HG336" s="30"/>
      <c r="HH336" s="30"/>
      <c r="HI336" s="30"/>
      <c r="HJ336" s="30"/>
      <c r="HK336" s="30"/>
      <c r="HL336" s="30"/>
      <c r="HM336" s="30"/>
      <c r="HN336" s="30"/>
      <c r="HO336" s="30"/>
      <c r="HP336" s="30"/>
      <c r="HQ336" s="30"/>
      <c r="HR336" s="30"/>
      <c r="HS336" s="30"/>
      <c r="HT336" s="30"/>
      <c r="HU336" s="30"/>
      <c r="HV336" s="30"/>
      <c r="HW336" s="30"/>
      <c r="HX336" s="30"/>
      <c r="HY336" s="30"/>
      <c r="HZ336" s="30"/>
      <c r="IA336" s="30"/>
      <c r="IB336" s="30"/>
      <c r="IC336" s="30"/>
      <c r="ID336" s="30"/>
      <c r="IE336" s="30"/>
      <c r="IF336" s="30"/>
      <c r="IG336" s="30"/>
      <c r="IH336" s="30"/>
      <c r="II336" s="30"/>
      <c r="IJ336" s="30"/>
      <c r="IK336" s="30"/>
      <c r="IL336" s="30"/>
      <c r="IM336" s="30"/>
      <c r="IN336" s="30"/>
      <c r="IO336" s="30"/>
      <c r="IP336" s="30"/>
      <c r="IQ336" s="30"/>
      <c r="IR336" s="30"/>
      <c r="IS336" s="30"/>
      <c r="IT336" s="30"/>
      <c r="IU336" s="30"/>
      <c r="IV336" s="30"/>
      <c r="IW336" s="30"/>
      <c r="IX336" s="30"/>
      <c r="IY336" s="30"/>
      <c r="IZ336" s="30"/>
      <c r="JA336" s="30"/>
      <c r="JB336" s="30"/>
      <c r="JC336" s="30"/>
      <c r="JD336" s="30"/>
      <c r="JE336" s="30"/>
      <c r="JF336" s="30"/>
      <c r="JG336" s="30"/>
      <c r="JH336" s="30"/>
      <c r="JI336" s="30"/>
      <c r="JJ336" s="30"/>
      <c r="JK336" s="30"/>
      <c r="JL336" s="30"/>
      <c r="JM336" s="30"/>
      <c r="JN336" s="30"/>
      <c r="JO336" s="30"/>
      <c r="JP336" s="30"/>
      <c r="JQ336" s="30"/>
      <c r="JR336" s="30"/>
      <c r="JS336" s="30"/>
      <c r="JT336" s="30"/>
      <c r="JU336" s="30"/>
      <c r="JV336" s="30"/>
      <c r="JW336" s="30"/>
      <c r="JX336" s="30"/>
      <c r="JY336" s="30"/>
      <c r="JZ336" s="30"/>
      <c r="KA336" s="30"/>
      <c r="KB336" s="30"/>
      <c r="KC336" s="30"/>
      <c r="KD336" s="30"/>
      <c r="KE336" s="30"/>
      <c r="KF336" s="30"/>
      <c r="KG336" s="30"/>
      <c r="KH336" s="30"/>
      <c r="KI336" s="30"/>
      <c r="KJ336" s="30"/>
      <c r="KK336" s="30"/>
      <c r="KL336" s="30"/>
      <c r="KM336" s="30"/>
      <c r="KN336" s="30"/>
      <c r="KO336" s="30"/>
      <c r="KP336" s="30"/>
      <c r="KQ336" s="30"/>
      <c r="KR336" s="30"/>
      <c r="KS336" s="30"/>
      <c r="KT336" s="30"/>
      <c r="KU336" s="30"/>
      <c r="KV336" s="30"/>
      <c r="KW336" s="30"/>
      <c r="KX336" s="30"/>
      <c r="KY336" s="30"/>
      <c r="KZ336" s="30"/>
      <c r="LA336" s="30"/>
      <c r="LB336" s="30"/>
      <c r="LC336" s="30"/>
      <c r="LD336" s="30"/>
      <c r="LE336" s="30"/>
      <c r="LF336" s="30"/>
      <c r="LG336" s="30"/>
      <c r="LH336" s="30"/>
      <c r="LI336" s="30"/>
      <c r="LJ336" s="30"/>
      <c r="LK336" s="30"/>
      <c r="LL336" s="30"/>
      <c r="LM336" s="30"/>
      <c r="LN336" s="30"/>
      <c r="LO336" s="30"/>
      <c r="LP336" s="30"/>
      <c r="LQ336" s="30"/>
      <c r="LR336" s="30"/>
      <c r="LS336" s="30"/>
      <c r="LT336" s="30"/>
      <c r="LU336" s="30"/>
      <c r="LV336" s="30"/>
      <c r="LW336" s="30"/>
      <c r="LX336" s="30"/>
      <c r="LY336" s="30"/>
      <c r="LZ336" s="30"/>
      <c r="MA336" s="30"/>
      <c r="MB336" s="30"/>
      <c r="MC336" s="30"/>
      <c r="MD336" s="30"/>
      <c r="ME336" s="30"/>
      <c r="MF336" s="30"/>
      <c r="MG336" s="30"/>
      <c r="MH336" s="30"/>
      <c r="MI336" s="30"/>
      <c r="MJ336" s="30"/>
      <c r="MK336" s="30"/>
      <c r="ML336" s="30"/>
      <c r="MM336" s="30"/>
      <c r="MN336" s="30"/>
      <c r="MO336" s="30"/>
      <c r="MP336" s="30"/>
      <c r="MQ336" s="30"/>
      <c r="MR336" s="30"/>
      <c r="MS336" s="30"/>
      <c r="MT336" s="30"/>
      <c r="MU336" s="30"/>
      <c r="MV336" s="30"/>
      <c r="MW336" s="30"/>
      <c r="MX336" s="30"/>
      <c r="MY336" s="30"/>
      <c r="MZ336" s="30"/>
      <c r="NA336" s="30"/>
      <c r="NB336" s="30"/>
      <c r="NC336" s="30"/>
      <c r="ND336" s="30"/>
      <c r="NE336" s="30"/>
      <c r="NF336" s="30"/>
      <c r="NG336" s="30"/>
      <c r="NH336" s="30"/>
      <c r="NI336" s="30"/>
      <c r="NJ336" s="30"/>
      <c r="NK336" s="30"/>
      <c r="NL336" s="30"/>
      <c r="NM336" s="30"/>
      <c r="NN336" s="30"/>
      <c r="NO336" s="30"/>
      <c r="NP336" s="30"/>
      <c r="NQ336" s="30"/>
      <c r="NR336" s="30"/>
    </row>
    <row r="337" spans="1:382" s="3" customFormat="1" ht="20.100000000000001" customHeight="1" x14ac:dyDescent="0.4">
      <c r="A337" s="29">
        <v>18</v>
      </c>
      <c r="B337" s="5">
        <v>1744</v>
      </c>
      <c r="C337" s="5" t="s">
        <v>434</v>
      </c>
      <c r="D337" s="5" t="s">
        <v>450</v>
      </c>
      <c r="E337" s="5" t="s">
        <v>18</v>
      </c>
      <c r="F337" s="5" t="s">
        <v>32</v>
      </c>
      <c r="G337" s="5" t="s">
        <v>32</v>
      </c>
      <c r="H337" s="5" t="s">
        <v>32</v>
      </c>
      <c r="I337" s="8"/>
      <c r="J337" s="8"/>
      <c r="K337" s="8" t="str">
        <f>IF(OR(J337="",E337=""),"",J337+IFERROR(VLOOKUP(E337,リードタイム!$A$2:$C$9,3,FALSE),0))</f>
        <v/>
      </c>
      <c r="L337" s="5" t="s">
        <v>530</v>
      </c>
      <c r="M337" s="8"/>
      <c r="N337" s="8" t="str">
        <f>IF(OR(M337="",E337=""),"",M337+IFERROR(VLOOKUP(E337,リードタイム!$A$2:$D$9,4,FALSE),0))</f>
        <v/>
      </c>
      <c r="O337" s="5" t="s">
        <v>530</v>
      </c>
      <c r="P337" s="5" t="s">
        <v>530</v>
      </c>
      <c r="Q337" s="5" t="s">
        <v>32</v>
      </c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  <c r="FS337" s="30"/>
      <c r="FT337" s="30"/>
      <c r="FU337" s="30"/>
      <c r="FV337" s="30"/>
      <c r="FW337" s="30"/>
      <c r="FX337" s="30"/>
      <c r="FY337" s="30"/>
      <c r="FZ337" s="30"/>
      <c r="GA337" s="30"/>
      <c r="GB337" s="30"/>
      <c r="GC337" s="30"/>
      <c r="GD337" s="30"/>
      <c r="GE337" s="30"/>
      <c r="GF337" s="30"/>
      <c r="GG337" s="30"/>
      <c r="GH337" s="30"/>
      <c r="GI337" s="30"/>
      <c r="GJ337" s="30"/>
      <c r="GK337" s="30"/>
      <c r="GL337" s="30"/>
      <c r="GM337" s="30"/>
      <c r="GN337" s="30"/>
      <c r="GO337" s="30"/>
      <c r="GP337" s="30"/>
      <c r="GQ337" s="30"/>
      <c r="GR337" s="30"/>
      <c r="GS337" s="30"/>
      <c r="GT337" s="30"/>
      <c r="GU337" s="30"/>
      <c r="GV337" s="30"/>
      <c r="GW337" s="30"/>
      <c r="GX337" s="30"/>
      <c r="GY337" s="30"/>
      <c r="GZ337" s="30"/>
      <c r="HA337" s="30"/>
      <c r="HB337" s="30"/>
      <c r="HC337" s="30"/>
      <c r="HD337" s="30"/>
      <c r="HE337" s="30"/>
      <c r="HF337" s="30"/>
      <c r="HG337" s="30"/>
      <c r="HH337" s="30"/>
      <c r="HI337" s="30"/>
      <c r="HJ337" s="30"/>
      <c r="HK337" s="30"/>
      <c r="HL337" s="30"/>
      <c r="HM337" s="30"/>
      <c r="HN337" s="30"/>
      <c r="HO337" s="30"/>
      <c r="HP337" s="30"/>
      <c r="HQ337" s="30"/>
      <c r="HR337" s="30"/>
      <c r="HS337" s="30"/>
      <c r="HT337" s="30"/>
      <c r="HU337" s="30"/>
      <c r="HV337" s="30"/>
      <c r="HW337" s="30"/>
      <c r="HX337" s="30"/>
      <c r="HY337" s="30"/>
      <c r="HZ337" s="30"/>
      <c r="IA337" s="30"/>
      <c r="IB337" s="30"/>
      <c r="IC337" s="30"/>
      <c r="ID337" s="30"/>
      <c r="IE337" s="30"/>
      <c r="IF337" s="30"/>
      <c r="IG337" s="30"/>
      <c r="IH337" s="30"/>
      <c r="II337" s="30"/>
      <c r="IJ337" s="30"/>
      <c r="IK337" s="30"/>
      <c r="IL337" s="30"/>
      <c r="IM337" s="30"/>
      <c r="IN337" s="30"/>
      <c r="IO337" s="30"/>
      <c r="IP337" s="30"/>
      <c r="IQ337" s="30"/>
      <c r="IR337" s="30"/>
      <c r="IS337" s="30"/>
      <c r="IT337" s="30"/>
      <c r="IU337" s="30"/>
      <c r="IV337" s="30"/>
      <c r="IW337" s="30"/>
      <c r="IX337" s="30"/>
      <c r="IY337" s="30"/>
      <c r="IZ337" s="30"/>
      <c r="JA337" s="30"/>
      <c r="JB337" s="30"/>
      <c r="JC337" s="30"/>
      <c r="JD337" s="30"/>
      <c r="JE337" s="30"/>
      <c r="JF337" s="30"/>
      <c r="JG337" s="30"/>
      <c r="JH337" s="30"/>
      <c r="JI337" s="30"/>
      <c r="JJ337" s="30"/>
      <c r="JK337" s="30"/>
      <c r="JL337" s="30"/>
      <c r="JM337" s="30"/>
      <c r="JN337" s="30"/>
      <c r="JO337" s="30"/>
      <c r="JP337" s="30"/>
      <c r="JQ337" s="30"/>
      <c r="JR337" s="30"/>
      <c r="JS337" s="30"/>
      <c r="JT337" s="30"/>
      <c r="JU337" s="30"/>
      <c r="JV337" s="30"/>
      <c r="JW337" s="30"/>
      <c r="JX337" s="30"/>
      <c r="JY337" s="30"/>
      <c r="JZ337" s="30"/>
      <c r="KA337" s="30"/>
      <c r="KB337" s="30"/>
      <c r="KC337" s="30"/>
      <c r="KD337" s="30"/>
      <c r="KE337" s="30"/>
      <c r="KF337" s="30"/>
      <c r="KG337" s="30"/>
      <c r="KH337" s="30"/>
      <c r="KI337" s="30"/>
      <c r="KJ337" s="30"/>
      <c r="KK337" s="30"/>
      <c r="KL337" s="30"/>
      <c r="KM337" s="30"/>
      <c r="KN337" s="30"/>
      <c r="KO337" s="30"/>
      <c r="KP337" s="30"/>
      <c r="KQ337" s="30"/>
      <c r="KR337" s="30"/>
      <c r="KS337" s="30"/>
      <c r="KT337" s="30"/>
      <c r="KU337" s="30"/>
      <c r="KV337" s="30"/>
      <c r="KW337" s="30"/>
      <c r="KX337" s="30"/>
      <c r="KY337" s="30"/>
      <c r="KZ337" s="30"/>
      <c r="LA337" s="30"/>
      <c r="LB337" s="30"/>
      <c r="LC337" s="30"/>
      <c r="LD337" s="30"/>
      <c r="LE337" s="30"/>
      <c r="LF337" s="30"/>
      <c r="LG337" s="30"/>
      <c r="LH337" s="30"/>
      <c r="LI337" s="30"/>
      <c r="LJ337" s="30"/>
      <c r="LK337" s="30"/>
      <c r="LL337" s="30"/>
      <c r="LM337" s="30"/>
      <c r="LN337" s="30"/>
      <c r="LO337" s="30"/>
      <c r="LP337" s="30"/>
      <c r="LQ337" s="30"/>
      <c r="LR337" s="30"/>
      <c r="LS337" s="30"/>
      <c r="LT337" s="30"/>
      <c r="LU337" s="30"/>
      <c r="LV337" s="30"/>
      <c r="LW337" s="30"/>
      <c r="LX337" s="30"/>
      <c r="LY337" s="30"/>
      <c r="LZ337" s="30"/>
      <c r="MA337" s="30"/>
      <c r="MB337" s="30"/>
      <c r="MC337" s="30"/>
      <c r="MD337" s="30"/>
      <c r="ME337" s="30"/>
      <c r="MF337" s="30"/>
      <c r="MG337" s="30"/>
      <c r="MH337" s="30"/>
      <c r="MI337" s="30"/>
      <c r="MJ337" s="30"/>
      <c r="MK337" s="30"/>
      <c r="ML337" s="30"/>
      <c r="MM337" s="30"/>
      <c r="MN337" s="30"/>
      <c r="MO337" s="30"/>
      <c r="MP337" s="30"/>
      <c r="MQ337" s="30"/>
      <c r="MR337" s="30"/>
      <c r="MS337" s="30"/>
      <c r="MT337" s="30"/>
      <c r="MU337" s="30"/>
      <c r="MV337" s="30"/>
      <c r="MW337" s="30"/>
      <c r="MX337" s="30"/>
      <c r="MY337" s="30"/>
      <c r="MZ337" s="30"/>
      <c r="NA337" s="30"/>
      <c r="NB337" s="30"/>
      <c r="NC337" s="30"/>
      <c r="ND337" s="30"/>
      <c r="NE337" s="30"/>
      <c r="NF337" s="30"/>
      <c r="NG337" s="30"/>
      <c r="NH337" s="30"/>
      <c r="NI337" s="30"/>
      <c r="NJ337" s="30"/>
      <c r="NK337" s="30"/>
      <c r="NL337" s="30"/>
      <c r="NM337" s="30"/>
      <c r="NN337" s="30"/>
      <c r="NO337" s="30"/>
      <c r="NP337" s="30"/>
      <c r="NQ337" s="30"/>
      <c r="NR337" s="30"/>
    </row>
    <row r="338" spans="1:382" s="3" customFormat="1" ht="20.100000000000001" customHeight="1" x14ac:dyDescent="0.4">
      <c r="A338" s="29">
        <v>19</v>
      </c>
      <c r="B338" s="5">
        <v>2002</v>
      </c>
      <c r="C338" s="5" t="s">
        <v>434</v>
      </c>
      <c r="D338" s="5" t="s">
        <v>451</v>
      </c>
      <c r="E338" s="5" t="s">
        <v>18</v>
      </c>
      <c r="F338" s="5" t="s">
        <v>32</v>
      </c>
      <c r="G338" s="5" t="s">
        <v>32</v>
      </c>
      <c r="H338" s="5" t="s">
        <v>32</v>
      </c>
      <c r="I338" s="8">
        <v>46126.625</v>
      </c>
      <c r="J338" s="8"/>
      <c r="K338" s="8" t="str">
        <f>IF(OR(J338="",E338=""),"",J338+IFERROR(VLOOKUP(E338,リードタイム!$A$2:$C$9,3,FALSE),0))</f>
        <v/>
      </c>
      <c r="L338" s="5" t="s">
        <v>531</v>
      </c>
      <c r="M338" s="8"/>
      <c r="N338" s="8" t="str">
        <f>IF(OR(M338="",E338=""),"",M338+IFERROR(VLOOKUP(E338,リードタイム!$A$2:$D$9,4,FALSE),0))</f>
        <v/>
      </c>
      <c r="O338" s="5" t="s">
        <v>531</v>
      </c>
      <c r="P338" s="5" t="s">
        <v>532</v>
      </c>
      <c r="Q338" s="5" t="s">
        <v>452</v>
      </c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  <c r="FS338" s="30"/>
      <c r="FT338" s="30"/>
      <c r="FU338" s="30"/>
      <c r="FV338" s="30"/>
      <c r="FW338" s="30"/>
      <c r="FX338" s="30"/>
      <c r="FY338" s="30"/>
      <c r="FZ338" s="30"/>
      <c r="GA338" s="30"/>
      <c r="GB338" s="30"/>
      <c r="GC338" s="30"/>
      <c r="GD338" s="30"/>
      <c r="GE338" s="30"/>
      <c r="GF338" s="30"/>
      <c r="GG338" s="30"/>
      <c r="GH338" s="30"/>
      <c r="GI338" s="30"/>
      <c r="GJ338" s="30"/>
      <c r="GK338" s="30"/>
      <c r="GL338" s="30"/>
      <c r="GM338" s="30"/>
      <c r="GN338" s="30"/>
      <c r="GO338" s="30"/>
      <c r="GP338" s="30"/>
      <c r="GQ338" s="30"/>
      <c r="GR338" s="30"/>
      <c r="GS338" s="30"/>
      <c r="GT338" s="30"/>
      <c r="GU338" s="30"/>
      <c r="GV338" s="30"/>
      <c r="GW338" s="30"/>
      <c r="GX338" s="30"/>
      <c r="GY338" s="30"/>
      <c r="GZ338" s="30"/>
      <c r="HA338" s="30"/>
      <c r="HB338" s="30"/>
      <c r="HC338" s="30"/>
      <c r="HD338" s="30"/>
      <c r="HE338" s="30"/>
      <c r="HF338" s="30"/>
      <c r="HG338" s="30"/>
      <c r="HH338" s="30"/>
      <c r="HI338" s="30"/>
      <c r="HJ338" s="30"/>
      <c r="HK338" s="30"/>
      <c r="HL338" s="30"/>
      <c r="HM338" s="30"/>
      <c r="HN338" s="30"/>
      <c r="HO338" s="30"/>
      <c r="HP338" s="30"/>
      <c r="HQ338" s="30"/>
      <c r="HR338" s="30"/>
      <c r="HS338" s="30"/>
      <c r="HT338" s="30"/>
      <c r="HU338" s="30"/>
      <c r="HV338" s="30"/>
      <c r="HW338" s="30"/>
      <c r="HX338" s="30"/>
      <c r="HY338" s="30"/>
      <c r="HZ338" s="30"/>
      <c r="IA338" s="30"/>
      <c r="IB338" s="30"/>
      <c r="IC338" s="30"/>
      <c r="ID338" s="30"/>
      <c r="IE338" s="30"/>
      <c r="IF338" s="30"/>
      <c r="IG338" s="30"/>
      <c r="IH338" s="30"/>
      <c r="II338" s="30"/>
      <c r="IJ338" s="30"/>
      <c r="IK338" s="30"/>
      <c r="IL338" s="30"/>
      <c r="IM338" s="30"/>
      <c r="IN338" s="30"/>
      <c r="IO338" s="30"/>
      <c r="IP338" s="30"/>
      <c r="IQ338" s="30"/>
      <c r="IR338" s="30"/>
      <c r="IS338" s="30"/>
      <c r="IT338" s="30"/>
      <c r="IU338" s="30"/>
      <c r="IV338" s="30"/>
      <c r="IW338" s="30"/>
      <c r="IX338" s="30"/>
      <c r="IY338" s="30"/>
      <c r="IZ338" s="30"/>
      <c r="JA338" s="30"/>
      <c r="JB338" s="30"/>
      <c r="JC338" s="30"/>
      <c r="JD338" s="30"/>
      <c r="JE338" s="30"/>
      <c r="JF338" s="30"/>
      <c r="JG338" s="30"/>
      <c r="JH338" s="30"/>
      <c r="JI338" s="30"/>
      <c r="JJ338" s="30"/>
      <c r="JK338" s="30"/>
      <c r="JL338" s="30"/>
      <c r="JM338" s="30"/>
      <c r="JN338" s="30"/>
      <c r="JO338" s="30"/>
      <c r="JP338" s="30"/>
      <c r="JQ338" s="30"/>
      <c r="JR338" s="30"/>
      <c r="JS338" s="30"/>
      <c r="JT338" s="30"/>
      <c r="JU338" s="30"/>
      <c r="JV338" s="30"/>
      <c r="JW338" s="30"/>
      <c r="JX338" s="30"/>
      <c r="JY338" s="30"/>
      <c r="JZ338" s="30"/>
      <c r="KA338" s="30"/>
      <c r="KB338" s="30"/>
      <c r="KC338" s="30"/>
      <c r="KD338" s="30"/>
      <c r="KE338" s="30"/>
      <c r="KF338" s="30"/>
      <c r="KG338" s="30"/>
      <c r="KH338" s="30"/>
      <c r="KI338" s="30"/>
      <c r="KJ338" s="30"/>
      <c r="KK338" s="30"/>
      <c r="KL338" s="30"/>
      <c r="KM338" s="30"/>
      <c r="KN338" s="30"/>
      <c r="KO338" s="30"/>
      <c r="KP338" s="30"/>
      <c r="KQ338" s="30"/>
      <c r="KR338" s="30"/>
      <c r="KS338" s="30"/>
      <c r="KT338" s="30"/>
      <c r="KU338" s="30"/>
      <c r="KV338" s="30"/>
      <c r="KW338" s="30"/>
      <c r="KX338" s="30"/>
      <c r="KY338" s="30"/>
      <c r="KZ338" s="30"/>
      <c r="LA338" s="30"/>
      <c r="LB338" s="30"/>
      <c r="LC338" s="30"/>
      <c r="LD338" s="30"/>
      <c r="LE338" s="30"/>
      <c r="LF338" s="30"/>
      <c r="LG338" s="30"/>
      <c r="LH338" s="30"/>
      <c r="LI338" s="30"/>
      <c r="LJ338" s="30"/>
      <c r="LK338" s="30"/>
      <c r="LL338" s="30"/>
      <c r="LM338" s="30"/>
      <c r="LN338" s="30"/>
      <c r="LO338" s="30"/>
      <c r="LP338" s="30"/>
      <c r="LQ338" s="30"/>
      <c r="LR338" s="30"/>
      <c r="LS338" s="30"/>
      <c r="LT338" s="30"/>
      <c r="LU338" s="30"/>
      <c r="LV338" s="30"/>
      <c r="LW338" s="30"/>
      <c r="LX338" s="30"/>
      <c r="LY338" s="30"/>
      <c r="LZ338" s="30"/>
      <c r="MA338" s="30"/>
      <c r="MB338" s="30"/>
      <c r="MC338" s="30"/>
      <c r="MD338" s="30"/>
      <c r="ME338" s="30"/>
      <c r="MF338" s="30"/>
      <c r="MG338" s="30"/>
      <c r="MH338" s="30"/>
      <c r="MI338" s="30"/>
      <c r="MJ338" s="30"/>
      <c r="MK338" s="30"/>
      <c r="ML338" s="30"/>
      <c r="MM338" s="30"/>
      <c r="MN338" s="30"/>
      <c r="MO338" s="30"/>
      <c r="MP338" s="30"/>
      <c r="MQ338" s="30"/>
      <c r="MR338" s="30"/>
      <c r="MS338" s="30"/>
      <c r="MT338" s="30"/>
      <c r="MU338" s="30"/>
      <c r="MV338" s="30"/>
      <c r="MW338" s="30"/>
      <c r="MX338" s="30"/>
      <c r="MY338" s="30"/>
      <c r="MZ338" s="30"/>
      <c r="NA338" s="30"/>
      <c r="NB338" s="30"/>
      <c r="NC338" s="30"/>
      <c r="ND338" s="30"/>
      <c r="NE338" s="30"/>
      <c r="NF338" s="30"/>
      <c r="NG338" s="30"/>
      <c r="NH338" s="30"/>
      <c r="NI338" s="30"/>
      <c r="NJ338" s="30"/>
      <c r="NK338" s="30"/>
      <c r="NL338" s="30"/>
      <c r="NM338" s="30"/>
      <c r="NN338" s="30"/>
      <c r="NO338" s="30"/>
      <c r="NP338" s="30"/>
      <c r="NQ338" s="30"/>
      <c r="NR338" s="30"/>
    </row>
    <row r="339" spans="1:382" s="3" customFormat="1" ht="20.100000000000001" customHeight="1" x14ac:dyDescent="0.4">
      <c r="A339" s="29">
        <v>1</v>
      </c>
      <c r="B339" s="5">
        <v>1895</v>
      </c>
      <c r="C339" s="5" t="s">
        <v>453</v>
      </c>
      <c r="D339" s="5" t="s">
        <v>105</v>
      </c>
      <c r="E339" s="5" t="s">
        <v>4</v>
      </c>
      <c r="F339" s="5" t="s">
        <v>32</v>
      </c>
      <c r="G339" s="5" t="s">
        <v>32</v>
      </c>
      <c r="H339" s="5" t="s">
        <v>32</v>
      </c>
      <c r="I339" s="8">
        <v>45929.625</v>
      </c>
      <c r="J339" s="8"/>
      <c r="K339" s="8" t="str">
        <f>IF(OR(J339="",E339=""),"",J339+IFERROR(VLOOKUP(E339,リードタイム!$A$2:$C$9,3,FALSE),0))</f>
        <v/>
      </c>
      <c r="L339" s="5" t="s">
        <v>531</v>
      </c>
      <c r="M339" s="8"/>
      <c r="N339" s="8" t="str">
        <f>IF(OR(M339="",E339=""),"",M339+IFERROR(VLOOKUP(E339,リードタイム!$A$2:$D$9,4,FALSE),0))</f>
        <v/>
      </c>
      <c r="O339" s="5" t="s">
        <v>531</v>
      </c>
      <c r="P339" s="5" t="s">
        <v>533</v>
      </c>
      <c r="Q339" s="5" t="s">
        <v>32</v>
      </c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  <c r="FS339" s="30"/>
      <c r="FT339" s="30"/>
      <c r="FU339" s="30"/>
      <c r="FV339" s="30"/>
      <c r="FW339" s="30"/>
      <c r="FX339" s="30"/>
      <c r="FY339" s="30"/>
      <c r="FZ339" s="30"/>
      <c r="GA339" s="30"/>
      <c r="GB339" s="30"/>
      <c r="GC339" s="30"/>
      <c r="GD339" s="30"/>
      <c r="GE339" s="30"/>
      <c r="GF339" s="30"/>
      <c r="GG339" s="30"/>
      <c r="GH339" s="30"/>
      <c r="GI339" s="30"/>
      <c r="GJ339" s="30"/>
      <c r="GK339" s="30"/>
      <c r="GL339" s="30"/>
      <c r="GM339" s="30"/>
      <c r="GN339" s="30"/>
      <c r="GO339" s="30"/>
      <c r="GP339" s="30"/>
      <c r="GQ339" s="30"/>
      <c r="GR339" s="30"/>
      <c r="GS339" s="30"/>
      <c r="GT339" s="30"/>
      <c r="GU339" s="30"/>
      <c r="GV339" s="30"/>
      <c r="GW339" s="30"/>
      <c r="GX339" s="30"/>
      <c r="GY339" s="30"/>
      <c r="GZ339" s="30"/>
      <c r="HA339" s="30"/>
      <c r="HB339" s="30"/>
      <c r="HC339" s="30"/>
      <c r="HD339" s="30"/>
      <c r="HE339" s="30"/>
      <c r="HF339" s="30"/>
      <c r="HG339" s="30"/>
      <c r="HH339" s="30"/>
      <c r="HI339" s="30"/>
      <c r="HJ339" s="30"/>
      <c r="HK339" s="30"/>
      <c r="HL339" s="30"/>
      <c r="HM339" s="30"/>
      <c r="HN339" s="30"/>
      <c r="HO339" s="30"/>
      <c r="HP339" s="30"/>
      <c r="HQ339" s="30"/>
      <c r="HR339" s="30"/>
      <c r="HS339" s="30"/>
      <c r="HT339" s="30"/>
      <c r="HU339" s="30"/>
      <c r="HV339" s="30"/>
      <c r="HW339" s="30"/>
      <c r="HX339" s="30"/>
      <c r="HY339" s="30"/>
      <c r="HZ339" s="30"/>
      <c r="IA339" s="30"/>
      <c r="IB339" s="30"/>
      <c r="IC339" s="30"/>
      <c r="ID339" s="30"/>
      <c r="IE339" s="30"/>
      <c r="IF339" s="30"/>
      <c r="IG339" s="30"/>
      <c r="IH339" s="30"/>
      <c r="II339" s="30"/>
      <c r="IJ339" s="30"/>
      <c r="IK339" s="30"/>
      <c r="IL339" s="30"/>
      <c r="IM339" s="30"/>
      <c r="IN339" s="30"/>
      <c r="IO339" s="30"/>
      <c r="IP339" s="30"/>
      <c r="IQ339" s="30"/>
      <c r="IR339" s="30"/>
      <c r="IS339" s="30"/>
      <c r="IT339" s="30"/>
      <c r="IU339" s="30"/>
      <c r="IV339" s="30"/>
      <c r="IW339" s="30"/>
      <c r="IX339" s="30"/>
      <c r="IY339" s="30"/>
      <c r="IZ339" s="30"/>
      <c r="JA339" s="30"/>
      <c r="JB339" s="30"/>
      <c r="JC339" s="30"/>
      <c r="JD339" s="30"/>
      <c r="JE339" s="30"/>
      <c r="JF339" s="30"/>
      <c r="JG339" s="30"/>
      <c r="JH339" s="30"/>
      <c r="JI339" s="30"/>
      <c r="JJ339" s="30"/>
      <c r="JK339" s="30"/>
      <c r="JL339" s="30"/>
      <c r="JM339" s="30"/>
      <c r="JN339" s="30"/>
      <c r="JO339" s="30"/>
      <c r="JP339" s="30"/>
      <c r="JQ339" s="30"/>
      <c r="JR339" s="30"/>
      <c r="JS339" s="30"/>
      <c r="JT339" s="30"/>
      <c r="JU339" s="30"/>
      <c r="JV339" s="30"/>
      <c r="JW339" s="30"/>
      <c r="JX339" s="30"/>
      <c r="JY339" s="30"/>
      <c r="JZ339" s="30"/>
      <c r="KA339" s="30"/>
      <c r="KB339" s="30"/>
      <c r="KC339" s="30"/>
      <c r="KD339" s="30"/>
      <c r="KE339" s="30"/>
      <c r="KF339" s="30"/>
      <c r="KG339" s="30"/>
      <c r="KH339" s="30"/>
      <c r="KI339" s="30"/>
      <c r="KJ339" s="30"/>
      <c r="KK339" s="30"/>
      <c r="KL339" s="30"/>
      <c r="KM339" s="30"/>
      <c r="KN339" s="30"/>
      <c r="KO339" s="30"/>
      <c r="KP339" s="30"/>
      <c r="KQ339" s="30"/>
      <c r="KR339" s="30"/>
      <c r="KS339" s="30"/>
      <c r="KT339" s="30"/>
      <c r="KU339" s="30"/>
      <c r="KV339" s="30"/>
      <c r="KW339" s="30"/>
      <c r="KX339" s="30"/>
      <c r="KY339" s="30"/>
      <c r="KZ339" s="30"/>
      <c r="LA339" s="30"/>
      <c r="LB339" s="30"/>
      <c r="LC339" s="30"/>
      <c r="LD339" s="30"/>
      <c r="LE339" s="30"/>
      <c r="LF339" s="30"/>
      <c r="LG339" s="30"/>
      <c r="LH339" s="30"/>
      <c r="LI339" s="30"/>
      <c r="LJ339" s="30"/>
      <c r="LK339" s="30"/>
      <c r="LL339" s="30"/>
      <c r="LM339" s="30"/>
      <c r="LN339" s="30"/>
      <c r="LO339" s="30"/>
      <c r="LP339" s="30"/>
      <c r="LQ339" s="30"/>
      <c r="LR339" s="30"/>
      <c r="LS339" s="30"/>
      <c r="LT339" s="30"/>
      <c r="LU339" s="30"/>
      <c r="LV339" s="30"/>
      <c r="LW339" s="30"/>
      <c r="LX339" s="30"/>
      <c r="LY339" s="30"/>
      <c r="LZ339" s="30"/>
      <c r="MA339" s="30"/>
      <c r="MB339" s="30"/>
      <c r="MC339" s="30"/>
      <c r="MD339" s="30"/>
      <c r="ME339" s="30"/>
      <c r="MF339" s="30"/>
      <c r="MG339" s="30"/>
      <c r="MH339" s="30"/>
      <c r="MI339" s="30"/>
      <c r="MJ339" s="30"/>
      <c r="MK339" s="30"/>
      <c r="ML339" s="30"/>
      <c r="MM339" s="30"/>
      <c r="MN339" s="30"/>
      <c r="MO339" s="30"/>
      <c r="MP339" s="30"/>
      <c r="MQ339" s="30"/>
      <c r="MR339" s="30"/>
      <c r="MS339" s="30"/>
      <c r="MT339" s="30"/>
      <c r="MU339" s="30"/>
      <c r="MV339" s="30"/>
      <c r="MW339" s="30"/>
      <c r="MX339" s="30"/>
      <c r="MY339" s="30"/>
      <c r="MZ339" s="30"/>
      <c r="NA339" s="30"/>
      <c r="NB339" s="30"/>
      <c r="NC339" s="30"/>
      <c r="ND339" s="30"/>
      <c r="NE339" s="30"/>
      <c r="NF339" s="30"/>
      <c r="NG339" s="30"/>
      <c r="NH339" s="30"/>
      <c r="NI339" s="30"/>
      <c r="NJ339" s="30"/>
      <c r="NK339" s="30"/>
      <c r="NL339" s="30"/>
      <c r="NM339" s="30"/>
      <c r="NN339" s="30"/>
      <c r="NO339" s="30"/>
      <c r="NP339" s="30"/>
      <c r="NQ339" s="30"/>
      <c r="NR339" s="30"/>
    </row>
    <row r="340" spans="1:382" s="3" customFormat="1" ht="20.100000000000001" customHeight="1" x14ac:dyDescent="0.4">
      <c r="A340" s="29">
        <v>2</v>
      </c>
      <c r="B340" s="5">
        <v>1896</v>
      </c>
      <c r="C340" s="5" t="s">
        <v>453</v>
      </c>
      <c r="D340" s="5" t="s">
        <v>168</v>
      </c>
      <c r="E340" s="5" t="s">
        <v>10</v>
      </c>
      <c r="F340" s="5" t="s">
        <v>32</v>
      </c>
      <c r="G340" s="5" t="s">
        <v>32</v>
      </c>
      <c r="H340" s="5" t="s">
        <v>32</v>
      </c>
      <c r="I340" s="8">
        <v>45929.625</v>
      </c>
      <c r="J340" s="8"/>
      <c r="K340" s="8" t="str">
        <f>IF(OR(J340="",E340=""),"",J340+IFERROR(VLOOKUP(E340,リードタイム!$A$2:$C$9,3,FALSE),0))</f>
        <v/>
      </c>
      <c r="L340" s="5" t="s">
        <v>531</v>
      </c>
      <c r="M340" s="8"/>
      <c r="N340" s="8" t="str">
        <f>IF(OR(M340="",E340=""),"",M340+IFERROR(VLOOKUP(E340,リードタイム!$A$2:$D$9,4,FALSE),0))</f>
        <v/>
      </c>
      <c r="O340" s="5" t="s">
        <v>531</v>
      </c>
      <c r="P340" s="5" t="s">
        <v>533</v>
      </c>
      <c r="Q340" s="5" t="s">
        <v>32</v>
      </c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  <c r="FS340" s="30"/>
      <c r="FT340" s="30"/>
      <c r="FU340" s="30"/>
      <c r="FV340" s="30"/>
      <c r="FW340" s="30"/>
      <c r="FX340" s="30"/>
      <c r="FY340" s="30"/>
      <c r="FZ340" s="30"/>
      <c r="GA340" s="30"/>
      <c r="GB340" s="30"/>
      <c r="GC340" s="30"/>
      <c r="GD340" s="30"/>
      <c r="GE340" s="30"/>
      <c r="GF340" s="30"/>
      <c r="GG340" s="30"/>
      <c r="GH340" s="30"/>
      <c r="GI340" s="30"/>
      <c r="GJ340" s="30"/>
      <c r="GK340" s="30"/>
      <c r="GL340" s="30"/>
      <c r="GM340" s="30"/>
      <c r="GN340" s="30"/>
      <c r="GO340" s="30"/>
      <c r="GP340" s="30"/>
      <c r="GQ340" s="30"/>
      <c r="GR340" s="30"/>
      <c r="GS340" s="30"/>
      <c r="GT340" s="30"/>
      <c r="GU340" s="30"/>
      <c r="GV340" s="30"/>
      <c r="GW340" s="30"/>
      <c r="GX340" s="30"/>
      <c r="GY340" s="30"/>
      <c r="GZ340" s="30"/>
      <c r="HA340" s="30"/>
      <c r="HB340" s="30"/>
      <c r="HC340" s="30"/>
      <c r="HD340" s="30"/>
      <c r="HE340" s="30"/>
      <c r="HF340" s="30"/>
      <c r="HG340" s="30"/>
      <c r="HH340" s="30"/>
      <c r="HI340" s="30"/>
      <c r="HJ340" s="30"/>
      <c r="HK340" s="30"/>
      <c r="HL340" s="30"/>
      <c r="HM340" s="30"/>
      <c r="HN340" s="30"/>
      <c r="HO340" s="30"/>
      <c r="HP340" s="30"/>
      <c r="HQ340" s="30"/>
      <c r="HR340" s="30"/>
      <c r="HS340" s="30"/>
      <c r="HT340" s="30"/>
      <c r="HU340" s="30"/>
      <c r="HV340" s="30"/>
      <c r="HW340" s="30"/>
      <c r="HX340" s="30"/>
      <c r="HY340" s="30"/>
      <c r="HZ340" s="30"/>
      <c r="IA340" s="30"/>
      <c r="IB340" s="30"/>
      <c r="IC340" s="30"/>
      <c r="ID340" s="30"/>
      <c r="IE340" s="30"/>
      <c r="IF340" s="30"/>
      <c r="IG340" s="30"/>
      <c r="IH340" s="30"/>
      <c r="II340" s="30"/>
      <c r="IJ340" s="30"/>
      <c r="IK340" s="30"/>
      <c r="IL340" s="30"/>
      <c r="IM340" s="30"/>
      <c r="IN340" s="30"/>
      <c r="IO340" s="30"/>
      <c r="IP340" s="30"/>
      <c r="IQ340" s="30"/>
      <c r="IR340" s="30"/>
      <c r="IS340" s="30"/>
      <c r="IT340" s="30"/>
      <c r="IU340" s="30"/>
      <c r="IV340" s="30"/>
      <c r="IW340" s="30"/>
      <c r="IX340" s="30"/>
      <c r="IY340" s="30"/>
      <c r="IZ340" s="30"/>
      <c r="JA340" s="30"/>
      <c r="JB340" s="30"/>
      <c r="JC340" s="30"/>
      <c r="JD340" s="30"/>
      <c r="JE340" s="30"/>
      <c r="JF340" s="30"/>
      <c r="JG340" s="30"/>
      <c r="JH340" s="30"/>
      <c r="JI340" s="30"/>
      <c r="JJ340" s="30"/>
      <c r="JK340" s="30"/>
      <c r="JL340" s="30"/>
      <c r="JM340" s="30"/>
      <c r="JN340" s="30"/>
      <c r="JO340" s="30"/>
      <c r="JP340" s="30"/>
      <c r="JQ340" s="30"/>
      <c r="JR340" s="30"/>
      <c r="JS340" s="30"/>
      <c r="JT340" s="30"/>
      <c r="JU340" s="30"/>
      <c r="JV340" s="30"/>
      <c r="JW340" s="30"/>
      <c r="JX340" s="30"/>
      <c r="JY340" s="30"/>
      <c r="JZ340" s="30"/>
      <c r="KA340" s="30"/>
      <c r="KB340" s="30"/>
      <c r="KC340" s="30"/>
      <c r="KD340" s="30"/>
      <c r="KE340" s="30"/>
      <c r="KF340" s="30"/>
      <c r="KG340" s="30"/>
      <c r="KH340" s="30"/>
      <c r="KI340" s="30"/>
      <c r="KJ340" s="30"/>
      <c r="KK340" s="30"/>
      <c r="KL340" s="30"/>
      <c r="KM340" s="30"/>
      <c r="KN340" s="30"/>
      <c r="KO340" s="30"/>
      <c r="KP340" s="30"/>
      <c r="KQ340" s="30"/>
      <c r="KR340" s="30"/>
      <c r="KS340" s="30"/>
      <c r="KT340" s="30"/>
      <c r="KU340" s="30"/>
      <c r="KV340" s="30"/>
      <c r="KW340" s="30"/>
      <c r="KX340" s="30"/>
      <c r="KY340" s="30"/>
      <c r="KZ340" s="30"/>
      <c r="LA340" s="30"/>
      <c r="LB340" s="30"/>
      <c r="LC340" s="30"/>
      <c r="LD340" s="30"/>
      <c r="LE340" s="30"/>
      <c r="LF340" s="30"/>
      <c r="LG340" s="30"/>
      <c r="LH340" s="30"/>
      <c r="LI340" s="30"/>
      <c r="LJ340" s="30"/>
      <c r="LK340" s="30"/>
      <c r="LL340" s="30"/>
      <c r="LM340" s="30"/>
      <c r="LN340" s="30"/>
      <c r="LO340" s="30"/>
      <c r="LP340" s="30"/>
      <c r="LQ340" s="30"/>
      <c r="LR340" s="30"/>
      <c r="LS340" s="30"/>
      <c r="LT340" s="30"/>
      <c r="LU340" s="30"/>
      <c r="LV340" s="30"/>
      <c r="LW340" s="30"/>
      <c r="LX340" s="30"/>
      <c r="LY340" s="30"/>
      <c r="LZ340" s="30"/>
      <c r="MA340" s="30"/>
      <c r="MB340" s="30"/>
      <c r="MC340" s="30"/>
      <c r="MD340" s="30"/>
      <c r="ME340" s="30"/>
      <c r="MF340" s="30"/>
      <c r="MG340" s="30"/>
      <c r="MH340" s="30"/>
      <c r="MI340" s="30"/>
      <c r="MJ340" s="30"/>
      <c r="MK340" s="30"/>
      <c r="ML340" s="30"/>
      <c r="MM340" s="30"/>
      <c r="MN340" s="30"/>
      <c r="MO340" s="30"/>
      <c r="MP340" s="30"/>
      <c r="MQ340" s="30"/>
      <c r="MR340" s="30"/>
      <c r="MS340" s="30"/>
      <c r="MT340" s="30"/>
      <c r="MU340" s="30"/>
      <c r="MV340" s="30"/>
      <c r="MW340" s="30"/>
      <c r="MX340" s="30"/>
      <c r="MY340" s="30"/>
      <c r="MZ340" s="30"/>
      <c r="NA340" s="30"/>
      <c r="NB340" s="30"/>
      <c r="NC340" s="30"/>
      <c r="ND340" s="30"/>
      <c r="NE340" s="30"/>
      <c r="NF340" s="30"/>
      <c r="NG340" s="30"/>
      <c r="NH340" s="30"/>
      <c r="NI340" s="30"/>
      <c r="NJ340" s="30"/>
      <c r="NK340" s="30"/>
      <c r="NL340" s="30"/>
      <c r="NM340" s="30"/>
      <c r="NN340" s="30"/>
      <c r="NO340" s="30"/>
      <c r="NP340" s="30"/>
      <c r="NQ340" s="30"/>
      <c r="NR340" s="30"/>
    </row>
    <row r="341" spans="1:382" s="3" customFormat="1" ht="20.100000000000001" customHeight="1" x14ac:dyDescent="0.4">
      <c r="A341" s="29">
        <v>1</v>
      </c>
      <c r="B341" s="5">
        <v>1929</v>
      </c>
      <c r="C341" s="5" t="s">
        <v>454</v>
      </c>
      <c r="D341" s="5" t="s">
        <v>455</v>
      </c>
      <c r="E341" s="5" t="s">
        <v>14</v>
      </c>
      <c r="F341" s="5" t="s">
        <v>32</v>
      </c>
      <c r="G341" s="5" t="s">
        <v>32</v>
      </c>
      <c r="H341" s="5" t="s">
        <v>32</v>
      </c>
      <c r="I341" s="8">
        <v>45988.625</v>
      </c>
      <c r="J341" s="8"/>
      <c r="K341" s="8" t="str">
        <f>IF(OR(J341="",E341=""),"",J341+IFERROR(VLOOKUP(E341,リードタイム!$A$2:$C$9,3,FALSE),0))</f>
        <v/>
      </c>
      <c r="L341" s="5" t="s">
        <v>531</v>
      </c>
      <c r="M341" s="8"/>
      <c r="N341" s="8" t="str">
        <f>IF(OR(M341="",E341=""),"",M341+IFERROR(VLOOKUP(E341,リードタイム!$A$2:$D$9,4,FALSE),0))</f>
        <v/>
      </c>
      <c r="O341" s="5" t="s">
        <v>531</v>
      </c>
      <c r="P341" s="5" t="s">
        <v>532</v>
      </c>
      <c r="Q341" s="5" t="s">
        <v>32</v>
      </c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  <c r="FS341" s="30"/>
      <c r="FT341" s="30"/>
      <c r="FU341" s="30"/>
      <c r="FV341" s="30"/>
      <c r="FW341" s="30"/>
      <c r="FX341" s="30"/>
      <c r="FY341" s="30"/>
      <c r="FZ341" s="30"/>
      <c r="GA341" s="30"/>
      <c r="GB341" s="30"/>
      <c r="GC341" s="30"/>
      <c r="GD341" s="30"/>
      <c r="GE341" s="30"/>
      <c r="GF341" s="30"/>
      <c r="GG341" s="30"/>
      <c r="GH341" s="30"/>
      <c r="GI341" s="30"/>
      <c r="GJ341" s="30"/>
      <c r="GK341" s="30"/>
      <c r="GL341" s="30"/>
      <c r="GM341" s="30"/>
      <c r="GN341" s="30"/>
      <c r="GO341" s="30"/>
      <c r="GP341" s="30"/>
      <c r="GQ341" s="30"/>
      <c r="GR341" s="30"/>
      <c r="GS341" s="30"/>
      <c r="GT341" s="30"/>
      <c r="GU341" s="30"/>
      <c r="GV341" s="30"/>
      <c r="GW341" s="30"/>
      <c r="GX341" s="30"/>
      <c r="GY341" s="30"/>
      <c r="GZ341" s="30"/>
      <c r="HA341" s="30"/>
      <c r="HB341" s="30"/>
      <c r="HC341" s="30"/>
      <c r="HD341" s="30"/>
      <c r="HE341" s="30"/>
      <c r="HF341" s="30"/>
      <c r="HG341" s="30"/>
      <c r="HH341" s="30"/>
      <c r="HI341" s="30"/>
      <c r="HJ341" s="30"/>
      <c r="HK341" s="30"/>
      <c r="HL341" s="30"/>
      <c r="HM341" s="30"/>
      <c r="HN341" s="30"/>
      <c r="HO341" s="30"/>
      <c r="HP341" s="30"/>
      <c r="HQ341" s="30"/>
      <c r="HR341" s="30"/>
      <c r="HS341" s="30"/>
      <c r="HT341" s="30"/>
      <c r="HU341" s="30"/>
      <c r="HV341" s="30"/>
      <c r="HW341" s="30"/>
      <c r="HX341" s="30"/>
      <c r="HY341" s="30"/>
      <c r="HZ341" s="30"/>
      <c r="IA341" s="30"/>
      <c r="IB341" s="30"/>
      <c r="IC341" s="30"/>
      <c r="ID341" s="30"/>
      <c r="IE341" s="30"/>
      <c r="IF341" s="30"/>
      <c r="IG341" s="30"/>
      <c r="IH341" s="30"/>
      <c r="II341" s="30"/>
      <c r="IJ341" s="30"/>
      <c r="IK341" s="30"/>
      <c r="IL341" s="30"/>
      <c r="IM341" s="30"/>
      <c r="IN341" s="30"/>
      <c r="IO341" s="30"/>
      <c r="IP341" s="30"/>
      <c r="IQ341" s="30"/>
      <c r="IR341" s="30"/>
      <c r="IS341" s="30"/>
      <c r="IT341" s="30"/>
      <c r="IU341" s="30"/>
      <c r="IV341" s="30"/>
      <c r="IW341" s="30"/>
      <c r="IX341" s="30"/>
      <c r="IY341" s="30"/>
      <c r="IZ341" s="30"/>
      <c r="JA341" s="30"/>
      <c r="JB341" s="30"/>
      <c r="JC341" s="30"/>
      <c r="JD341" s="30"/>
      <c r="JE341" s="30"/>
      <c r="JF341" s="30"/>
      <c r="JG341" s="30"/>
      <c r="JH341" s="30"/>
      <c r="JI341" s="30"/>
      <c r="JJ341" s="30"/>
      <c r="JK341" s="30"/>
      <c r="JL341" s="30"/>
      <c r="JM341" s="30"/>
      <c r="JN341" s="30"/>
      <c r="JO341" s="30"/>
      <c r="JP341" s="30"/>
      <c r="JQ341" s="30"/>
      <c r="JR341" s="30"/>
      <c r="JS341" s="30"/>
      <c r="JT341" s="30"/>
      <c r="JU341" s="30"/>
      <c r="JV341" s="30"/>
      <c r="JW341" s="30"/>
      <c r="JX341" s="30"/>
      <c r="JY341" s="30"/>
      <c r="JZ341" s="30"/>
      <c r="KA341" s="30"/>
      <c r="KB341" s="30"/>
      <c r="KC341" s="30"/>
      <c r="KD341" s="30"/>
      <c r="KE341" s="30"/>
      <c r="KF341" s="30"/>
      <c r="KG341" s="30"/>
      <c r="KH341" s="30"/>
      <c r="KI341" s="30"/>
      <c r="KJ341" s="30"/>
      <c r="KK341" s="30"/>
      <c r="KL341" s="30"/>
      <c r="KM341" s="30"/>
      <c r="KN341" s="30"/>
      <c r="KO341" s="30"/>
      <c r="KP341" s="30"/>
      <c r="KQ341" s="30"/>
      <c r="KR341" s="30"/>
      <c r="KS341" s="30"/>
      <c r="KT341" s="30"/>
      <c r="KU341" s="30"/>
      <c r="KV341" s="30"/>
      <c r="KW341" s="30"/>
      <c r="KX341" s="30"/>
      <c r="KY341" s="30"/>
      <c r="KZ341" s="30"/>
      <c r="LA341" s="30"/>
      <c r="LB341" s="30"/>
      <c r="LC341" s="30"/>
      <c r="LD341" s="30"/>
      <c r="LE341" s="30"/>
      <c r="LF341" s="30"/>
      <c r="LG341" s="30"/>
      <c r="LH341" s="30"/>
      <c r="LI341" s="30"/>
      <c r="LJ341" s="30"/>
      <c r="LK341" s="30"/>
      <c r="LL341" s="30"/>
      <c r="LM341" s="30"/>
      <c r="LN341" s="30"/>
      <c r="LO341" s="30"/>
      <c r="LP341" s="30"/>
      <c r="LQ341" s="30"/>
      <c r="LR341" s="30"/>
      <c r="LS341" s="30"/>
      <c r="LT341" s="30"/>
      <c r="LU341" s="30"/>
      <c r="LV341" s="30"/>
      <c r="LW341" s="30"/>
      <c r="LX341" s="30"/>
      <c r="LY341" s="30"/>
      <c r="LZ341" s="30"/>
      <c r="MA341" s="30"/>
      <c r="MB341" s="30"/>
      <c r="MC341" s="30"/>
      <c r="MD341" s="30"/>
      <c r="ME341" s="30"/>
      <c r="MF341" s="30"/>
      <c r="MG341" s="30"/>
      <c r="MH341" s="30"/>
      <c r="MI341" s="30"/>
      <c r="MJ341" s="30"/>
      <c r="MK341" s="30"/>
      <c r="ML341" s="30"/>
      <c r="MM341" s="30"/>
      <c r="MN341" s="30"/>
      <c r="MO341" s="30"/>
      <c r="MP341" s="30"/>
      <c r="MQ341" s="30"/>
      <c r="MR341" s="30"/>
      <c r="MS341" s="30"/>
      <c r="MT341" s="30"/>
      <c r="MU341" s="30"/>
      <c r="MV341" s="30"/>
      <c r="MW341" s="30"/>
      <c r="MX341" s="30"/>
      <c r="MY341" s="30"/>
      <c r="MZ341" s="30"/>
      <c r="NA341" s="30"/>
      <c r="NB341" s="30"/>
      <c r="NC341" s="30"/>
      <c r="ND341" s="30"/>
      <c r="NE341" s="30"/>
      <c r="NF341" s="30"/>
      <c r="NG341" s="30"/>
      <c r="NH341" s="30"/>
      <c r="NI341" s="30"/>
      <c r="NJ341" s="30"/>
      <c r="NK341" s="30"/>
      <c r="NL341" s="30"/>
      <c r="NM341" s="30"/>
      <c r="NN341" s="30"/>
      <c r="NO341" s="30"/>
      <c r="NP341" s="30"/>
      <c r="NQ341" s="30"/>
      <c r="NR341" s="30"/>
    </row>
    <row r="342" spans="1:382" s="3" customFormat="1" ht="20.100000000000001" customHeight="1" x14ac:dyDescent="0.4">
      <c r="A342" s="29">
        <v>1</v>
      </c>
      <c r="B342" s="5">
        <v>270</v>
      </c>
      <c r="C342" s="5" t="s">
        <v>456</v>
      </c>
      <c r="D342" s="5" t="s">
        <v>220</v>
      </c>
      <c r="E342" s="5" t="s">
        <v>8</v>
      </c>
      <c r="F342" s="5" t="s">
        <v>32</v>
      </c>
      <c r="G342" s="5" t="s">
        <v>32</v>
      </c>
      <c r="H342" s="5" t="s">
        <v>32</v>
      </c>
      <c r="I342" s="8"/>
      <c r="J342" s="8"/>
      <c r="K342" s="8" t="str">
        <f>IF(OR(J342="",E342=""),"",J342+IFERROR(VLOOKUP(E342,リードタイム!$A$2:$C$9,3,FALSE),0))</f>
        <v/>
      </c>
      <c r="L342" s="5" t="s">
        <v>531</v>
      </c>
      <c r="M342" s="8"/>
      <c r="N342" s="8" t="str">
        <f>IF(OR(M342="",E342=""),"",M342+IFERROR(VLOOKUP(E342,リードタイム!$A$2:$D$9,4,FALSE),0))</f>
        <v/>
      </c>
      <c r="O342" s="5" t="s">
        <v>531</v>
      </c>
      <c r="P342" s="5" t="s">
        <v>533</v>
      </c>
      <c r="Q342" s="5" t="s">
        <v>457</v>
      </c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  <c r="FS342" s="30"/>
      <c r="FT342" s="30"/>
      <c r="FU342" s="30"/>
      <c r="FV342" s="30"/>
      <c r="FW342" s="30"/>
      <c r="FX342" s="30"/>
      <c r="FY342" s="30"/>
      <c r="FZ342" s="30"/>
      <c r="GA342" s="30"/>
      <c r="GB342" s="30"/>
      <c r="GC342" s="30"/>
      <c r="GD342" s="30"/>
      <c r="GE342" s="30"/>
      <c r="GF342" s="30"/>
      <c r="GG342" s="30"/>
      <c r="GH342" s="30"/>
      <c r="GI342" s="30"/>
      <c r="GJ342" s="30"/>
      <c r="GK342" s="30"/>
      <c r="GL342" s="30"/>
      <c r="GM342" s="30"/>
      <c r="GN342" s="30"/>
      <c r="GO342" s="30"/>
      <c r="GP342" s="30"/>
      <c r="GQ342" s="30"/>
      <c r="GR342" s="30"/>
      <c r="GS342" s="30"/>
      <c r="GT342" s="30"/>
      <c r="GU342" s="30"/>
      <c r="GV342" s="30"/>
      <c r="GW342" s="30"/>
      <c r="GX342" s="30"/>
      <c r="GY342" s="30"/>
      <c r="GZ342" s="30"/>
      <c r="HA342" s="30"/>
      <c r="HB342" s="30"/>
      <c r="HC342" s="30"/>
      <c r="HD342" s="30"/>
      <c r="HE342" s="30"/>
      <c r="HF342" s="30"/>
      <c r="HG342" s="30"/>
      <c r="HH342" s="30"/>
      <c r="HI342" s="30"/>
      <c r="HJ342" s="30"/>
      <c r="HK342" s="30"/>
      <c r="HL342" s="30"/>
      <c r="HM342" s="30"/>
      <c r="HN342" s="30"/>
      <c r="HO342" s="30"/>
      <c r="HP342" s="30"/>
      <c r="HQ342" s="30"/>
      <c r="HR342" s="30"/>
      <c r="HS342" s="30"/>
      <c r="HT342" s="30"/>
      <c r="HU342" s="30"/>
      <c r="HV342" s="30"/>
      <c r="HW342" s="30"/>
      <c r="HX342" s="30"/>
      <c r="HY342" s="30"/>
      <c r="HZ342" s="30"/>
      <c r="IA342" s="30"/>
      <c r="IB342" s="30"/>
      <c r="IC342" s="30"/>
      <c r="ID342" s="30"/>
      <c r="IE342" s="30"/>
      <c r="IF342" s="30"/>
      <c r="IG342" s="30"/>
      <c r="IH342" s="30"/>
      <c r="II342" s="30"/>
      <c r="IJ342" s="30"/>
      <c r="IK342" s="30"/>
      <c r="IL342" s="30"/>
      <c r="IM342" s="30"/>
      <c r="IN342" s="30"/>
      <c r="IO342" s="30"/>
      <c r="IP342" s="30"/>
      <c r="IQ342" s="30"/>
      <c r="IR342" s="30"/>
      <c r="IS342" s="30"/>
      <c r="IT342" s="30"/>
      <c r="IU342" s="30"/>
      <c r="IV342" s="30"/>
      <c r="IW342" s="30"/>
      <c r="IX342" s="30"/>
      <c r="IY342" s="30"/>
      <c r="IZ342" s="30"/>
      <c r="JA342" s="30"/>
      <c r="JB342" s="30"/>
      <c r="JC342" s="30"/>
      <c r="JD342" s="30"/>
      <c r="JE342" s="30"/>
      <c r="JF342" s="30"/>
      <c r="JG342" s="30"/>
      <c r="JH342" s="30"/>
      <c r="JI342" s="30"/>
      <c r="JJ342" s="30"/>
      <c r="JK342" s="30"/>
      <c r="JL342" s="30"/>
      <c r="JM342" s="30"/>
      <c r="JN342" s="30"/>
      <c r="JO342" s="30"/>
      <c r="JP342" s="30"/>
      <c r="JQ342" s="30"/>
      <c r="JR342" s="30"/>
      <c r="JS342" s="30"/>
      <c r="JT342" s="30"/>
      <c r="JU342" s="30"/>
      <c r="JV342" s="30"/>
      <c r="JW342" s="30"/>
      <c r="JX342" s="30"/>
      <c r="JY342" s="30"/>
      <c r="JZ342" s="30"/>
      <c r="KA342" s="30"/>
      <c r="KB342" s="30"/>
      <c r="KC342" s="30"/>
      <c r="KD342" s="30"/>
      <c r="KE342" s="30"/>
      <c r="KF342" s="30"/>
      <c r="KG342" s="30"/>
      <c r="KH342" s="30"/>
      <c r="KI342" s="30"/>
      <c r="KJ342" s="30"/>
      <c r="KK342" s="30"/>
      <c r="KL342" s="30"/>
      <c r="KM342" s="30"/>
      <c r="KN342" s="30"/>
      <c r="KO342" s="30"/>
      <c r="KP342" s="30"/>
      <c r="KQ342" s="30"/>
      <c r="KR342" s="30"/>
      <c r="KS342" s="30"/>
      <c r="KT342" s="30"/>
      <c r="KU342" s="30"/>
      <c r="KV342" s="30"/>
      <c r="KW342" s="30"/>
      <c r="KX342" s="30"/>
      <c r="KY342" s="30"/>
      <c r="KZ342" s="30"/>
      <c r="LA342" s="30"/>
      <c r="LB342" s="30"/>
      <c r="LC342" s="30"/>
      <c r="LD342" s="30"/>
      <c r="LE342" s="30"/>
      <c r="LF342" s="30"/>
      <c r="LG342" s="30"/>
      <c r="LH342" s="30"/>
      <c r="LI342" s="30"/>
      <c r="LJ342" s="30"/>
      <c r="LK342" s="30"/>
      <c r="LL342" s="30"/>
      <c r="LM342" s="30"/>
      <c r="LN342" s="30"/>
      <c r="LO342" s="30"/>
      <c r="LP342" s="30"/>
      <c r="LQ342" s="30"/>
      <c r="LR342" s="30"/>
      <c r="LS342" s="30"/>
      <c r="LT342" s="30"/>
      <c r="LU342" s="30"/>
      <c r="LV342" s="30"/>
      <c r="LW342" s="30"/>
      <c r="LX342" s="30"/>
      <c r="LY342" s="30"/>
      <c r="LZ342" s="30"/>
      <c r="MA342" s="30"/>
      <c r="MB342" s="30"/>
      <c r="MC342" s="30"/>
      <c r="MD342" s="30"/>
      <c r="ME342" s="30"/>
      <c r="MF342" s="30"/>
      <c r="MG342" s="30"/>
      <c r="MH342" s="30"/>
      <c r="MI342" s="30"/>
      <c r="MJ342" s="30"/>
      <c r="MK342" s="30"/>
      <c r="ML342" s="30"/>
      <c r="MM342" s="30"/>
      <c r="MN342" s="30"/>
      <c r="MO342" s="30"/>
      <c r="MP342" s="30"/>
      <c r="MQ342" s="30"/>
      <c r="MR342" s="30"/>
      <c r="MS342" s="30"/>
      <c r="MT342" s="30"/>
      <c r="MU342" s="30"/>
      <c r="MV342" s="30"/>
      <c r="MW342" s="30"/>
      <c r="MX342" s="30"/>
      <c r="MY342" s="30"/>
      <c r="MZ342" s="30"/>
      <c r="NA342" s="30"/>
      <c r="NB342" s="30"/>
      <c r="NC342" s="30"/>
      <c r="ND342" s="30"/>
      <c r="NE342" s="30"/>
      <c r="NF342" s="30"/>
      <c r="NG342" s="30"/>
      <c r="NH342" s="30"/>
      <c r="NI342" s="30"/>
      <c r="NJ342" s="30"/>
      <c r="NK342" s="30"/>
      <c r="NL342" s="30"/>
      <c r="NM342" s="30"/>
      <c r="NN342" s="30"/>
      <c r="NO342" s="30"/>
      <c r="NP342" s="30"/>
      <c r="NQ342" s="30"/>
      <c r="NR342" s="30"/>
    </row>
    <row r="343" spans="1:382" s="3" customFormat="1" ht="20.100000000000001" customHeight="1" x14ac:dyDescent="0.4">
      <c r="A343" s="29">
        <v>2</v>
      </c>
      <c r="B343" s="5">
        <v>1998</v>
      </c>
      <c r="C343" s="5" t="s">
        <v>456</v>
      </c>
      <c r="D343" s="5" t="s">
        <v>458</v>
      </c>
      <c r="E343" s="5" t="s">
        <v>18</v>
      </c>
      <c r="F343" s="5" t="s">
        <v>32</v>
      </c>
      <c r="G343" s="5" t="s">
        <v>32</v>
      </c>
      <c r="H343" s="5" t="s">
        <v>32</v>
      </c>
      <c r="I343" s="8"/>
      <c r="J343" s="8"/>
      <c r="K343" s="8" t="str">
        <f>IF(OR(J343="",E343=""),"",J343+IFERROR(VLOOKUP(E343,リードタイム!$A$2:$C$9,3,FALSE),0))</f>
        <v/>
      </c>
      <c r="L343" s="5" t="s">
        <v>530</v>
      </c>
      <c r="M343" s="8"/>
      <c r="N343" s="8" t="str">
        <f>IF(OR(M343="",E343=""),"",M343+IFERROR(VLOOKUP(E343,リードタイム!$A$2:$D$9,4,FALSE),0))</f>
        <v/>
      </c>
      <c r="O343" s="5" t="s">
        <v>530</v>
      </c>
      <c r="P343" s="5" t="s">
        <v>530</v>
      </c>
      <c r="Q343" s="5" t="s">
        <v>459</v>
      </c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  <c r="FS343" s="30"/>
      <c r="FT343" s="30"/>
      <c r="FU343" s="30"/>
      <c r="FV343" s="30"/>
      <c r="FW343" s="30"/>
      <c r="FX343" s="30"/>
      <c r="FY343" s="30"/>
      <c r="FZ343" s="30"/>
      <c r="GA343" s="30"/>
      <c r="GB343" s="30"/>
      <c r="GC343" s="30"/>
      <c r="GD343" s="30"/>
      <c r="GE343" s="30"/>
      <c r="GF343" s="30"/>
      <c r="GG343" s="30"/>
      <c r="GH343" s="30"/>
      <c r="GI343" s="30"/>
      <c r="GJ343" s="30"/>
      <c r="GK343" s="30"/>
      <c r="GL343" s="30"/>
      <c r="GM343" s="30"/>
      <c r="GN343" s="30"/>
      <c r="GO343" s="30"/>
      <c r="GP343" s="30"/>
      <c r="GQ343" s="30"/>
      <c r="GR343" s="30"/>
      <c r="GS343" s="30"/>
      <c r="GT343" s="30"/>
      <c r="GU343" s="30"/>
      <c r="GV343" s="30"/>
      <c r="GW343" s="30"/>
      <c r="GX343" s="30"/>
      <c r="GY343" s="30"/>
      <c r="GZ343" s="30"/>
      <c r="HA343" s="30"/>
      <c r="HB343" s="30"/>
      <c r="HC343" s="30"/>
      <c r="HD343" s="30"/>
      <c r="HE343" s="30"/>
      <c r="HF343" s="30"/>
      <c r="HG343" s="30"/>
      <c r="HH343" s="30"/>
      <c r="HI343" s="30"/>
      <c r="HJ343" s="30"/>
      <c r="HK343" s="30"/>
      <c r="HL343" s="30"/>
      <c r="HM343" s="30"/>
      <c r="HN343" s="30"/>
      <c r="HO343" s="30"/>
      <c r="HP343" s="30"/>
      <c r="HQ343" s="30"/>
      <c r="HR343" s="30"/>
      <c r="HS343" s="30"/>
      <c r="HT343" s="30"/>
      <c r="HU343" s="30"/>
      <c r="HV343" s="30"/>
      <c r="HW343" s="30"/>
      <c r="HX343" s="30"/>
      <c r="HY343" s="30"/>
      <c r="HZ343" s="30"/>
      <c r="IA343" s="30"/>
      <c r="IB343" s="30"/>
      <c r="IC343" s="30"/>
      <c r="ID343" s="30"/>
      <c r="IE343" s="30"/>
      <c r="IF343" s="30"/>
      <c r="IG343" s="30"/>
      <c r="IH343" s="30"/>
      <c r="II343" s="30"/>
      <c r="IJ343" s="30"/>
      <c r="IK343" s="30"/>
      <c r="IL343" s="30"/>
      <c r="IM343" s="30"/>
      <c r="IN343" s="30"/>
      <c r="IO343" s="30"/>
      <c r="IP343" s="30"/>
      <c r="IQ343" s="30"/>
      <c r="IR343" s="30"/>
      <c r="IS343" s="30"/>
      <c r="IT343" s="30"/>
      <c r="IU343" s="30"/>
      <c r="IV343" s="30"/>
      <c r="IW343" s="30"/>
      <c r="IX343" s="30"/>
      <c r="IY343" s="30"/>
      <c r="IZ343" s="30"/>
      <c r="JA343" s="30"/>
      <c r="JB343" s="30"/>
      <c r="JC343" s="30"/>
      <c r="JD343" s="30"/>
      <c r="JE343" s="30"/>
      <c r="JF343" s="30"/>
      <c r="JG343" s="30"/>
      <c r="JH343" s="30"/>
      <c r="JI343" s="30"/>
      <c r="JJ343" s="30"/>
      <c r="JK343" s="30"/>
      <c r="JL343" s="30"/>
      <c r="JM343" s="30"/>
      <c r="JN343" s="30"/>
      <c r="JO343" s="30"/>
      <c r="JP343" s="30"/>
      <c r="JQ343" s="30"/>
      <c r="JR343" s="30"/>
      <c r="JS343" s="30"/>
      <c r="JT343" s="30"/>
      <c r="JU343" s="30"/>
      <c r="JV343" s="30"/>
      <c r="JW343" s="30"/>
      <c r="JX343" s="30"/>
      <c r="JY343" s="30"/>
      <c r="JZ343" s="30"/>
      <c r="KA343" s="30"/>
      <c r="KB343" s="30"/>
      <c r="KC343" s="30"/>
      <c r="KD343" s="30"/>
      <c r="KE343" s="30"/>
      <c r="KF343" s="30"/>
      <c r="KG343" s="30"/>
      <c r="KH343" s="30"/>
      <c r="KI343" s="30"/>
      <c r="KJ343" s="30"/>
      <c r="KK343" s="30"/>
      <c r="KL343" s="30"/>
      <c r="KM343" s="30"/>
      <c r="KN343" s="30"/>
      <c r="KO343" s="30"/>
      <c r="KP343" s="30"/>
      <c r="KQ343" s="30"/>
      <c r="KR343" s="30"/>
      <c r="KS343" s="30"/>
      <c r="KT343" s="30"/>
      <c r="KU343" s="30"/>
      <c r="KV343" s="30"/>
      <c r="KW343" s="30"/>
      <c r="KX343" s="30"/>
      <c r="KY343" s="30"/>
      <c r="KZ343" s="30"/>
      <c r="LA343" s="30"/>
      <c r="LB343" s="30"/>
      <c r="LC343" s="30"/>
      <c r="LD343" s="30"/>
      <c r="LE343" s="30"/>
      <c r="LF343" s="30"/>
      <c r="LG343" s="30"/>
      <c r="LH343" s="30"/>
      <c r="LI343" s="30"/>
      <c r="LJ343" s="30"/>
      <c r="LK343" s="30"/>
      <c r="LL343" s="30"/>
      <c r="LM343" s="30"/>
      <c r="LN343" s="30"/>
      <c r="LO343" s="30"/>
      <c r="LP343" s="30"/>
      <c r="LQ343" s="30"/>
      <c r="LR343" s="30"/>
      <c r="LS343" s="30"/>
      <c r="LT343" s="30"/>
      <c r="LU343" s="30"/>
      <c r="LV343" s="30"/>
      <c r="LW343" s="30"/>
      <c r="LX343" s="30"/>
      <c r="LY343" s="30"/>
      <c r="LZ343" s="30"/>
      <c r="MA343" s="30"/>
      <c r="MB343" s="30"/>
      <c r="MC343" s="30"/>
      <c r="MD343" s="30"/>
      <c r="ME343" s="30"/>
      <c r="MF343" s="30"/>
      <c r="MG343" s="30"/>
      <c r="MH343" s="30"/>
      <c r="MI343" s="30"/>
      <c r="MJ343" s="30"/>
      <c r="MK343" s="30"/>
      <c r="ML343" s="30"/>
      <c r="MM343" s="30"/>
      <c r="MN343" s="30"/>
      <c r="MO343" s="30"/>
      <c r="MP343" s="30"/>
      <c r="MQ343" s="30"/>
      <c r="MR343" s="30"/>
      <c r="MS343" s="30"/>
      <c r="MT343" s="30"/>
      <c r="MU343" s="30"/>
      <c r="MV343" s="30"/>
      <c r="MW343" s="30"/>
      <c r="MX343" s="30"/>
      <c r="MY343" s="30"/>
      <c r="MZ343" s="30"/>
      <c r="NA343" s="30"/>
      <c r="NB343" s="30"/>
      <c r="NC343" s="30"/>
      <c r="ND343" s="30"/>
      <c r="NE343" s="30"/>
      <c r="NF343" s="30"/>
      <c r="NG343" s="30"/>
      <c r="NH343" s="30"/>
      <c r="NI343" s="30"/>
      <c r="NJ343" s="30"/>
      <c r="NK343" s="30"/>
      <c r="NL343" s="30"/>
      <c r="NM343" s="30"/>
      <c r="NN343" s="30"/>
      <c r="NO343" s="30"/>
      <c r="NP343" s="30"/>
      <c r="NQ343" s="30"/>
      <c r="NR343" s="30"/>
    </row>
    <row r="344" spans="1:382" s="3" customFormat="1" ht="20.100000000000001" customHeight="1" x14ac:dyDescent="0.4">
      <c r="A344" s="29">
        <v>1</v>
      </c>
      <c r="B344" s="5">
        <v>1324</v>
      </c>
      <c r="C344" s="5" t="s">
        <v>460</v>
      </c>
      <c r="D344" s="5" t="s">
        <v>461</v>
      </c>
      <c r="E344" s="5" t="s">
        <v>18</v>
      </c>
      <c r="F344" s="5" t="s">
        <v>32</v>
      </c>
      <c r="G344" s="5" t="s">
        <v>32</v>
      </c>
      <c r="H344" s="5" t="s">
        <v>32</v>
      </c>
      <c r="I344" s="8">
        <v>45925.625</v>
      </c>
      <c r="J344" s="8"/>
      <c r="K344" s="8" t="str">
        <f>IF(OR(J344="",E344=""),"",J344+IFERROR(VLOOKUP(E344,リードタイム!$A$2:$C$9,3,FALSE),0))</f>
        <v/>
      </c>
      <c r="L344" s="5" t="s">
        <v>531</v>
      </c>
      <c r="M344" s="8"/>
      <c r="N344" s="8" t="str">
        <f>IF(OR(M344="",E344=""),"",M344+IFERROR(VLOOKUP(E344,リードタイム!$A$2:$D$9,4,FALSE),0))</f>
        <v/>
      </c>
      <c r="O344" s="5" t="s">
        <v>531</v>
      </c>
      <c r="P344" s="5" t="s">
        <v>533</v>
      </c>
      <c r="Q344" s="5" t="s">
        <v>32</v>
      </c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  <c r="FS344" s="30"/>
      <c r="FT344" s="30"/>
      <c r="FU344" s="30"/>
      <c r="FV344" s="30"/>
      <c r="FW344" s="30"/>
      <c r="FX344" s="30"/>
      <c r="FY344" s="30"/>
      <c r="FZ344" s="30"/>
      <c r="GA344" s="30"/>
      <c r="GB344" s="30"/>
      <c r="GC344" s="30"/>
      <c r="GD344" s="30"/>
      <c r="GE344" s="30"/>
      <c r="GF344" s="30"/>
      <c r="GG344" s="30"/>
      <c r="GH344" s="30"/>
      <c r="GI344" s="30"/>
      <c r="GJ344" s="30"/>
      <c r="GK344" s="30"/>
      <c r="GL344" s="30"/>
      <c r="GM344" s="30"/>
      <c r="GN344" s="30"/>
      <c r="GO344" s="30"/>
      <c r="GP344" s="30"/>
      <c r="GQ344" s="30"/>
      <c r="GR344" s="30"/>
      <c r="GS344" s="30"/>
      <c r="GT344" s="30"/>
      <c r="GU344" s="30"/>
      <c r="GV344" s="30"/>
      <c r="GW344" s="30"/>
      <c r="GX344" s="30"/>
      <c r="GY344" s="30"/>
      <c r="GZ344" s="30"/>
      <c r="HA344" s="30"/>
      <c r="HB344" s="30"/>
      <c r="HC344" s="30"/>
      <c r="HD344" s="30"/>
      <c r="HE344" s="30"/>
      <c r="HF344" s="30"/>
      <c r="HG344" s="30"/>
      <c r="HH344" s="30"/>
      <c r="HI344" s="30"/>
      <c r="HJ344" s="30"/>
      <c r="HK344" s="30"/>
      <c r="HL344" s="30"/>
      <c r="HM344" s="30"/>
      <c r="HN344" s="30"/>
      <c r="HO344" s="30"/>
      <c r="HP344" s="30"/>
      <c r="HQ344" s="30"/>
      <c r="HR344" s="30"/>
      <c r="HS344" s="30"/>
      <c r="HT344" s="30"/>
      <c r="HU344" s="30"/>
      <c r="HV344" s="30"/>
      <c r="HW344" s="30"/>
      <c r="HX344" s="30"/>
      <c r="HY344" s="30"/>
      <c r="HZ344" s="30"/>
      <c r="IA344" s="30"/>
      <c r="IB344" s="30"/>
      <c r="IC344" s="30"/>
      <c r="ID344" s="30"/>
      <c r="IE344" s="30"/>
      <c r="IF344" s="30"/>
      <c r="IG344" s="30"/>
      <c r="IH344" s="30"/>
      <c r="II344" s="30"/>
      <c r="IJ344" s="30"/>
      <c r="IK344" s="30"/>
      <c r="IL344" s="30"/>
      <c r="IM344" s="30"/>
      <c r="IN344" s="30"/>
      <c r="IO344" s="30"/>
      <c r="IP344" s="30"/>
      <c r="IQ344" s="30"/>
      <c r="IR344" s="30"/>
      <c r="IS344" s="30"/>
      <c r="IT344" s="30"/>
      <c r="IU344" s="30"/>
      <c r="IV344" s="30"/>
      <c r="IW344" s="30"/>
      <c r="IX344" s="30"/>
      <c r="IY344" s="30"/>
      <c r="IZ344" s="30"/>
      <c r="JA344" s="30"/>
      <c r="JB344" s="30"/>
      <c r="JC344" s="30"/>
      <c r="JD344" s="30"/>
      <c r="JE344" s="30"/>
      <c r="JF344" s="30"/>
      <c r="JG344" s="30"/>
      <c r="JH344" s="30"/>
      <c r="JI344" s="30"/>
      <c r="JJ344" s="30"/>
      <c r="JK344" s="30"/>
      <c r="JL344" s="30"/>
      <c r="JM344" s="30"/>
      <c r="JN344" s="30"/>
      <c r="JO344" s="30"/>
      <c r="JP344" s="30"/>
      <c r="JQ344" s="30"/>
      <c r="JR344" s="30"/>
      <c r="JS344" s="30"/>
      <c r="JT344" s="30"/>
      <c r="JU344" s="30"/>
      <c r="JV344" s="30"/>
      <c r="JW344" s="30"/>
      <c r="JX344" s="30"/>
      <c r="JY344" s="30"/>
      <c r="JZ344" s="30"/>
      <c r="KA344" s="30"/>
      <c r="KB344" s="30"/>
      <c r="KC344" s="30"/>
      <c r="KD344" s="30"/>
      <c r="KE344" s="30"/>
      <c r="KF344" s="30"/>
      <c r="KG344" s="30"/>
      <c r="KH344" s="30"/>
      <c r="KI344" s="30"/>
      <c r="KJ344" s="30"/>
      <c r="KK344" s="30"/>
      <c r="KL344" s="30"/>
      <c r="KM344" s="30"/>
      <c r="KN344" s="30"/>
      <c r="KO344" s="30"/>
      <c r="KP344" s="30"/>
      <c r="KQ344" s="30"/>
      <c r="KR344" s="30"/>
      <c r="KS344" s="30"/>
      <c r="KT344" s="30"/>
      <c r="KU344" s="30"/>
      <c r="KV344" s="30"/>
      <c r="KW344" s="30"/>
      <c r="KX344" s="30"/>
      <c r="KY344" s="30"/>
      <c r="KZ344" s="30"/>
      <c r="LA344" s="30"/>
      <c r="LB344" s="30"/>
      <c r="LC344" s="30"/>
      <c r="LD344" s="30"/>
      <c r="LE344" s="30"/>
      <c r="LF344" s="30"/>
      <c r="LG344" s="30"/>
      <c r="LH344" s="30"/>
      <c r="LI344" s="30"/>
      <c r="LJ344" s="30"/>
      <c r="LK344" s="30"/>
      <c r="LL344" s="30"/>
      <c r="LM344" s="30"/>
      <c r="LN344" s="30"/>
      <c r="LO344" s="30"/>
      <c r="LP344" s="30"/>
      <c r="LQ344" s="30"/>
      <c r="LR344" s="30"/>
      <c r="LS344" s="30"/>
      <c r="LT344" s="30"/>
      <c r="LU344" s="30"/>
      <c r="LV344" s="30"/>
      <c r="LW344" s="30"/>
      <c r="LX344" s="30"/>
      <c r="LY344" s="30"/>
      <c r="LZ344" s="30"/>
      <c r="MA344" s="30"/>
      <c r="MB344" s="30"/>
      <c r="MC344" s="30"/>
      <c r="MD344" s="30"/>
      <c r="ME344" s="30"/>
      <c r="MF344" s="30"/>
      <c r="MG344" s="30"/>
      <c r="MH344" s="30"/>
      <c r="MI344" s="30"/>
      <c r="MJ344" s="30"/>
      <c r="MK344" s="30"/>
      <c r="ML344" s="30"/>
      <c r="MM344" s="30"/>
      <c r="MN344" s="30"/>
      <c r="MO344" s="30"/>
      <c r="MP344" s="30"/>
      <c r="MQ344" s="30"/>
      <c r="MR344" s="30"/>
      <c r="MS344" s="30"/>
      <c r="MT344" s="30"/>
      <c r="MU344" s="30"/>
      <c r="MV344" s="30"/>
      <c r="MW344" s="30"/>
      <c r="MX344" s="30"/>
      <c r="MY344" s="30"/>
      <c r="MZ344" s="30"/>
      <c r="NA344" s="30"/>
      <c r="NB344" s="30"/>
      <c r="NC344" s="30"/>
      <c r="ND344" s="30"/>
      <c r="NE344" s="30"/>
      <c r="NF344" s="30"/>
      <c r="NG344" s="30"/>
      <c r="NH344" s="30"/>
      <c r="NI344" s="30"/>
      <c r="NJ344" s="30"/>
      <c r="NK344" s="30"/>
      <c r="NL344" s="30"/>
      <c r="NM344" s="30"/>
      <c r="NN344" s="30"/>
      <c r="NO344" s="30"/>
      <c r="NP344" s="30"/>
      <c r="NQ344" s="30"/>
      <c r="NR344" s="30"/>
    </row>
    <row r="345" spans="1:382" s="3" customFormat="1" ht="20.100000000000001" customHeight="1" x14ac:dyDescent="0.4">
      <c r="A345" s="29">
        <v>2</v>
      </c>
      <c r="B345" s="5">
        <v>1894</v>
      </c>
      <c r="C345" s="5" t="s">
        <v>460</v>
      </c>
      <c r="D345" s="5" t="s">
        <v>462</v>
      </c>
      <c r="E345" s="5" t="s">
        <v>18</v>
      </c>
      <c r="F345" s="5" t="s">
        <v>32</v>
      </c>
      <c r="G345" s="5" t="s">
        <v>32</v>
      </c>
      <c r="H345" s="5" t="s">
        <v>32</v>
      </c>
      <c r="I345" s="8"/>
      <c r="J345" s="8"/>
      <c r="K345" s="8" t="str">
        <f>IF(OR(J345="",E345=""),"",J345+IFERROR(VLOOKUP(E345,リードタイム!$A$2:$C$9,3,FALSE),0))</f>
        <v/>
      </c>
      <c r="L345" s="5" t="s">
        <v>531</v>
      </c>
      <c r="M345" s="8"/>
      <c r="N345" s="8" t="str">
        <f>IF(OR(M345="",E345=""),"",M345+IFERROR(VLOOKUP(E345,リードタイム!$A$2:$D$9,4,FALSE),0))</f>
        <v/>
      </c>
      <c r="O345" s="5" t="s">
        <v>531</v>
      </c>
      <c r="P345" s="5" t="s">
        <v>533</v>
      </c>
      <c r="Q345" s="5" t="s">
        <v>32</v>
      </c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  <c r="FS345" s="30"/>
      <c r="FT345" s="30"/>
      <c r="FU345" s="30"/>
      <c r="FV345" s="30"/>
      <c r="FW345" s="30"/>
      <c r="FX345" s="30"/>
      <c r="FY345" s="30"/>
      <c r="FZ345" s="30"/>
      <c r="GA345" s="30"/>
      <c r="GB345" s="30"/>
      <c r="GC345" s="30"/>
      <c r="GD345" s="30"/>
      <c r="GE345" s="30"/>
      <c r="GF345" s="30"/>
      <c r="GG345" s="30"/>
      <c r="GH345" s="30"/>
      <c r="GI345" s="30"/>
      <c r="GJ345" s="30"/>
      <c r="GK345" s="30"/>
      <c r="GL345" s="30"/>
      <c r="GM345" s="30"/>
      <c r="GN345" s="30"/>
      <c r="GO345" s="30"/>
      <c r="GP345" s="30"/>
      <c r="GQ345" s="30"/>
      <c r="GR345" s="30"/>
      <c r="GS345" s="30"/>
      <c r="GT345" s="30"/>
      <c r="GU345" s="30"/>
      <c r="GV345" s="30"/>
      <c r="GW345" s="30"/>
      <c r="GX345" s="30"/>
      <c r="GY345" s="30"/>
      <c r="GZ345" s="30"/>
      <c r="HA345" s="30"/>
      <c r="HB345" s="30"/>
      <c r="HC345" s="30"/>
      <c r="HD345" s="30"/>
      <c r="HE345" s="30"/>
      <c r="HF345" s="30"/>
      <c r="HG345" s="30"/>
      <c r="HH345" s="30"/>
      <c r="HI345" s="30"/>
      <c r="HJ345" s="30"/>
      <c r="HK345" s="30"/>
      <c r="HL345" s="30"/>
      <c r="HM345" s="30"/>
      <c r="HN345" s="30"/>
      <c r="HO345" s="30"/>
      <c r="HP345" s="30"/>
      <c r="HQ345" s="30"/>
      <c r="HR345" s="30"/>
      <c r="HS345" s="30"/>
      <c r="HT345" s="30"/>
      <c r="HU345" s="30"/>
      <c r="HV345" s="30"/>
      <c r="HW345" s="30"/>
      <c r="HX345" s="30"/>
      <c r="HY345" s="30"/>
      <c r="HZ345" s="30"/>
      <c r="IA345" s="30"/>
      <c r="IB345" s="30"/>
      <c r="IC345" s="30"/>
      <c r="ID345" s="30"/>
      <c r="IE345" s="30"/>
      <c r="IF345" s="30"/>
      <c r="IG345" s="30"/>
      <c r="IH345" s="30"/>
      <c r="II345" s="30"/>
      <c r="IJ345" s="30"/>
      <c r="IK345" s="30"/>
      <c r="IL345" s="30"/>
      <c r="IM345" s="30"/>
      <c r="IN345" s="30"/>
      <c r="IO345" s="30"/>
      <c r="IP345" s="30"/>
      <c r="IQ345" s="30"/>
      <c r="IR345" s="30"/>
      <c r="IS345" s="30"/>
      <c r="IT345" s="30"/>
      <c r="IU345" s="30"/>
      <c r="IV345" s="30"/>
      <c r="IW345" s="30"/>
      <c r="IX345" s="30"/>
      <c r="IY345" s="30"/>
      <c r="IZ345" s="30"/>
      <c r="JA345" s="30"/>
      <c r="JB345" s="30"/>
      <c r="JC345" s="30"/>
      <c r="JD345" s="30"/>
      <c r="JE345" s="30"/>
      <c r="JF345" s="30"/>
      <c r="JG345" s="30"/>
      <c r="JH345" s="30"/>
      <c r="JI345" s="30"/>
      <c r="JJ345" s="30"/>
      <c r="JK345" s="30"/>
      <c r="JL345" s="30"/>
      <c r="JM345" s="30"/>
      <c r="JN345" s="30"/>
      <c r="JO345" s="30"/>
      <c r="JP345" s="30"/>
      <c r="JQ345" s="30"/>
      <c r="JR345" s="30"/>
      <c r="JS345" s="30"/>
      <c r="JT345" s="30"/>
      <c r="JU345" s="30"/>
      <c r="JV345" s="30"/>
      <c r="JW345" s="30"/>
      <c r="JX345" s="30"/>
      <c r="JY345" s="30"/>
      <c r="JZ345" s="30"/>
      <c r="KA345" s="30"/>
      <c r="KB345" s="30"/>
      <c r="KC345" s="30"/>
      <c r="KD345" s="30"/>
      <c r="KE345" s="30"/>
      <c r="KF345" s="30"/>
      <c r="KG345" s="30"/>
      <c r="KH345" s="30"/>
      <c r="KI345" s="30"/>
      <c r="KJ345" s="30"/>
      <c r="KK345" s="30"/>
      <c r="KL345" s="30"/>
      <c r="KM345" s="30"/>
      <c r="KN345" s="30"/>
      <c r="KO345" s="30"/>
      <c r="KP345" s="30"/>
      <c r="KQ345" s="30"/>
      <c r="KR345" s="30"/>
      <c r="KS345" s="30"/>
      <c r="KT345" s="30"/>
      <c r="KU345" s="30"/>
      <c r="KV345" s="30"/>
      <c r="KW345" s="30"/>
      <c r="KX345" s="30"/>
      <c r="KY345" s="30"/>
      <c r="KZ345" s="30"/>
      <c r="LA345" s="30"/>
      <c r="LB345" s="30"/>
      <c r="LC345" s="30"/>
      <c r="LD345" s="30"/>
      <c r="LE345" s="30"/>
      <c r="LF345" s="30"/>
      <c r="LG345" s="30"/>
      <c r="LH345" s="30"/>
      <c r="LI345" s="30"/>
      <c r="LJ345" s="30"/>
      <c r="LK345" s="30"/>
      <c r="LL345" s="30"/>
      <c r="LM345" s="30"/>
      <c r="LN345" s="30"/>
      <c r="LO345" s="30"/>
      <c r="LP345" s="30"/>
      <c r="LQ345" s="30"/>
      <c r="LR345" s="30"/>
      <c r="LS345" s="30"/>
      <c r="LT345" s="30"/>
      <c r="LU345" s="30"/>
      <c r="LV345" s="30"/>
      <c r="LW345" s="30"/>
      <c r="LX345" s="30"/>
      <c r="LY345" s="30"/>
      <c r="LZ345" s="30"/>
      <c r="MA345" s="30"/>
      <c r="MB345" s="30"/>
      <c r="MC345" s="30"/>
      <c r="MD345" s="30"/>
      <c r="ME345" s="30"/>
      <c r="MF345" s="30"/>
      <c r="MG345" s="30"/>
      <c r="MH345" s="30"/>
      <c r="MI345" s="30"/>
      <c r="MJ345" s="30"/>
      <c r="MK345" s="30"/>
      <c r="ML345" s="30"/>
      <c r="MM345" s="30"/>
      <c r="MN345" s="30"/>
      <c r="MO345" s="30"/>
      <c r="MP345" s="30"/>
      <c r="MQ345" s="30"/>
      <c r="MR345" s="30"/>
      <c r="MS345" s="30"/>
      <c r="MT345" s="30"/>
      <c r="MU345" s="30"/>
      <c r="MV345" s="30"/>
      <c r="MW345" s="30"/>
      <c r="MX345" s="30"/>
      <c r="MY345" s="30"/>
      <c r="MZ345" s="30"/>
      <c r="NA345" s="30"/>
      <c r="NB345" s="30"/>
      <c r="NC345" s="30"/>
      <c r="ND345" s="30"/>
      <c r="NE345" s="30"/>
      <c r="NF345" s="30"/>
      <c r="NG345" s="30"/>
      <c r="NH345" s="30"/>
      <c r="NI345" s="30"/>
      <c r="NJ345" s="30"/>
      <c r="NK345" s="30"/>
      <c r="NL345" s="30"/>
      <c r="NM345" s="30"/>
      <c r="NN345" s="30"/>
      <c r="NO345" s="30"/>
      <c r="NP345" s="30"/>
      <c r="NQ345" s="30"/>
      <c r="NR345" s="30"/>
    </row>
    <row r="346" spans="1:382" s="3" customFormat="1" ht="20.100000000000001" customHeight="1" x14ac:dyDescent="0.4">
      <c r="A346" s="29">
        <v>3</v>
      </c>
      <c r="B346" s="5">
        <v>1767</v>
      </c>
      <c r="C346" s="5" t="s">
        <v>460</v>
      </c>
      <c r="D346" s="5" t="s">
        <v>463</v>
      </c>
      <c r="E346" s="5" t="s">
        <v>18</v>
      </c>
      <c r="F346" s="5" t="s">
        <v>32</v>
      </c>
      <c r="G346" s="5" t="s">
        <v>32</v>
      </c>
      <c r="H346" s="5" t="s">
        <v>32</v>
      </c>
      <c r="I346" s="8"/>
      <c r="J346" s="8"/>
      <c r="K346" s="8" t="str">
        <f>IF(OR(J346="",E346=""),"",J346+IFERROR(VLOOKUP(E346,リードタイム!$A$2:$C$9,3,FALSE),0))</f>
        <v/>
      </c>
      <c r="L346" s="5" t="s">
        <v>531</v>
      </c>
      <c r="M346" s="8"/>
      <c r="N346" s="8" t="str">
        <f>IF(OR(M346="",E346=""),"",M346+IFERROR(VLOOKUP(E346,リードタイム!$A$2:$D$9,4,FALSE),0))</f>
        <v/>
      </c>
      <c r="O346" s="5" t="s">
        <v>531</v>
      </c>
      <c r="P346" s="5" t="s">
        <v>533</v>
      </c>
      <c r="Q346" s="5" t="s">
        <v>32</v>
      </c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  <c r="FS346" s="30"/>
      <c r="FT346" s="30"/>
      <c r="FU346" s="30"/>
      <c r="FV346" s="30"/>
      <c r="FW346" s="30"/>
      <c r="FX346" s="30"/>
      <c r="FY346" s="30"/>
      <c r="FZ346" s="30"/>
      <c r="GA346" s="30"/>
      <c r="GB346" s="30"/>
      <c r="GC346" s="30"/>
      <c r="GD346" s="30"/>
      <c r="GE346" s="30"/>
      <c r="GF346" s="30"/>
      <c r="GG346" s="30"/>
      <c r="GH346" s="30"/>
      <c r="GI346" s="30"/>
      <c r="GJ346" s="30"/>
      <c r="GK346" s="30"/>
      <c r="GL346" s="30"/>
      <c r="GM346" s="30"/>
      <c r="GN346" s="30"/>
      <c r="GO346" s="30"/>
      <c r="GP346" s="30"/>
      <c r="GQ346" s="30"/>
      <c r="GR346" s="30"/>
      <c r="GS346" s="30"/>
      <c r="GT346" s="30"/>
      <c r="GU346" s="30"/>
      <c r="GV346" s="30"/>
      <c r="GW346" s="30"/>
      <c r="GX346" s="30"/>
      <c r="GY346" s="30"/>
      <c r="GZ346" s="30"/>
      <c r="HA346" s="30"/>
      <c r="HB346" s="30"/>
      <c r="HC346" s="30"/>
      <c r="HD346" s="30"/>
      <c r="HE346" s="30"/>
      <c r="HF346" s="30"/>
      <c r="HG346" s="30"/>
      <c r="HH346" s="30"/>
      <c r="HI346" s="30"/>
      <c r="HJ346" s="30"/>
      <c r="HK346" s="30"/>
      <c r="HL346" s="30"/>
      <c r="HM346" s="30"/>
      <c r="HN346" s="30"/>
      <c r="HO346" s="30"/>
      <c r="HP346" s="30"/>
      <c r="HQ346" s="30"/>
      <c r="HR346" s="30"/>
      <c r="HS346" s="30"/>
      <c r="HT346" s="30"/>
      <c r="HU346" s="30"/>
      <c r="HV346" s="30"/>
      <c r="HW346" s="30"/>
      <c r="HX346" s="30"/>
      <c r="HY346" s="30"/>
      <c r="HZ346" s="30"/>
      <c r="IA346" s="30"/>
      <c r="IB346" s="30"/>
      <c r="IC346" s="30"/>
      <c r="ID346" s="30"/>
      <c r="IE346" s="30"/>
      <c r="IF346" s="30"/>
      <c r="IG346" s="30"/>
      <c r="IH346" s="30"/>
      <c r="II346" s="30"/>
      <c r="IJ346" s="30"/>
      <c r="IK346" s="30"/>
      <c r="IL346" s="30"/>
      <c r="IM346" s="30"/>
      <c r="IN346" s="30"/>
      <c r="IO346" s="30"/>
      <c r="IP346" s="30"/>
      <c r="IQ346" s="30"/>
      <c r="IR346" s="30"/>
      <c r="IS346" s="30"/>
      <c r="IT346" s="30"/>
      <c r="IU346" s="30"/>
      <c r="IV346" s="30"/>
      <c r="IW346" s="30"/>
      <c r="IX346" s="30"/>
      <c r="IY346" s="30"/>
      <c r="IZ346" s="30"/>
      <c r="JA346" s="30"/>
      <c r="JB346" s="30"/>
      <c r="JC346" s="30"/>
      <c r="JD346" s="30"/>
      <c r="JE346" s="30"/>
      <c r="JF346" s="30"/>
      <c r="JG346" s="30"/>
      <c r="JH346" s="30"/>
      <c r="JI346" s="30"/>
      <c r="JJ346" s="30"/>
      <c r="JK346" s="30"/>
      <c r="JL346" s="30"/>
      <c r="JM346" s="30"/>
      <c r="JN346" s="30"/>
      <c r="JO346" s="30"/>
      <c r="JP346" s="30"/>
      <c r="JQ346" s="30"/>
      <c r="JR346" s="30"/>
      <c r="JS346" s="30"/>
      <c r="JT346" s="30"/>
      <c r="JU346" s="30"/>
      <c r="JV346" s="30"/>
      <c r="JW346" s="30"/>
      <c r="JX346" s="30"/>
      <c r="JY346" s="30"/>
      <c r="JZ346" s="30"/>
      <c r="KA346" s="30"/>
      <c r="KB346" s="30"/>
      <c r="KC346" s="30"/>
      <c r="KD346" s="30"/>
      <c r="KE346" s="30"/>
      <c r="KF346" s="30"/>
      <c r="KG346" s="30"/>
      <c r="KH346" s="30"/>
      <c r="KI346" s="30"/>
      <c r="KJ346" s="30"/>
      <c r="KK346" s="30"/>
      <c r="KL346" s="30"/>
      <c r="KM346" s="30"/>
      <c r="KN346" s="30"/>
      <c r="KO346" s="30"/>
      <c r="KP346" s="30"/>
      <c r="KQ346" s="30"/>
      <c r="KR346" s="30"/>
      <c r="KS346" s="30"/>
      <c r="KT346" s="30"/>
      <c r="KU346" s="30"/>
      <c r="KV346" s="30"/>
      <c r="KW346" s="30"/>
      <c r="KX346" s="30"/>
      <c r="KY346" s="30"/>
      <c r="KZ346" s="30"/>
      <c r="LA346" s="30"/>
      <c r="LB346" s="30"/>
      <c r="LC346" s="30"/>
      <c r="LD346" s="30"/>
      <c r="LE346" s="30"/>
      <c r="LF346" s="30"/>
      <c r="LG346" s="30"/>
      <c r="LH346" s="30"/>
      <c r="LI346" s="30"/>
      <c r="LJ346" s="30"/>
      <c r="LK346" s="30"/>
      <c r="LL346" s="30"/>
      <c r="LM346" s="30"/>
      <c r="LN346" s="30"/>
      <c r="LO346" s="30"/>
      <c r="LP346" s="30"/>
      <c r="LQ346" s="30"/>
      <c r="LR346" s="30"/>
      <c r="LS346" s="30"/>
      <c r="LT346" s="30"/>
      <c r="LU346" s="30"/>
      <c r="LV346" s="30"/>
      <c r="LW346" s="30"/>
      <c r="LX346" s="30"/>
      <c r="LY346" s="30"/>
      <c r="LZ346" s="30"/>
      <c r="MA346" s="30"/>
      <c r="MB346" s="30"/>
      <c r="MC346" s="30"/>
      <c r="MD346" s="30"/>
      <c r="ME346" s="30"/>
      <c r="MF346" s="30"/>
      <c r="MG346" s="30"/>
      <c r="MH346" s="30"/>
      <c r="MI346" s="30"/>
      <c r="MJ346" s="30"/>
      <c r="MK346" s="30"/>
      <c r="ML346" s="30"/>
      <c r="MM346" s="30"/>
      <c r="MN346" s="30"/>
      <c r="MO346" s="30"/>
      <c r="MP346" s="30"/>
      <c r="MQ346" s="30"/>
      <c r="MR346" s="30"/>
      <c r="MS346" s="30"/>
      <c r="MT346" s="30"/>
      <c r="MU346" s="30"/>
      <c r="MV346" s="30"/>
      <c r="MW346" s="30"/>
      <c r="MX346" s="30"/>
      <c r="MY346" s="30"/>
      <c r="MZ346" s="30"/>
      <c r="NA346" s="30"/>
      <c r="NB346" s="30"/>
      <c r="NC346" s="30"/>
      <c r="ND346" s="30"/>
      <c r="NE346" s="30"/>
      <c r="NF346" s="30"/>
      <c r="NG346" s="30"/>
      <c r="NH346" s="30"/>
      <c r="NI346" s="30"/>
      <c r="NJ346" s="30"/>
      <c r="NK346" s="30"/>
      <c r="NL346" s="30"/>
      <c r="NM346" s="30"/>
      <c r="NN346" s="30"/>
      <c r="NO346" s="30"/>
      <c r="NP346" s="30"/>
      <c r="NQ346" s="30"/>
      <c r="NR346" s="30"/>
    </row>
    <row r="347" spans="1:382" s="3" customFormat="1" ht="20.100000000000001" customHeight="1" x14ac:dyDescent="0.4">
      <c r="A347" s="29">
        <v>4</v>
      </c>
      <c r="B347" s="5">
        <v>874</v>
      </c>
      <c r="C347" s="5" t="s">
        <v>460</v>
      </c>
      <c r="D347" s="5" t="s">
        <v>464</v>
      </c>
      <c r="E347" s="5" t="s">
        <v>18</v>
      </c>
      <c r="F347" s="5" t="s">
        <v>32</v>
      </c>
      <c r="G347" s="5" t="s">
        <v>32</v>
      </c>
      <c r="H347" s="5" t="s">
        <v>32</v>
      </c>
      <c r="I347" s="8"/>
      <c r="J347" s="8"/>
      <c r="K347" s="8" t="str">
        <f>IF(OR(J347="",E347=""),"",J347+IFERROR(VLOOKUP(E347,リードタイム!$A$2:$C$9,3,FALSE),0))</f>
        <v/>
      </c>
      <c r="L347" s="5" t="s">
        <v>531</v>
      </c>
      <c r="M347" s="8"/>
      <c r="N347" s="8" t="str">
        <f>IF(OR(M347="",E347=""),"",M347+IFERROR(VLOOKUP(E347,リードタイム!$A$2:$D$9,4,FALSE),0))</f>
        <v/>
      </c>
      <c r="O347" s="5" t="s">
        <v>531</v>
      </c>
      <c r="P347" s="5" t="s">
        <v>533</v>
      </c>
      <c r="Q347" s="5" t="s">
        <v>32</v>
      </c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  <c r="FS347" s="30"/>
      <c r="FT347" s="30"/>
      <c r="FU347" s="30"/>
      <c r="FV347" s="30"/>
      <c r="FW347" s="30"/>
      <c r="FX347" s="30"/>
      <c r="FY347" s="30"/>
      <c r="FZ347" s="30"/>
      <c r="GA347" s="30"/>
      <c r="GB347" s="30"/>
      <c r="GC347" s="30"/>
      <c r="GD347" s="30"/>
      <c r="GE347" s="30"/>
      <c r="GF347" s="30"/>
      <c r="GG347" s="30"/>
      <c r="GH347" s="30"/>
      <c r="GI347" s="30"/>
      <c r="GJ347" s="30"/>
      <c r="GK347" s="30"/>
      <c r="GL347" s="30"/>
      <c r="GM347" s="30"/>
      <c r="GN347" s="30"/>
      <c r="GO347" s="30"/>
      <c r="GP347" s="30"/>
      <c r="GQ347" s="30"/>
      <c r="GR347" s="30"/>
      <c r="GS347" s="30"/>
      <c r="GT347" s="30"/>
      <c r="GU347" s="30"/>
      <c r="GV347" s="30"/>
      <c r="GW347" s="30"/>
      <c r="GX347" s="30"/>
      <c r="GY347" s="30"/>
      <c r="GZ347" s="30"/>
      <c r="HA347" s="30"/>
      <c r="HB347" s="30"/>
      <c r="HC347" s="30"/>
      <c r="HD347" s="30"/>
      <c r="HE347" s="30"/>
      <c r="HF347" s="30"/>
      <c r="HG347" s="30"/>
      <c r="HH347" s="30"/>
      <c r="HI347" s="30"/>
      <c r="HJ347" s="30"/>
      <c r="HK347" s="30"/>
      <c r="HL347" s="30"/>
      <c r="HM347" s="30"/>
      <c r="HN347" s="30"/>
      <c r="HO347" s="30"/>
      <c r="HP347" s="30"/>
      <c r="HQ347" s="30"/>
      <c r="HR347" s="30"/>
      <c r="HS347" s="30"/>
      <c r="HT347" s="30"/>
      <c r="HU347" s="30"/>
      <c r="HV347" s="30"/>
      <c r="HW347" s="30"/>
      <c r="HX347" s="30"/>
      <c r="HY347" s="30"/>
      <c r="HZ347" s="30"/>
      <c r="IA347" s="30"/>
      <c r="IB347" s="30"/>
      <c r="IC347" s="30"/>
      <c r="ID347" s="30"/>
      <c r="IE347" s="30"/>
      <c r="IF347" s="30"/>
      <c r="IG347" s="30"/>
      <c r="IH347" s="30"/>
      <c r="II347" s="30"/>
      <c r="IJ347" s="30"/>
      <c r="IK347" s="30"/>
      <c r="IL347" s="30"/>
      <c r="IM347" s="30"/>
      <c r="IN347" s="30"/>
      <c r="IO347" s="30"/>
      <c r="IP347" s="30"/>
      <c r="IQ347" s="30"/>
      <c r="IR347" s="30"/>
      <c r="IS347" s="30"/>
      <c r="IT347" s="30"/>
      <c r="IU347" s="30"/>
      <c r="IV347" s="30"/>
      <c r="IW347" s="30"/>
      <c r="IX347" s="30"/>
      <c r="IY347" s="30"/>
      <c r="IZ347" s="30"/>
      <c r="JA347" s="30"/>
      <c r="JB347" s="30"/>
      <c r="JC347" s="30"/>
      <c r="JD347" s="30"/>
      <c r="JE347" s="30"/>
      <c r="JF347" s="30"/>
      <c r="JG347" s="30"/>
      <c r="JH347" s="30"/>
      <c r="JI347" s="30"/>
      <c r="JJ347" s="30"/>
      <c r="JK347" s="30"/>
      <c r="JL347" s="30"/>
      <c r="JM347" s="30"/>
      <c r="JN347" s="30"/>
      <c r="JO347" s="30"/>
      <c r="JP347" s="30"/>
      <c r="JQ347" s="30"/>
      <c r="JR347" s="30"/>
      <c r="JS347" s="30"/>
      <c r="JT347" s="30"/>
      <c r="JU347" s="30"/>
      <c r="JV347" s="30"/>
      <c r="JW347" s="30"/>
      <c r="JX347" s="30"/>
      <c r="JY347" s="30"/>
      <c r="JZ347" s="30"/>
      <c r="KA347" s="30"/>
      <c r="KB347" s="30"/>
      <c r="KC347" s="30"/>
      <c r="KD347" s="30"/>
      <c r="KE347" s="30"/>
      <c r="KF347" s="30"/>
      <c r="KG347" s="30"/>
      <c r="KH347" s="30"/>
      <c r="KI347" s="30"/>
      <c r="KJ347" s="30"/>
      <c r="KK347" s="30"/>
      <c r="KL347" s="30"/>
      <c r="KM347" s="30"/>
      <c r="KN347" s="30"/>
      <c r="KO347" s="30"/>
      <c r="KP347" s="30"/>
      <c r="KQ347" s="30"/>
      <c r="KR347" s="30"/>
      <c r="KS347" s="30"/>
      <c r="KT347" s="30"/>
      <c r="KU347" s="30"/>
      <c r="KV347" s="30"/>
      <c r="KW347" s="30"/>
      <c r="KX347" s="30"/>
      <c r="KY347" s="30"/>
      <c r="KZ347" s="30"/>
      <c r="LA347" s="30"/>
      <c r="LB347" s="30"/>
      <c r="LC347" s="30"/>
      <c r="LD347" s="30"/>
      <c r="LE347" s="30"/>
      <c r="LF347" s="30"/>
      <c r="LG347" s="30"/>
      <c r="LH347" s="30"/>
      <c r="LI347" s="30"/>
      <c r="LJ347" s="30"/>
      <c r="LK347" s="30"/>
      <c r="LL347" s="30"/>
      <c r="LM347" s="30"/>
      <c r="LN347" s="30"/>
      <c r="LO347" s="30"/>
      <c r="LP347" s="30"/>
      <c r="LQ347" s="30"/>
      <c r="LR347" s="30"/>
      <c r="LS347" s="30"/>
      <c r="LT347" s="30"/>
      <c r="LU347" s="30"/>
      <c r="LV347" s="30"/>
      <c r="LW347" s="30"/>
      <c r="LX347" s="30"/>
      <c r="LY347" s="30"/>
      <c r="LZ347" s="30"/>
      <c r="MA347" s="30"/>
      <c r="MB347" s="30"/>
      <c r="MC347" s="30"/>
      <c r="MD347" s="30"/>
      <c r="ME347" s="30"/>
      <c r="MF347" s="30"/>
      <c r="MG347" s="30"/>
      <c r="MH347" s="30"/>
      <c r="MI347" s="30"/>
      <c r="MJ347" s="30"/>
      <c r="MK347" s="30"/>
      <c r="ML347" s="30"/>
      <c r="MM347" s="30"/>
      <c r="MN347" s="30"/>
      <c r="MO347" s="30"/>
      <c r="MP347" s="30"/>
      <c r="MQ347" s="30"/>
      <c r="MR347" s="30"/>
      <c r="MS347" s="30"/>
      <c r="MT347" s="30"/>
      <c r="MU347" s="30"/>
      <c r="MV347" s="30"/>
      <c r="MW347" s="30"/>
      <c r="MX347" s="30"/>
      <c r="MY347" s="30"/>
      <c r="MZ347" s="30"/>
      <c r="NA347" s="30"/>
      <c r="NB347" s="30"/>
      <c r="NC347" s="30"/>
      <c r="ND347" s="30"/>
      <c r="NE347" s="30"/>
      <c r="NF347" s="30"/>
      <c r="NG347" s="30"/>
      <c r="NH347" s="30"/>
      <c r="NI347" s="30"/>
      <c r="NJ347" s="30"/>
      <c r="NK347" s="30"/>
      <c r="NL347" s="30"/>
      <c r="NM347" s="30"/>
      <c r="NN347" s="30"/>
      <c r="NO347" s="30"/>
      <c r="NP347" s="30"/>
      <c r="NQ347" s="30"/>
      <c r="NR347" s="30"/>
    </row>
    <row r="348" spans="1:382" s="3" customFormat="1" ht="20.100000000000001" customHeight="1" x14ac:dyDescent="0.4">
      <c r="A348" s="29">
        <v>5</v>
      </c>
      <c r="B348" s="5">
        <v>1807</v>
      </c>
      <c r="C348" s="5" t="s">
        <v>460</v>
      </c>
      <c r="D348" s="5" t="s">
        <v>465</v>
      </c>
      <c r="E348" s="5" t="s">
        <v>18</v>
      </c>
      <c r="F348" s="5" t="s">
        <v>32</v>
      </c>
      <c r="G348" s="5" t="s">
        <v>32</v>
      </c>
      <c r="H348" s="5" t="s">
        <v>32</v>
      </c>
      <c r="I348" s="8"/>
      <c r="J348" s="8"/>
      <c r="K348" s="8" t="str">
        <f>IF(OR(J348="",E348=""),"",J348+IFERROR(VLOOKUP(E348,リードタイム!$A$2:$C$9,3,FALSE),0))</f>
        <v/>
      </c>
      <c r="L348" s="5" t="s">
        <v>531</v>
      </c>
      <c r="M348" s="8"/>
      <c r="N348" s="8" t="str">
        <f>IF(OR(M348="",E348=""),"",M348+IFERROR(VLOOKUP(E348,リードタイム!$A$2:$D$9,4,FALSE),0))</f>
        <v/>
      </c>
      <c r="O348" s="5" t="s">
        <v>531</v>
      </c>
      <c r="P348" s="5" t="s">
        <v>533</v>
      </c>
      <c r="Q348" s="5" t="s">
        <v>32</v>
      </c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  <c r="FS348" s="30"/>
      <c r="FT348" s="30"/>
      <c r="FU348" s="30"/>
      <c r="FV348" s="30"/>
      <c r="FW348" s="30"/>
      <c r="FX348" s="30"/>
      <c r="FY348" s="30"/>
      <c r="FZ348" s="30"/>
      <c r="GA348" s="30"/>
      <c r="GB348" s="30"/>
      <c r="GC348" s="30"/>
      <c r="GD348" s="30"/>
      <c r="GE348" s="30"/>
      <c r="GF348" s="30"/>
      <c r="GG348" s="30"/>
      <c r="GH348" s="30"/>
      <c r="GI348" s="30"/>
      <c r="GJ348" s="30"/>
      <c r="GK348" s="30"/>
      <c r="GL348" s="30"/>
      <c r="GM348" s="30"/>
      <c r="GN348" s="30"/>
      <c r="GO348" s="30"/>
      <c r="GP348" s="30"/>
      <c r="GQ348" s="30"/>
      <c r="GR348" s="30"/>
      <c r="GS348" s="30"/>
      <c r="GT348" s="30"/>
      <c r="GU348" s="30"/>
      <c r="GV348" s="30"/>
      <c r="GW348" s="30"/>
      <c r="GX348" s="30"/>
      <c r="GY348" s="30"/>
      <c r="GZ348" s="30"/>
      <c r="HA348" s="30"/>
      <c r="HB348" s="30"/>
      <c r="HC348" s="30"/>
      <c r="HD348" s="30"/>
      <c r="HE348" s="30"/>
      <c r="HF348" s="30"/>
      <c r="HG348" s="30"/>
      <c r="HH348" s="30"/>
      <c r="HI348" s="30"/>
      <c r="HJ348" s="30"/>
      <c r="HK348" s="30"/>
      <c r="HL348" s="30"/>
      <c r="HM348" s="30"/>
      <c r="HN348" s="30"/>
      <c r="HO348" s="30"/>
      <c r="HP348" s="30"/>
      <c r="HQ348" s="30"/>
      <c r="HR348" s="30"/>
      <c r="HS348" s="30"/>
      <c r="HT348" s="30"/>
      <c r="HU348" s="30"/>
      <c r="HV348" s="30"/>
      <c r="HW348" s="30"/>
      <c r="HX348" s="30"/>
      <c r="HY348" s="30"/>
      <c r="HZ348" s="30"/>
      <c r="IA348" s="30"/>
      <c r="IB348" s="30"/>
      <c r="IC348" s="30"/>
      <c r="ID348" s="30"/>
      <c r="IE348" s="30"/>
      <c r="IF348" s="30"/>
      <c r="IG348" s="30"/>
      <c r="IH348" s="30"/>
      <c r="II348" s="30"/>
      <c r="IJ348" s="30"/>
      <c r="IK348" s="30"/>
      <c r="IL348" s="30"/>
      <c r="IM348" s="30"/>
      <c r="IN348" s="30"/>
      <c r="IO348" s="30"/>
      <c r="IP348" s="30"/>
      <c r="IQ348" s="30"/>
      <c r="IR348" s="30"/>
      <c r="IS348" s="30"/>
      <c r="IT348" s="30"/>
      <c r="IU348" s="30"/>
      <c r="IV348" s="30"/>
      <c r="IW348" s="30"/>
      <c r="IX348" s="30"/>
      <c r="IY348" s="30"/>
      <c r="IZ348" s="30"/>
      <c r="JA348" s="30"/>
      <c r="JB348" s="30"/>
      <c r="JC348" s="30"/>
      <c r="JD348" s="30"/>
      <c r="JE348" s="30"/>
      <c r="JF348" s="30"/>
      <c r="JG348" s="30"/>
      <c r="JH348" s="30"/>
      <c r="JI348" s="30"/>
      <c r="JJ348" s="30"/>
      <c r="JK348" s="30"/>
      <c r="JL348" s="30"/>
      <c r="JM348" s="30"/>
      <c r="JN348" s="30"/>
      <c r="JO348" s="30"/>
      <c r="JP348" s="30"/>
      <c r="JQ348" s="30"/>
      <c r="JR348" s="30"/>
      <c r="JS348" s="30"/>
      <c r="JT348" s="30"/>
      <c r="JU348" s="30"/>
      <c r="JV348" s="30"/>
      <c r="JW348" s="30"/>
      <c r="JX348" s="30"/>
      <c r="JY348" s="30"/>
      <c r="JZ348" s="30"/>
      <c r="KA348" s="30"/>
      <c r="KB348" s="30"/>
      <c r="KC348" s="30"/>
      <c r="KD348" s="30"/>
      <c r="KE348" s="30"/>
      <c r="KF348" s="30"/>
      <c r="KG348" s="30"/>
      <c r="KH348" s="30"/>
      <c r="KI348" s="30"/>
      <c r="KJ348" s="30"/>
      <c r="KK348" s="30"/>
      <c r="KL348" s="30"/>
      <c r="KM348" s="30"/>
      <c r="KN348" s="30"/>
      <c r="KO348" s="30"/>
      <c r="KP348" s="30"/>
      <c r="KQ348" s="30"/>
      <c r="KR348" s="30"/>
      <c r="KS348" s="30"/>
      <c r="KT348" s="30"/>
      <c r="KU348" s="30"/>
      <c r="KV348" s="30"/>
      <c r="KW348" s="30"/>
      <c r="KX348" s="30"/>
      <c r="KY348" s="30"/>
      <c r="KZ348" s="30"/>
      <c r="LA348" s="30"/>
      <c r="LB348" s="30"/>
      <c r="LC348" s="30"/>
      <c r="LD348" s="30"/>
      <c r="LE348" s="30"/>
      <c r="LF348" s="30"/>
      <c r="LG348" s="30"/>
      <c r="LH348" s="30"/>
      <c r="LI348" s="30"/>
      <c r="LJ348" s="30"/>
      <c r="LK348" s="30"/>
      <c r="LL348" s="30"/>
      <c r="LM348" s="30"/>
      <c r="LN348" s="30"/>
      <c r="LO348" s="30"/>
      <c r="LP348" s="30"/>
      <c r="LQ348" s="30"/>
      <c r="LR348" s="30"/>
      <c r="LS348" s="30"/>
      <c r="LT348" s="30"/>
      <c r="LU348" s="30"/>
      <c r="LV348" s="30"/>
      <c r="LW348" s="30"/>
      <c r="LX348" s="30"/>
      <c r="LY348" s="30"/>
      <c r="LZ348" s="30"/>
      <c r="MA348" s="30"/>
      <c r="MB348" s="30"/>
      <c r="MC348" s="30"/>
      <c r="MD348" s="30"/>
      <c r="ME348" s="30"/>
      <c r="MF348" s="30"/>
      <c r="MG348" s="30"/>
      <c r="MH348" s="30"/>
      <c r="MI348" s="30"/>
      <c r="MJ348" s="30"/>
      <c r="MK348" s="30"/>
      <c r="ML348" s="30"/>
      <c r="MM348" s="30"/>
      <c r="MN348" s="30"/>
      <c r="MO348" s="30"/>
      <c r="MP348" s="30"/>
      <c r="MQ348" s="30"/>
      <c r="MR348" s="30"/>
      <c r="MS348" s="30"/>
      <c r="MT348" s="30"/>
      <c r="MU348" s="30"/>
      <c r="MV348" s="30"/>
      <c r="MW348" s="30"/>
      <c r="MX348" s="30"/>
      <c r="MY348" s="30"/>
      <c r="MZ348" s="30"/>
      <c r="NA348" s="30"/>
      <c r="NB348" s="30"/>
      <c r="NC348" s="30"/>
      <c r="ND348" s="30"/>
      <c r="NE348" s="30"/>
      <c r="NF348" s="30"/>
      <c r="NG348" s="30"/>
      <c r="NH348" s="30"/>
      <c r="NI348" s="30"/>
      <c r="NJ348" s="30"/>
      <c r="NK348" s="30"/>
      <c r="NL348" s="30"/>
      <c r="NM348" s="30"/>
      <c r="NN348" s="30"/>
      <c r="NO348" s="30"/>
      <c r="NP348" s="30"/>
      <c r="NQ348" s="30"/>
      <c r="NR348" s="30"/>
    </row>
    <row r="349" spans="1:382" s="3" customFormat="1" ht="20.100000000000001" customHeight="1" x14ac:dyDescent="0.4">
      <c r="A349" s="29">
        <v>6</v>
      </c>
      <c r="B349" s="5">
        <v>18</v>
      </c>
      <c r="C349" s="5" t="s">
        <v>460</v>
      </c>
      <c r="D349" s="5" t="s">
        <v>428</v>
      </c>
      <c r="E349" s="5" t="s">
        <v>18</v>
      </c>
      <c r="F349" s="5" t="s">
        <v>32</v>
      </c>
      <c r="G349" s="5" t="s">
        <v>32</v>
      </c>
      <c r="H349" s="5" t="s">
        <v>32</v>
      </c>
      <c r="I349" s="8"/>
      <c r="J349" s="8"/>
      <c r="K349" s="8" t="str">
        <f>IF(OR(J349="",E349=""),"",J349+IFERROR(VLOOKUP(E349,リードタイム!$A$2:$C$9,3,FALSE),0))</f>
        <v/>
      </c>
      <c r="L349" s="5" t="s">
        <v>531</v>
      </c>
      <c r="M349" s="8"/>
      <c r="N349" s="8" t="str">
        <f>IF(OR(M349="",E349=""),"",M349+IFERROR(VLOOKUP(E349,リードタイム!$A$2:$D$9,4,FALSE),0))</f>
        <v/>
      </c>
      <c r="O349" s="5" t="s">
        <v>531</v>
      </c>
      <c r="P349" s="5" t="s">
        <v>533</v>
      </c>
      <c r="Q349" s="5" t="s">
        <v>32</v>
      </c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  <c r="FS349" s="30"/>
      <c r="FT349" s="30"/>
      <c r="FU349" s="30"/>
      <c r="FV349" s="30"/>
      <c r="FW349" s="30"/>
      <c r="FX349" s="30"/>
      <c r="FY349" s="30"/>
      <c r="FZ349" s="30"/>
      <c r="GA349" s="30"/>
      <c r="GB349" s="30"/>
      <c r="GC349" s="30"/>
      <c r="GD349" s="30"/>
      <c r="GE349" s="30"/>
      <c r="GF349" s="30"/>
      <c r="GG349" s="30"/>
      <c r="GH349" s="30"/>
      <c r="GI349" s="30"/>
      <c r="GJ349" s="30"/>
      <c r="GK349" s="30"/>
      <c r="GL349" s="30"/>
      <c r="GM349" s="30"/>
      <c r="GN349" s="30"/>
      <c r="GO349" s="30"/>
      <c r="GP349" s="30"/>
      <c r="GQ349" s="30"/>
      <c r="GR349" s="30"/>
      <c r="GS349" s="30"/>
      <c r="GT349" s="30"/>
      <c r="GU349" s="30"/>
      <c r="GV349" s="30"/>
      <c r="GW349" s="30"/>
      <c r="GX349" s="30"/>
      <c r="GY349" s="30"/>
      <c r="GZ349" s="30"/>
      <c r="HA349" s="30"/>
      <c r="HB349" s="30"/>
      <c r="HC349" s="30"/>
      <c r="HD349" s="30"/>
      <c r="HE349" s="30"/>
      <c r="HF349" s="30"/>
      <c r="HG349" s="30"/>
      <c r="HH349" s="30"/>
      <c r="HI349" s="30"/>
      <c r="HJ349" s="30"/>
      <c r="HK349" s="30"/>
      <c r="HL349" s="30"/>
      <c r="HM349" s="30"/>
      <c r="HN349" s="30"/>
      <c r="HO349" s="30"/>
      <c r="HP349" s="30"/>
      <c r="HQ349" s="30"/>
      <c r="HR349" s="30"/>
      <c r="HS349" s="30"/>
      <c r="HT349" s="30"/>
      <c r="HU349" s="30"/>
      <c r="HV349" s="30"/>
      <c r="HW349" s="30"/>
      <c r="HX349" s="30"/>
      <c r="HY349" s="30"/>
      <c r="HZ349" s="30"/>
      <c r="IA349" s="30"/>
      <c r="IB349" s="30"/>
      <c r="IC349" s="30"/>
      <c r="ID349" s="30"/>
      <c r="IE349" s="30"/>
      <c r="IF349" s="30"/>
      <c r="IG349" s="30"/>
      <c r="IH349" s="30"/>
      <c r="II349" s="30"/>
      <c r="IJ349" s="30"/>
      <c r="IK349" s="30"/>
      <c r="IL349" s="30"/>
      <c r="IM349" s="30"/>
      <c r="IN349" s="30"/>
      <c r="IO349" s="30"/>
      <c r="IP349" s="30"/>
      <c r="IQ349" s="30"/>
      <c r="IR349" s="30"/>
      <c r="IS349" s="30"/>
      <c r="IT349" s="30"/>
      <c r="IU349" s="30"/>
      <c r="IV349" s="30"/>
      <c r="IW349" s="30"/>
      <c r="IX349" s="30"/>
      <c r="IY349" s="30"/>
      <c r="IZ349" s="30"/>
      <c r="JA349" s="30"/>
      <c r="JB349" s="30"/>
      <c r="JC349" s="30"/>
      <c r="JD349" s="30"/>
      <c r="JE349" s="30"/>
      <c r="JF349" s="30"/>
      <c r="JG349" s="30"/>
      <c r="JH349" s="30"/>
      <c r="JI349" s="30"/>
      <c r="JJ349" s="30"/>
      <c r="JK349" s="30"/>
      <c r="JL349" s="30"/>
      <c r="JM349" s="30"/>
      <c r="JN349" s="30"/>
      <c r="JO349" s="30"/>
      <c r="JP349" s="30"/>
      <c r="JQ349" s="30"/>
      <c r="JR349" s="30"/>
      <c r="JS349" s="30"/>
      <c r="JT349" s="30"/>
      <c r="JU349" s="30"/>
      <c r="JV349" s="30"/>
      <c r="JW349" s="30"/>
      <c r="JX349" s="30"/>
      <c r="JY349" s="30"/>
      <c r="JZ349" s="30"/>
      <c r="KA349" s="30"/>
      <c r="KB349" s="30"/>
      <c r="KC349" s="30"/>
      <c r="KD349" s="30"/>
      <c r="KE349" s="30"/>
      <c r="KF349" s="30"/>
      <c r="KG349" s="30"/>
      <c r="KH349" s="30"/>
      <c r="KI349" s="30"/>
      <c r="KJ349" s="30"/>
      <c r="KK349" s="30"/>
      <c r="KL349" s="30"/>
      <c r="KM349" s="30"/>
      <c r="KN349" s="30"/>
      <c r="KO349" s="30"/>
      <c r="KP349" s="30"/>
      <c r="KQ349" s="30"/>
      <c r="KR349" s="30"/>
      <c r="KS349" s="30"/>
      <c r="KT349" s="30"/>
      <c r="KU349" s="30"/>
      <c r="KV349" s="30"/>
      <c r="KW349" s="30"/>
      <c r="KX349" s="30"/>
      <c r="KY349" s="30"/>
      <c r="KZ349" s="30"/>
      <c r="LA349" s="30"/>
      <c r="LB349" s="30"/>
      <c r="LC349" s="30"/>
      <c r="LD349" s="30"/>
      <c r="LE349" s="30"/>
      <c r="LF349" s="30"/>
      <c r="LG349" s="30"/>
      <c r="LH349" s="30"/>
      <c r="LI349" s="30"/>
      <c r="LJ349" s="30"/>
      <c r="LK349" s="30"/>
      <c r="LL349" s="30"/>
      <c r="LM349" s="30"/>
      <c r="LN349" s="30"/>
      <c r="LO349" s="30"/>
      <c r="LP349" s="30"/>
      <c r="LQ349" s="30"/>
      <c r="LR349" s="30"/>
      <c r="LS349" s="30"/>
      <c r="LT349" s="30"/>
      <c r="LU349" s="30"/>
      <c r="LV349" s="30"/>
      <c r="LW349" s="30"/>
      <c r="LX349" s="30"/>
      <c r="LY349" s="30"/>
      <c r="LZ349" s="30"/>
      <c r="MA349" s="30"/>
      <c r="MB349" s="30"/>
      <c r="MC349" s="30"/>
      <c r="MD349" s="30"/>
      <c r="ME349" s="30"/>
      <c r="MF349" s="30"/>
      <c r="MG349" s="30"/>
      <c r="MH349" s="30"/>
      <c r="MI349" s="30"/>
      <c r="MJ349" s="30"/>
      <c r="MK349" s="30"/>
      <c r="ML349" s="30"/>
      <c r="MM349" s="30"/>
      <c r="MN349" s="30"/>
      <c r="MO349" s="30"/>
      <c r="MP349" s="30"/>
      <c r="MQ349" s="30"/>
      <c r="MR349" s="30"/>
      <c r="MS349" s="30"/>
      <c r="MT349" s="30"/>
      <c r="MU349" s="30"/>
      <c r="MV349" s="30"/>
      <c r="MW349" s="30"/>
      <c r="MX349" s="30"/>
      <c r="MY349" s="30"/>
      <c r="MZ349" s="30"/>
      <c r="NA349" s="30"/>
      <c r="NB349" s="30"/>
      <c r="NC349" s="30"/>
      <c r="ND349" s="30"/>
      <c r="NE349" s="30"/>
      <c r="NF349" s="30"/>
      <c r="NG349" s="30"/>
      <c r="NH349" s="30"/>
      <c r="NI349" s="30"/>
      <c r="NJ349" s="30"/>
      <c r="NK349" s="30"/>
      <c r="NL349" s="30"/>
      <c r="NM349" s="30"/>
      <c r="NN349" s="30"/>
      <c r="NO349" s="30"/>
      <c r="NP349" s="30"/>
      <c r="NQ349" s="30"/>
      <c r="NR349" s="30"/>
    </row>
    <row r="350" spans="1:382" s="3" customFormat="1" ht="20.100000000000001" customHeight="1" x14ac:dyDescent="0.4">
      <c r="A350" s="29">
        <v>7</v>
      </c>
      <c r="B350" s="5">
        <v>1614</v>
      </c>
      <c r="C350" s="5" t="s">
        <v>460</v>
      </c>
      <c r="D350" s="5" t="s">
        <v>466</v>
      </c>
      <c r="E350" s="5" t="s">
        <v>18</v>
      </c>
      <c r="F350" s="5" t="s">
        <v>32</v>
      </c>
      <c r="G350" s="5" t="s">
        <v>32</v>
      </c>
      <c r="H350" s="5" t="s">
        <v>32</v>
      </c>
      <c r="I350" s="8"/>
      <c r="J350" s="8"/>
      <c r="K350" s="8" t="str">
        <f>IF(OR(J350="",E350=""),"",J350+IFERROR(VLOOKUP(E350,リードタイム!$A$2:$C$9,3,FALSE),0))</f>
        <v/>
      </c>
      <c r="L350" s="5" t="s">
        <v>531</v>
      </c>
      <c r="M350" s="8"/>
      <c r="N350" s="8" t="str">
        <f>IF(OR(M350="",E350=""),"",M350+IFERROR(VLOOKUP(E350,リードタイム!$A$2:$D$9,4,FALSE),0))</f>
        <v/>
      </c>
      <c r="O350" s="5" t="s">
        <v>531</v>
      </c>
      <c r="P350" s="5" t="s">
        <v>533</v>
      </c>
      <c r="Q350" s="5" t="s">
        <v>467</v>
      </c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  <c r="FS350" s="30"/>
      <c r="FT350" s="30"/>
      <c r="FU350" s="30"/>
      <c r="FV350" s="30"/>
      <c r="FW350" s="30"/>
      <c r="FX350" s="30"/>
      <c r="FY350" s="30"/>
      <c r="FZ350" s="30"/>
      <c r="GA350" s="30"/>
      <c r="GB350" s="30"/>
      <c r="GC350" s="30"/>
      <c r="GD350" s="30"/>
      <c r="GE350" s="30"/>
      <c r="GF350" s="30"/>
      <c r="GG350" s="30"/>
      <c r="GH350" s="30"/>
      <c r="GI350" s="30"/>
      <c r="GJ350" s="30"/>
      <c r="GK350" s="30"/>
      <c r="GL350" s="30"/>
      <c r="GM350" s="30"/>
      <c r="GN350" s="30"/>
      <c r="GO350" s="30"/>
      <c r="GP350" s="30"/>
      <c r="GQ350" s="30"/>
      <c r="GR350" s="30"/>
      <c r="GS350" s="30"/>
      <c r="GT350" s="30"/>
      <c r="GU350" s="30"/>
      <c r="GV350" s="30"/>
      <c r="GW350" s="30"/>
      <c r="GX350" s="30"/>
      <c r="GY350" s="30"/>
      <c r="GZ350" s="30"/>
      <c r="HA350" s="30"/>
      <c r="HB350" s="30"/>
      <c r="HC350" s="30"/>
      <c r="HD350" s="30"/>
      <c r="HE350" s="30"/>
      <c r="HF350" s="30"/>
      <c r="HG350" s="30"/>
      <c r="HH350" s="30"/>
      <c r="HI350" s="30"/>
      <c r="HJ350" s="30"/>
      <c r="HK350" s="30"/>
      <c r="HL350" s="30"/>
      <c r="HM350" s="30"/>
      <c r="HN350" s="30"/>
      <c r="HO350" s="30"/>
      <c r="HP350" s="30"/>
      <c r="HQ350" s="30"/>
      <c r="HR350" s="30"/>
      <c r="HS350" s="30"/>
      <c r="HT350" s="30"/>
      <c r="HU350" s="30"/>
      <c r="HV350" s="30"/>
      <c r="HW350" s="30"/>
      <c r="HX350" s="30"/>
      <c r="HY350" s="30"/>
      <c r="HZ350" s="30"/>
      <c r="IA350" s="30"/>
      <c r="IB350" s="30"/>
      <c r="IC350" s="30"/>
      <c r="ID350" s="30"/>
      <c r="IE350" s="30"/>
      <c r="IF350" s="30"/>
      <c r="IG350" s="30"/>
      <c r="IH350" s="30"/>
      <c r="II350" s="30"/>
      <c r="IJ350" s="30"/>
      <c r="IK350" s="30"/>
      <c r="IL350" s="30"/>
      <c r="IM350" s="30"/>
      <c r="IN350" s="30"/>
      <c r="IO350" s="30"/>
      <c r="IP350" s="30"/>
      <c r="IQ350" s="30"/>
      <c r="IR350" s="30"/>
      <c r="IS350" s="30"/>
      <c r="IT350" s="30"/>
      <c r="IU350" s="30"/>
      <c r="IV350" s="30"/>
      <c r="IW350" s="30"/>
      <c r="IX350" s="30"/>
      <c r="IY350" s="30"/>
      <c r="IZ350" s="30"/>
      <c r="JA350" s="30"/>
      <c r="JB350" s="30"/>
      <c r="JC350" s="30"/>
      <c r="JD350" s="30"/>
      <c r="JE350" s="30"/>
      <c r="JF350" s="30"/>
      <c r="JG350" s="30"/>
      <c r="JH350" s="30"/>
      <c r="JI350" s="30"/>
      <c r="JJ350" s="30"/>
      <c r="JK350" s="30"/>
      <c r="JL350" s="30"/>
      <c r="JM350" s="30"/>
      <c r="JN350" s="30"/>
      <c r="JO350" s="30"/>
      <c r="JP350" s="30"/>
      <c r="JQ350" s="30"/>
      <c r="JR350" s="30"/>
      <c r="JS350" s="30"/>
      <c r="JT350" s="30"/>
      <c r="JU350" s="30"/>
      <c r="JV350" s="30"/>
      <c r="JW350" s="30"/>
      <c r="JX350" s="30"/>
      <c r="JY350" s="30"/>
      <c r="JZ350" s="30"/>
      <c r="KA350" s="30"/>
      <c r="KB350" s="30"/>
      <c r="KC350" s="30"/>
      <c r="KD350" s="30"/>
      <c r="KE350" s="30"/>
      <c r="KF350" s="30"/>
      <c r="KG350" s="30"/>
      <c r="KH350" s="30"/>
      <c r="KI350" s="30"/>
      <c r="KJ350" s="30"/>
      <c r="KK350" s="30"/>
      <c r="KL350" s="30"/>
      <c r="KM350" s="30"/>
      <c r="KN350" s="30"/>
      <c r="KO350" s="30"/>
      <c r="KP350" s="30"/>
      <c r="KQ350" s="30"/>
      <c r="KR350" s="30"/>
      <c r="KS350" s="30"/>
      <c r="KT350" s="30"/>
      <c r="KU350" s="30"/>
      <c r="KV350" s="30"/>
      <c r="KW350" s="30"/>
      <c r="KX350" s="30"/>
      <c r="KY350" s="30"/>
      <c r="KZ350" s="30"/>
      <c r="LA350" s="30"/>
      <c r="LB350" s="30"/>
      <c r="LC350" s="30"/>
      <c r="LD350" s="30"/>
      <c r="LE350" s="30"/>
      <c r="LF350" s="30"/>
      <c r="LG350" s="30"/>
      <c r="LH350" s="30"/>
      <c r="LI350" s="30"/>
      <c r="LJ350" s="30"/>
      <c r="LK350" s="30"/>
      <c r="LL350" s="30"/>
      <c r="LM350" s="30"/>
      <c r="LN350" s="30"/>
      <c r="LO350" s="30"/>
      <c r="LP350" s="30"/>
      <c r="LQ350" s="30"/>
      <c r="LR350" s="30"/>
      <c r="LS350" s="30"/>
      <c r="LT350" s="30"/>
      <c r="LU350" s="30"/>
      <c r="LV350" s="30"/>
      <c r="LW350" s="30"/>
      <c r="LX350" s="30"/>
      <c r="LY350" s="30"/>
      <c r="LZ350" s="30"/>
      <c r="MA350" s="30"/>
      <c r="MB350" s="30"/>
      <c r="MC350" s="30"/>
      <c r="MD350" s="30"/>
      <c r="ME350" s="30"/>
      <c r="MF350" s="30"/>
      <c r="MG350" s="30"/>
      <c r="MH350" s="30"/>
      <c r="MI350" s="30"/>
      <c r="MJ350" s="30"/>
      <c r="MK350" s="30"/>
      <c r="ML350" s="30"/>
      <c r="MM350" s="30"/>
      <c r="MN350" s="30"/>
      <c r="MO350" s="30"/>
      <c r="MP350" s="30"/>
      <c r="MQ350" s="30"/>
      <c r="MR350" s="30"/>
      <c r="MS350" s="30"/>
      <c r="MT350" s="30"/>
      <c r="MU350" s="30"/>
      <c r="MV350" s="30"/>
      <c r="MW350" s="30"/>
      <c r="MX350" s="30"/>
      <c r="MY350" s="30"/>
      <c r="MZ350" s="30"/>
      <c r="NA350" s="30"/>
      <c r="NB350" s="30"/>
      <c r="NC350" s="30"/>
      <c r="ND350" s="30"/>
      <c r="NE350" s="30"/>
      <c r="NF350" s="30"/>
      <c r="NG350" s="30"/>
      <c r="NH350" s="30"/>
      <c r="NI350" s="30"/>
      <c r="NJ350" s="30"/>
      <c r="NK350" s="30"/>
      <c r="NL350" s="30"/>
      <c r="NM350" s="30"/>
      <c r="NN350" s="30"/>
      <c r="NO350" s="30"/>
      <c r="NP350" s="30"/>
      <c r="NQ350" s="30"/>
      <c r="NR350" s="30"/>
    </row>
    <row r="351" spans="1:382" s="3" customFormat="1" ht="20.100000000000001" customHeight="1" x14ac:dyDescent="0.4">
      <c r="A351" s="29">
        <v>8</v>
      </c>
      <c r="B351" s="5">
        <v>1734</v>
      </c>
      <c r="C351" s="5" t="s">
        <v>460</v>
      </c>
      <c r="D351" s="5" t="s">
        <v>468</v>
      </c>
      <c r="E351" s="5" t="s">
        <v>18</v>
      </c>
      <c r="F351" s="5" t="s">
        <v>32</v>
      </c>
      <c r="G351" s="5" t="s">
        <v>32</v>
      </c>
      <c r="H351" s="5" t="s">
        <v>32</v>
      </c>
      <c r="I351" s="8">
        <v>45938.625</v>
      </c>
      <c r="J351" s="8"/>
      <c r="K351" s="8" t="str">
        <f>IF(OR(J351="",E351=""),"",J351+IFERROR(VLOOKUP(E351,リードタイム!$A$2:$C$9,3,FALSE),0))</f>
        <v/>
      </c>
      <c r="L351" s="5" t="s">
        <v>531</v>
      </c>
      <c r="M351" s="8"/>
      <c r="N351" s="8" t="str">
        <f>IF(OR(M351="",E351=""),"",M351+IFERROR(VLOOKUP(E351,リードタイム!$A$2:$D$9,4,FALSE),0))</f>
        <v/>
      </c>
      <c r="O351" s="5" t="s">
        <v>531</v>
      </c>
      <c r="P351" s="5" t="s">
        <v>533</v>
      </c>
      <c r="Q351" s="5" t="s">
        <v>32</v>
      </c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  <c r="FS351" s="30"/>
      <c r="FT351" s="30"/>
      <c r="FU351" s="30"/>
      <c r="FV351" s="30"/>
      <c r="FW351" s="30"/>
      <c r="FX351" s="30"/>
      <c r="FY351" s="30"/>
      <c r="FZ351" s="30"/>
      <c r="GA351" s="30"/>
      <c r="GB351" s="30"/>
      <c r="GC351" s="30"/>
      <c r="GD351" s="30"/>
      <c r="GE351" s="30"/>
      <c r="GF351" s="30"/>
      <c r="GG351" s="30"/>
      <c r="GH351" s="30"/>
      <c r="GI351" s="30"/>
      <c r="GJ351" s="30"/>
      <c r="GK351" s="30"/>
      <c r="GL351" s="30"/>
      <c r="GM351" s="30"/>
      <c r="GN351" s="30"/>
      <c r="GO351" s="30"/>
      <c r="GP351" s="30"/>
      <c r="GQ351" s="30"/>
      <c r="GR351" s="30"/>
      <c r="GS351" s="30"/>
      <c r="GT351" s="30"/>
      <c r="GU351" s="30"/>
      <c r="GV351" s="30"/>
      <c r="GW351" s="30"/>
      <c r="GX351" s="30"/>
      <c r="GY351" s="30"/>
      <c r="GZ351" s="30"/>
      <c r="HA351" s="30"/>
      <c r="HB351" s="30"/>
      <c r="HC351" s="30"/>
      <c r="HD351" s="30"/>
      <c r="HE351" s="30"/>
      <c r="HF351" s="30"/>
      <c r="HG351" s="30"/>
      <c r="HH351" s="30"/>
      <c r="HI351" s="30"/>
      <c r="HJ351" s="30"/>
      <c r="HK351" s="30"/>
      <c r="HL351" s="30"/>
      <c r="HM351" s="30"/>
      <c r="HN351" s="30"/>
      <c r="HO351" s="30"/>
      <c r="HP351" s="30"/>
      <c r="HQ351" s="30"/>
      <c r="HR351" s="30"/>
      <c r="HS351" s="30"/>
      <c r="HT351" s="30"/>
      <c r="HU351" s="30"/>
      <c r="HV351" s="30"/>
      <c r="HW351" s="30"/>
      <c r="HX351" s="30"/>
      <c r="HY351" s="30"/>
      <c r="HZ351" s="30"/>
      <c r="IA351" s="30"/>
      <c r="IB351" s="30"/>
      <c r="IC351" s="30"/>
      <c r="ID351" s="30"/>
      <c r="IE351" s="30"/>
      <c r="IF351" s="30"/>
      <c r="IG351" s="30"/>
      <c r="IH351" s="30"/>
      <c r="II351" s="30"/>
      <c r="IJ351" s="30"/>
      <c r="IK351" s="30"/>
      <c r="IL351" s="30"/>
      <c r="IM351" s="30"/>
      <c r="IN351" s="30"/>
      <c r="IO351" s="30"/>
      <c r="IP351" s="30"/>
      <c r="IQ351" s="30"/>
      <c r="IR351" s="30"/>
      <c r="IS351" s="30"/>
      <c r="IT351" s="30"/>
      <c r="IU351" s="30"/>
      <c r="IV351" s="30"/>
      <c r="IW351" s="30"/>
      <c r="IX351" s="30"/>
      <c r="IY351" s="30"/>
      <c r="IZ351" s="30"/>
      <c r="JA351" s="30"/>
      <c r="JB351" s="30"/>
      <c r="JC351" s="30"/>
      <c r="JD351" s="30"/>
      <c r="JE351" s="30"/>
      <c r="JF351" s="30"/>
      <c r="JG351" s="30"/>
      <c r="JH351" s="30"/>
      <c r="JI351" s="30"/>
      <c r="JJ351" s="30"/>
      <c r="JK351" s="30"/>
      <c r="JL351" s="30"/>
      <c r="JM351" s="30"/>
      <c r="JN351" s="30"/>
      <c r="JO351" s="30"/>
      <c r="JP351" s="30"/>
      <c r="JQ351" s="30"/>
      <c r="JR351" s="30"/>
      <c r="JS351" s="30"/>
      <c r="JT351" s="30"/>
      <c r="JU351" s="30"/>
      <c r="JV351" s="30"/>
      <c r="JW351" s="30"/>
      <c r="JX351" s="30"/>
      <c r="JY351" s="30"/>
      <c r="JZ351" s="30"/>
      <c r="KA351" s="30"/>
      <c r="KB351" s="30"/>
      <c r="KC351" s="30"/>
      <c r="KD351" s="30"/>
      <c r="KE351" s="30"/>
      <c r="KF351" s="30"/>
      <c r="KG351" s="30"/>
      <c r="KH351" s="30"/>
      <c r="KI351" s="30"/>
      <c r="KJ351" s="30"/>
      <c r="KK351" s="30"/>
      <c r="KL351" s="30"/>
      <c r="KM351" s="30"/>
      <c r="KN351" s="30"/>
      <c r="KO351" s="30"/>
      <c r="KP351" s="30"/>
      <c r="KQ351" s="30"/>
      <c r="KR351" s="30"/>
      <c r="KS351" s="30"/>
      <c r="KT351" s="30"/>
      <c r="KU351" s="30"/>
      <c r="KV351" s="30"/>
      <c r="KW351" s="30"/>
      <c r="KX351" s="30"/>
      <c r="KY351" s="30"/>
      <c r="KZ351" s="30"/>
      <c r="LA351" s="30"/>
      <c r="LB351" s="30"/>
      <c r="LC351" s="30"/>
      <c r="LD351" s="30"/>
      <c r="LE351" s="30"/>
      <c r="LF351" s="30"/>
      <c r="LG351" s="30"/>
      <c r="LH351" s="30"/>
      <c r="LI351" s="30"/>
      <c r="LJ351" s="30"/>
      <c r="LK351" s="30"/>
      <c r="LL351" s="30"/>
      <c r="LM351" s="30"/>
      <c r="LN351" s="30"/>
      <c r="LO351" s="30"/>
      <c r="LP351" s="30"/>
      <c r="LQ351" s="30"/>
      <c r="LR351" s="30"/>
      <c r="LS351" s="30"/>
      <c r="LT351" s="30"/>
      <c r="LU351" s="30"/>
      <c r="LV351" s="30"/>
      <c r="LW351" s="30"/>
      <c r="LX351" s="30"/>
      <c r="LY351" s="30"/>
      <c r="LZ351" s="30"/>
      <c r="MA351" s="30"/>
      <c r="MB351" s="30"/>
      <c r="MC351" s="30"/>
      <c r="MD351" s="30"/>
      <c r="ME351" s="30"/>
      <c r="MF351" s="30"/>
      <c r="MG351" s="30"/>
      <c r="MH351" s="30"/>
      <c r="MI351" s="30"/>
      <c r="MJ351" s="30"/>
      <c r="MK351" s="30"/>
      <c r="ML351" s="30"/>
      <c r="MM351" s="30"/>
      <c r="MN351" s="30"/>
      <c r="MO351" s="30"/>
      <c r="MP351" s="30"/>
      <c r="MQ351" s="30"/>
      <c r="MR351" s="30"/>
      <c r="MS351" s="30"/>
      <c r="MT351" s="30"/>
      <c r="MU351" s="30"/>
      <c r="MV351" s="30"/>
      <c r="MW351" s="30"/>
      <c r="MX351" s="30"/>
      <c r="MY351" s="30"/>
      <c r="MZ351" s="30"/>
      <c r="NA351" s="30"/>
      <c r="NB351" s="30"/>
      <c r="NC351" s="30"/>
      <c r="ND351" s="30"/>
      <c r="NE351" s="30"/>
      <c r="NF351" s="30"/>
      <c r="NG351" s="30"/>
      <c r="NH351" s="30"/>
      <c r="NI351" s="30"/>
      <c r="NJ351" s="30"/>
      <c r="NK351" s="30"/>
      <c r="NL351" s="30"/>
      <c r="NM351" s="30"/>
      <c r="NN351" s="30"/>
      <c r="NO351" s="30"/>
      <c r="NP351" s="30"/>
      <c r="NQ351" s="30"/>
      <c r="NR351" s="30"/>
    </row>
    <row r="352" spans="1:382" s="3" customFormat="1" ht="20.100000000000001" customHeight="1" x14ac:dyDescent="0.4">
      <c r="A352" s="29">
        <v>9</v>
      </c>
      <c r="B352" s="5">
        <v>1925</v>
      </c>
      <c r="C352" s="5" t="s">
        <v>460</v>
      </c>
      <c r="D352" s="5" t="s">
        <v>469</v>
      </c>
      <c r="E352" s="5" t="s">
        <v>18</v>
      </c>
      <c r="F352" s="5" t="s">
        <v>32</v>
      </c>
      <c r="G352" s="5" t="s">
        <v>32</v>
      </c>
      <c r="H352" s="5" t="s">
        <v>32</v>
      </c>
      <c r="I352" s="8">
        <v>45960.625</v>
      </c>
      <c r="J352" s="8"/>
      <c r="K352" s="8" t="str">
        <f>IF(OR(J352="",E352=""),"",J352+IFERROR(VLOOKUP(E352,リードタイム!$A$2:$C$9,3,FALSE),0))</f>
        <v/>
      </c>
      <c r="L352" s="5" t="s">
        <v>531</v>
      </c>
      <c r="M352" s="8"/>
      <c r="N352" s="8" t="str">
        <f>IF(OR(M352="",E352=""),"",M352+IFERROR(VLOOKUP(E352,リードタイム!$A$2:$D$9,4,FALSE),0))</f>
        <v/>
      </c>
      <c r="O352" s="5" t="s">
        <v>531</v>
      </c>
      <c r="P352" s="5" t="s">
        <v>532</v>
      </c>
      <c r="Q352" s="5" t="s">
        <v>32</v>
      </c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  <c r="FS352" s="30"/>
      <c r="FT352" s="30"/>
      <c r="FU352" s="30"/>
      <c r="FV352" s="30"/>
      <c r="FW352" s="30"/>
      <c r="FX352" s="30"/>
      <c r="FY352" s="30"/>
      <c r="FZ352" s="30"/>
      <c r="GA352" s="30"/>
      <c r="GB352" s="30"/>
      <c r="GC352" s="30"/>
      <c r="GD352" s="30"/>
      <c r="GE352" s="30"/>
      <c r="GF352" s="30"/>
      <c r="GG352" s="30"/>
      <c r="GH352" s="30"/>
      <c r="GI352" s="30"/>
      <c r="GJ352" s="30"/>
      <c r="GK352" s="30"/>
      <c r="GL352" s="30"/>
      <c r="GM352" s="30"/>
      <c r="GN352" s="30"/>
      <c r="GO352" s="30"/>
      <c r="GP352" s="30"/>
      <c r="GQ352" s="30"/>
      <c r="GR352" s="30"/>
      <c r="GS352" s="30"/>
      <c r="GT352" s="30"/>
      <c r="GU352" s="30"/>
      <c r="GV352" s="30"/>
      <c r="GW352" s="30"/>
      <c r="GX352" s="30"/>
      <c r="GY352" s="30"/>
      <c r="GZ352" s="30"/>
      <c r="HA352" s="30"/>
      <c r="HB352" s="30"/>
      <c r="HC352" s="30"/>
      <c r="HD352" s="30"/>
      <c r="HE352" s="30"/>
      <c r="HF352" s="30"/>
      <c r="HG352" s="30"/>
      <c r="HH352" s="30"/>
      <c r="HI352" s="30"/>
      <c r="HJ352" s="30"/>
      <c r="HK352" s="30"/>
      <c r="HL352" s="30"/>
      <c r="HM352" s="30"/>
      <c r="HN352" s="30"/>
      <c r="HO352" s="30"/>
      <c r="HP352" s="30"/>
      <c r="HQ352" s="30"/>
      <c r="HR352" s="30"/>
      <c r="HS352" s="30"/>
      <c r="HT352" s="30"/>
      <c r="HU352" s="30"/>
      <c r="HV352" s="30"/>
      <c r="HW352" s="30"/>
      <c r="HX352" s="30"/>
      <c r="HY352" s="30"/>
      <c r="HZ352" s="30"/>
      <c r="IA352" s="30"/>
      <c r="IB352" s="30"/>
      <c r="IC352" s="30"/>
      <c r="ID352" s="30"/>
      <c r="IE352" s="30"/>
      <c r="IF352" s="30"/>
      <c r="IG352" s="30"/>
      <c r="IH352" s="30"/>
      <c r="II352" s="30"/>
      <c r="IJ352" s="30"/>
      <c r="IK352" s="30"/>
      <c r="IL352" s="30"/>
      <c r="IM352" s="30"/>
      <c r="IN352" s="30"/>
      <c r="IO352" s="30"/>
      <c r="IP352" s="30"/>
      <c r="IQ352" s="30"/>
      <c r="IR352" s="30"/>
      <c r="IS352" s="30"/>
      <c r="IT352" s="30"/>
      <c r="IU352" s="30"/>
      <c r="IV352" s="30"/>
      <c r="IW352" s="30"/>
      <c r="IX352" s="30"/>
      <c r="IY352" s="30"/>
      <c r="IZ352" s="30"/>
      <c r="JA352" s="30"/>
      <c r="JB352" s="30"/>
      <c r="JC352" s="30"/>
      <c r="JD352" s="30"/>
      <c r="JE352" s="30"/>
      <c r="JF352" s="30"/>
      <c r="JG352" s="30"/>
      <c r="JH352" s="30"/>
      <c r="JI352" s="30"/>
      <c r="JJ352" s="30"/>
      <c r="JK352" s="30"/>
      <c r="JL352" s="30"/>
      <c r="JM352" s="30"/>
      <c r="JN352" s="30"/>
      <c r="JO352" s="30"/>
      <c r="JP352" s="30"/>
      <c r="JQ352" s="30"/>
      <c r="JR352" s="30"/>
      <c r="JS352" s="30"/>
      <c r="JT352" s="30"/>
      <c r="JU352" s="30"/>
      <c r="JV352" s="30"/>
      <c r="JW352" s="30"/>
      <c r="JX352" s="30"/>
      <c r="JY352" s="30"/>
      <c r="JZ352" s="30"/>
      <c r="KA352" s="30"/>
      <c r="KB352" s="30"/>
      <c r="KC352" s="30"/>
      <c r="KD352" s="30"/>
      <c r="KE352" s="30"/>
      <c r="KF352" s="30"/>
      <c r="KG352" s="30"/>
      <c r="KH352" s="30"/>
      <c r="KI352" s="30"/>
      <c r="KJ352" s="30"/>
      <c r="KK352" s="30"/>
      <c r="KL352" s="30"/>
      <c r="KM352" s="30"/>
      <c r="KN352" s="30"/>
      <c r="KO352" s="30"/>
      <c r="KP352" s="30"/>
      <c r="KQ352" s="30"/>
      <c r="KR352" s="30"/>
      <c r="KS352" s="30"/>
      <c r="KT352" s="30"/>
      <c r="KU352" s="30"/>
      <c r="KV352" s="30"/>
      <c r="KW352" s="30"/>
      <c r="KX352" s="30"/>
      <c r="KY352" s="30"/>
      <c r="KZ352" s="30"/>
      <c r="LA352" s="30"/>
      <c r="LB352" s="30"/>
      <c r="LC352" s="30"/>
      <c r="LD352" s="30"/>
      <c r="LE352" s="30"/>
      <c r="LF352" s="30"/>
      <c r="LG352" s="30"/>
      <c r="LH352" s="30"/>
      <c r="LI352" s="30"/>
      <c r="LJ352" s="30"/>
      <c r="LK352" s="30"/>
      <c r="LL352" s="30"/>
      <c r="LM352" s="30"/>
      <c r="LN352" s="30"/>
      <c r="LO352" s="30"/>
      <c r="LP352" s="30"/>
      <c r="LQ352" s="30"/>
      <c r="LR352" s="30"/>
      <c r="LS352" s="30"/>
      <c r="LT352" s="30"/>
      <c r="LU352" s="30"/>
      <c r="LV352" s="30"/>
      <c r="LW352" s="30"/>
      <c r="LX352" s="30"/>
      <c r="LY352" s="30"/>
      <c r="LZ352" s="30"/>
      <c r="MA352" s="30"/>
      <c r="MB352" s="30"/>
      <c r="MC352" s="30"/>
      <c r="MD352" s="30"/>
      <c r="ME352" s="30"/>
      <c r="MF352" s="30"/>
      <c r="MG352" s="30"/>
      <c r="MH352" s="30"/>
      <c r="MI352" s="30"/>
      <c r="MJ352" s="30"/>
      <c r="MK352" s="30"/>
      <c r="ML352" s="30"/>
      <c r="MM352" s="30"/>
      <c r="MN352" s="30"/>
      <c r="MO352" s="30"/>
      <c r="MP352" s="30"/>
      <c r="MQ352" s="30"/>
      <c r="MR352" s="30"/>
      <c r="MS352" s="30"/>
      <c r="MT352" s="30"/>
      <c r="MU352" s="30"/>
      <c r="MV352" s="30"/>
      <c r="MW352" s="30"/>
      <c r="MX352" s="30"/>
      <c r="MY352" s="30"/>
      <c r="MZ352" s="30"/>
      <c r="NA352" s="30"/>
      <c r="NB352" s="30"/>
      <c r="NC352" s="30"/>
      <c r="ND352" s="30"/>
      <c r="NE352" s="30"/>
      <c r="NF352" s="30"/>
      <c r="NG352" s="30"/>
      <c r="NH352" s="30"/>
      <c r="NI352" s="30"/>
      <c r="NJ352" s="30"/>
      <c r="NK352" s="30"/>
      <c r="NL352" s="30"/>
      <c r="NM352" s="30"/>
      <c r="NN352" s="30"/>
      <c r="NO352" s="30"/>
      <c r="NP352" s="30"/>
      <c r="NQ352" s="30"/>
      <c r="NR352" s="30"/>
    </row>
    <row r="353" spans="1:382" s="3" customFormat="1" ht="20.100000000000001" customHeight="1" x14ac:dyDescent="0.4">
      <c r="A353" s="29">
        <v>10</v>
      </c>
      <c r="B353" s="5">
        <v>925</v>
      </c>
      <c r="C353" s="5" t="s">
        <v>460</v>
      </c>
      <c r="D353" s="5" t="s">
        <v>470</v>
      </c>
      <c r="E353" s="5" t="s">
        <v>18</v>
      </c>
      <c r="F353" s="5" t="s">
        <v>32</v>
      </c>
      <c r="G353" s="5" t="s">
        <v>32</v>
      </c>
      <c r="H353" s="5" t="s">
        <v>32</v>
      </c>
      <c r="I353" s="8">
        <v>45960.625</v>
      </c>
      <c r="J353" s="8"/>
      <c r="K353" s="8" t="str">
        <f>IF(OR(J353="",E353=""),"",J353+IFERROR(VLOOKUP(E353,リードタイム!$A$2:$C$9,3,FALSE),0))</f>
        <v/>
      </c>
      <c r="L353" s="5" t="s">
        <v>531</v>
      </c>
      <c r="M353" s="8"/>
      <c r="N353" s="8" t="str">
        <f>IF(OR(M353="",E353=""),"",M353+IFERROR(VLOOKUP(E353,リードタイム!$A$2:$D$9,4,FALSE),0))</f>
        <v/>
      </c>
      <c r="O353" s="5" t="s">
        <v>531</v>
      </c>
      <c r="P353" s="5" t="s">
        <v>533</v>
      </c>
      <c r="Q353" s="5" t="s">
        <v>32</v>
      </c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  <c r="FS353" s="30"/>
      <c r="FT353" s="30"/>
      <c r="FU353" s="30"/>
      <c r="FV353" s="30"/>
      <c r="FW353" s="30"/>
      <c r="FX353" s="30"/>
      <c r="FY353" s="30"/>
      <c r="FZ353" s="30"/>
      <c r="GA353" s="30"/>
      <c r="GB353" s="30"/>
      <c r="GC353" s="30"/>
      <c r="GD353" s="30"/>
      <c r="GE353" s="30"/>
      <c r="GF353" s="30"/>
      <c r="GG353" s="30"/>
      <c r="GH353" s="30"/>
      <c r="GI353" s="30"/>
      <c r="GJ353" s="30"/>
      <c r="GK353" s="30"/>
      <c r="GL353" s="30"/>
      <c r="GM353" s="30"/>
      <c r="GN353" s="30"/>
      <c r="GO353" s="30"/>
      <c r="GP353" s="30"/>
      <c r="GQ353" s="30"/>
      <c r="GR353" s="30"/>
      <c r="GS353" s="30"/>
      <c r="GT353" s="30"/>
      <c r="GU353" s="30"/>
      <c r="GV353" s="30"/>
      <c r="GW353" s="30"/>
      <c r="GX353" s="30"/>
      <c r="GY353" s="30"/>
      <c r="GZ353" s="30"/>
      <c r="HA353" s="30"/>
      <c r="HB353" s="30"/>
      <c r="HC353" s="30"/>
      <c r="HD353" s="30"/>
      <c r="HE353" s="30"/>
      <c r="HF353" s="30"/>
      <c r="HG353" s="30"/>
      <c r="HH353" s="30"/>
      <c r="HI353" s="30"/>
      <c r="HJ353" s="30"/>
      <c r="HK353" s="30"/>
      <c r="HL353" s="30"/>
      <c r="HM353" s="30"/>
      <c r="HN353" s="30"/>
      <c r="HO353" s="30"/>
      <c r="HP353" s="30"/>
      <c r="HQ353" s="30"/>
      <c r="HR353" s="30"/>
      <c r="HS353" s="30"/>
      <c r="HT353" s="30"/>
      <c r="HU353" s="30"/>
      <c r="HV353" s="30"/>
      <c r="HW353" s="30"/>
      <c r="HX353" s="30"/>
      <c r="HY353" s="30"/>
      <c r="HZ353" s="30"/>
      <c r="IA353" s="30"/>
      <c r="IB353" s="30"/>
      <c r="IC353" s="30"/>
      <c r="ID353" s="30"/>
      <c r="IE353" s="30"/>
      <c r="IF353" s="30"/>
      <c r="IG353" s="30"/>
      <c r="IH353" s="30"/>
      <c r="II353" s="30"/>
      <c r="IJ353" s="30"/>
      <c r="IK353" s="30"/>
      <c r="IL353" s="30"/>
      <c r="IM353" s="30"/>
      <c r="IN353" s="30"/>
      <c r="IO353" s="30"/>
      <c r="IP353" s="30"/>
      <c r="IQ353" s="30"/>
      <c r="IR353" s="30"/>
      <c r="IS353" s="30"/>
      <c r="IT353" s="30"/>
      <c r="IU353" s="30"/>
      <c r="IV353" s="30"/>
      <c r="IW353" s="30"/>
      <c r="IX353" s="30"/>
      <c r="IY353" s="30"/>
      <c r="IZ353" s="30"/>
      <c r="JA353" s="30"/>
      <c r="JB353" s="30"/>
      <c r="JC353" s="30"/>
      <c r="JD353" s="30"/>
      <c r="JE353" s="30"/>
      <c r="JF353" s="30"/>
      <c r="JG353" s="30"/>
      <c r="JH353" s="30"/>
      <c r="JI353" s="30"/>
      <c r="JJ353" s="30"/>
      <c r="JK353" s="30"/>
      <c r="JL353" s="30"/>
      <c r="JM353" s="30"/>
      <c r="JN353" s="30"/>
      <c r="JO353" s="30"/>
      <c r="JP353" s="30"/>
      <c r="JQ353" s="30"/>
      <c r="JR353" s="30"/>
      <c r="JS353" s="30"/>
      <c r="JT353" s="30"/>
      <c r="JU353" s="30"/>
      <c r="JV353" s="30"/>
      <c r="JW353" s="30"/>
      <c r="JX353" s="30"/>
      <c r="JY353" s="30"/>
      <c r="JZ353" s="30"/>
      <c r="KA353" s="30"/>
      <c r="KB353" s="30"/>
      <c r="KC353" s="30"/>
      <c r="KD353" s="30"/>
      <c r="KE353" s="30"/>
      <c r="KF353" s="30"/>
      <c r="KG353" s="30"/>
      <c r="KH353" s="30"/>
      <c r="KI353" s="30"/>
      <c r="KJ353" s="30"/>
      <c r="KK353" s="30"/>
      <c r="KL353" s="30"/>
      <c r="KM353" s="30"/>
      <c r="KN353" s="30"/>
      <c r="KO353" s="30"/>
      <c r="KP353" s="30"/>
      <c r="KQ353" s="30"/>
      <c r="KR353" s="30"/>
      <c r="KS353" s="30"/>
      <c r="KT353" s="30"/>
      <c r="KU353" s="30"/>
      <c r="KV353" s="30"/>
      <c r="KW353" s="30"/>
      <c r="KX353" s="30"/>
      <c r="KY353" s="30"/>
      <c r="KZ353" s="30"/>
      <c r="LA353" s="30"/>
      <c r="LB353" s="30"/>
      <c r="LC353" s="30"/>
      <c r="LD353" s="30"/>
      <c r="LE353" s="30"/>
      <c r="LF353" s="30"/>
      <c r="LG353" s="30"/>
      <c r="LH353" s="30"/>
      <c r="LI353" s="30"/>
      <c r="LJ353" s="30"/>
      <c r="LK353" s="30"/>
      <c r="LL353" s="30"/>
      <c r="LM353" s="30"/>
      <c r="LN353" s="30"/>
      <c r="LO353" s="30"/>
      <c r="LP353" s="30"/>
      <c r="LQ353" s="30"/>
      <c r="LR353" s="30"/>
      <c r="LS353" s="30"/>
      <c r="LT353" s="30"/>
      <c r="LU353" s="30"/>
      <c r="LV353" s="30"/>
      <c r="LW353" s="30"/>
      <c r="LX353" s="30"/>
      <c r="LY353" s="30"/>
      <c r="LZ353" s="30"/>
      <c r="MA353" s="30"/>
      <c r="MB353" s="30"/>
      <c r="MC353" s="30"/>
      <c r="MD353" s="30"/>
      <c r="ME353" s="30"/>
      <c r="MF353" s="30"/>
      <c r="MG353" s="30"/>
      <c r="MH353" s="30"/>
      <c r="MI353" s="30"/>
      <c r="MJ353" s="30"/>
      <c r="MK353" s="30"/>
      <c r="ML353" s="30"/>
      <c r="MM353" s="30"/>
      <c r="MN353" s="30"/>
      <c r="MO353" s="30"/>
      <c r="MP353" s="30"/>
      <c r="MQ353" s="30"/>
      <c r="MR353" s="30"/>
      <c r="MS353" s="30"/>
      <c r="MT353" s="30"/>
      <c r="MU353" s="30"/>
      <c r="MV353" s="30"/>
      <c r="MW353" s="30"/>
      <c r="MX353" s="30"/>
      <c r="MY353" s="30"/>
      <c r="MZ353" s="30"/>
      <c r="NA353" s="30"/>
      <c r="NB353" s="30"/>
      <c r="NC353" s="30"/>
      <c r="ND353" s="30"/>
      <c r="NE353" s="30"/>
      <c r="NF353" s="30"/>
      <c r="NG353" s="30"/>
      <c r="NH353" s="30"/>
      <c r="NI353" s="30"/>
      <c r="NJ353" s="30"/>
      <c r="NK353" s="30"/>
      <c r="NL353" s="30"/>
      <c r="NM353" s="30"/>
      <c r="NN353" s="30"/>
      <c r="NO353" s="30"/>
      <c r="NP353" s="30"/>
      <c r="NQ353" s="30"/>
      <c r="NR353" s="30"/>
    </row>
    <row r="354" spans="1:382" s="3" customFormat="1" ht="20.100000000000001" customHeight="1" x14ac:dyDescent="0.4">
      <c r="A354" s="29">
        <v>11</v>
      </c>
      <c r="B354" s="5">
        <v>1091</v>
      </c>
      <c r="C354" s="5" t="s">
        <v>460</v>
      </c>
      <c r="D354" s="5" t="s">
        <v>471</v>
      </c>
      <c r="E354" s="5" t="s">
        <v>18</v>
      </c>
      <c r="F354" s="5" t="s">
        <v>32</v>
      </c>
      <c r="G354" s="5" t="s">
        <v>32</v>
      </c>
      <c r="H354" s="5" t="s">
        <v>32</v>
      </c>
      <c r="I354" s="8"/>
      <c r="J354" s="8"/>
      <c r="K354" s="8" t="str">
        <f>IF(OR(J354="",E354=""),"",J354+IFERROR(VLOOKUP(E354,リードタイム!$A$2:$C$9,3,FALSE),0))</f>
        <v/>
      </c>
      <c r="L354" s="5" t="s">
        <v>531</v>
      </c>
      <c r="M354" s="8"/>
      <c r="N354" s="8" t="str">
        <f>IF(OR(M354="",E354=""),"",M354+IFERROR(VLOOKUP(E354,リードタイム!$A$2:$D$9,4,FALSE),0))</f>
        <v/>
      </c>
      <c r="O354" s="5" t="s">
        <v>531</v>
      </c>
      <c r="P354" s="5" t="s">
        <v>533</v>
      </c>
      <c r="Q354" s="5" t="s">
        <v>32</v>
      </c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  <c r="FS354" s="30"/>
      <c r="FT354" s="30"/>
      <c r="FU354" s="30"/>
      <c r="FV354" s="30"/>
      <c r="FW354" s="30"/>
      <c r="FX354" s="30"/>
      <c r="FY354" s="30"/>
      <c r="FZ354" s="30"/>
      <c r="GA354" s="30"/>
      <c r="GB354" s="30"/>
      <c r="GC354" s="30"/>
      <c r="GD354" s="30"/>
      <c r="GE354" s="30"/>
      <c r="GF354" s="30"/>
      <c r="GG354" s="30"/>
      <c r="GH354" s="30"/>
      <c r="GI354" s="30"/>
      <c r="GJ354" s="30"/>
      <c r="GK354" s="30"/>
      <c r="GL354" s="30"/>
      <c r="GM354" s="30"/>
      <c r="GN354" s="30"/>
      <c r="GO354" s="30"/>
      <c r="GP354" s="30"/>
      <c r="GQ354" s="30"/>
      <c r="GR354" s="30"/>
      <c r="GS354" s="30"/>
      <c r="GT354" s="30"/>
      <c r="GU354" s="30"/>
      <c r="GV354" s="30"/>
      <c r="GW354" s="30"/>
      <c r="GX354" s="30"/>
      <c r="GY354" s="30"/>
      <c r="GZ354" s="30"/>
      <c r="HA354" s="30"/>
      <c r="HB354" s="30"/>
      <c r="HC354" s="30"/>
      <c r="HD354" s="30"/>
      <c r="HE354" s="30"/>
      <c r="HF354" s="30"/>
      <c r="HG354" s="30"/>
      <c r="HH354" s="30"/>
      <c r="HI354" s="30"/>
      <c r="HJ354" s="30"/>
      <c r="HK354" s="30"/>
      <c r="HL354" s="30"/>
      <c r="HM354" s="30"/>
      <c r="HN354" s="30"/>
      <c r="HO354" s="30"/>
      <c r="HP354" s="30"/>
      <c r="HQ354" s="30"/>
      <c r="HR354" s="30"/>
      <c r="HS354" s="30"/>
      <c r="HT354" s="30"/>
      <c r="HU354" s="30"/>
      <c r="HV354" s="30"/>
      <c r="HW354" s="30"/>
      <c r="HX354" s="30"/>
      <c r="HY354" s="30"/>
      <c r="HZ354" s="30"/>
      <c r="IA354" s="30"/>
      <c r="IB354" s="30"/>
      <c r="IC354" s="30"/>
      <c r="ID354" s="30"/>
      <c r="IE354" s="30"/>
      <c r="IF354" s="30"/>
      <c r="IG354" s="30"/>
      <c r="IH354" s="30"/>
      <c r="II354" s="30"/>
      <c r="IJ354" s="30"/>
      <c r="IK354" s="30"/>
      <c r="IL354" s="30"/>
      <c r="IM354" s="30"/>
      <c r="IN354" s="30"/>
      <c r="IO354" s="30"/>
      <c r="IP354" s="30"/>
      <c r="IQ354" s="30"/>
      <c r="IR354" s="30"/>
      <c r="IS354" s="30"/>
      <c r="IT354" s="30"/>
      <c r="IU354" s="30"/>
      <c r="IV354" s="30"/>
      <c r="IW354" s="30"/>
      <c r="IX354" s="30"/>
      <c r="IY354" s="30"/>
      <c r="IZ354" s="30"/>
      <c r="JA354" s="30"/>
      <c r="JB354" s="30"/>
      <c r="JC354" s="30"/>
      <c r="JD354" s="30"/>
      <c r="JE354" s="30"/>
      <c r="JF354" s="30"/>
      <c r="JG354" s="30"/>
      <c r="JH354" s="30"/>
      <c r="JI354" s="30"/>
      <c r="JJ354" s="30"/>
      <c r="JK354" s="30"/>
      <c r="JL354" s="30"/>
      <c r="JM354" s="30"/>
      <c r="JN354" s="30"/>
      <c r="JO354" s="30"/>
      <c r="JP354" s="30"/>
      <c r="JQ354" s="30"/>
      <c r="JR354" s="30"/>
      <c r="JS354" s="30"/>
      <c r="JT354" s="30"/>
      <c r="JU354" s="30"/>
      <c r="JV354" s="30"/>
      <c r="JW354" s="30"/>
      <c r="JX354" s="30"/>
      <c r="JY354" s="30"/>
      <c r="JZ354" s="30"/>
      <c r="KA354" s="30"/>
      <c r="KB354" s="30"/>
      <c r="KC354" s="30"/>
      <c r="KD354" s="30"/>
      <c r="KE354" s="30"/>
      <c r="KF354" s="30"/>
      <c r="KG354" s="30"/>
      <c r="KH354" s="30"/>
      <c r="KI354" s="30"/>
      <c r="KJ354" s="30"/>
      <c r="KK354" s="30"/>
      <c r="KL354" s="30"/>
      <c r="KM354" s="30"/>
      <c r="KN354" s="30"/>
      <c r="KO354" s="30"/>
      <c r="KP354" s="30"/>
      <c r="KQ354" s="30"/>
      <c r="KR354" s="30"/>
      <c r="KS354" s="30"/>
      <c r="KT354" s="30"/>
      <c r="KU354" s="30"/>
      <c r="KV354" s="30"/>
      <c r="KW354" s="30"/>
      <c r="KX354" s="30"/>
      <c r="KY354" s="30"/>
      <c r="KZ354" s="30"/>
      <c r="LA354" s="30"/>
      <c r="LB354" s="30"/>
      <c r="LC354" s="30"/>
      <c r="LD354" s="30"/>
      <c r="LE354" s="30"/>
      <c r="LF354" s="30"/>
      <c r="LG354" s="30"/>
      <c r="LH354" s="30"/>
      <c r="LI354" s="30"/>
      <c r="LJ354" s="30"/>
      <c r="LK354" s="30"/>
      <c r="LL354" s="30"/>
      <c r="LM354" s="30"/>
      <c r="LN354" s="30"/>
      <c r="LO354" s="30"/>
      <c r="LP354" s="30"/>
      <c r="LQ354" s="30"/>
      <c r="LR354" s="30"/>
      <c r="LS354" s="30"/>
      <c r="LT354" s="30"/>
      <c r="LU354" s="30"/>
      <c r="LV354" s="30"/>
      <c r="LW354" s="30"/>
      <c r="LX354" s="30"/>
      <c r="LY354" s="30"/>
      <c r="LZ354" s="30"/>
      <c r="MA354" s="30"/>
      <c r="MB354" s="30"/>
      <c r="MC354" s="30"/>
      <c r="MD354" s="30"/>
      <c r="ME354" s="30"/>
      <c r="MF354" s="30"/>
      <c r="MG354" s="30"/>
      <c r="MH354" s="30"/>
      <c r="MI354" s="30"/>
      <c r="MJ354" s="30"/>
      <c r="MK354" s="30"/>
      <c r="ML354" s="30"/>
      <c r="MM354" s="30"/>
      <c r="MN354" s="30"/>
      <c r="MO354" s="30"/>
      <c r="MP354" s="30"/>
      <c r="MQ354" s="30"/>
      <c r="MR354" s="30"/>
      <c r="MS354" s="30"/>
      <c r="MT354" s="30"/>
      <c r="MU354" s="30"/>
      <c r="MV354" s="30"/>
      <c r="MW354" s="30"/>
      <c r="MX354" s="30"/>
      <c r="MY354" s="30"/>
      <c r="MZ354" s="30"/>
      <c r="NA354" s="30"/>
      <c r="NB354" s="30"/>
      <c r="NC354" s="30"/>
      <c r="ND354" s="30"/>
      <c r="NE354" s="30"/>
      <c r="NF354" s="30"/>
      <c r="NG354" s="30"/>
      <c r="NH354" s="30"/>
      <c r="NI354" s="30"/>
      <c r="NJ354" s="30"/>
      <c r="NK354" s="30"/>
      <c r="NL354" s="30"/>
      <c r="NM354" s="30"/>
      <c r="NN354" s="30"/>
      <c r="NO354" s="30"/>
      <c r="NP354" s="30"/>
      <c r="NQ354" s="30"/>
      <c r="NR354" s="30"/>
    </row>
    <row r="355" spans="1:382" s="3" customFormat="1" ht="20.100000000000001" customHeight="1" x14ac:dyDescent="0.4">
      <c r="A355" s="29">
        <v>12</v>
      </c>
      <c r="B355" s="5">
        <v>1767</v>
      </c>
      <c r="C355" s="5" t="s">
        <v>460</v>
      </c>
      <c r="D355" s="5" t="s">
        <v>472</v>
      </c>
      <c r="E355" s="5" t="s">
        <v>18</v>
      </c>
      <c r="F355" s="5" t="s">
        <v>32</v>
      </c>
      <c r="G355" s="5" t="s">
        <v>32</v>
      </c>
      <c r="H355" s="5" t="s">
        <v>32</v>
      </c>
      <c r="I355" s="8">
        <v>45960.625</v>
      </c>
      <c r="J355" s="8"/>
      <c r="K355" s="8" t="str">
        <f>IF(OR(J355="",E355=""),"",J355+IFERROR(VLOOKUP(E355,リードタイム!$A$2:$C$9,3,FALSE),0))</f>
        <v/>
      </c>
      <c r="L355" s="5" t="s">
        <v>531</v>
      </c>
      <c r="M355" s="8"/>
      <c r="N355" s="8" t="str">
        <f>IF(OR(M355="",E355=""),"",M355+IFERROR(VLOOKUP(E355,リードタイム!$A$2:$D$9,4,FALSE),0))</f>
        <v/>
      </c>
      <c r="O355" s="5" t="s">
        <v>531</v>
      </c>
      <c r="P355" s="5" t="s">
        <v>532</v>
      </c>
      <c r="Q355" s="5" t="s">
        <v>32</v>
      </c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  <c r="FS355" s="30"/>
      <c r="FT355" s="30"/>
      <c r="FU355" s="30"/>
      <c r="FV355" s="30"/>
      <c r="FW355" s="30"/>
      <c r="FX355" s="30"/>
      <c r="FY355" s="30"/>
      <c r="FZ355" s="30"/>
      <c r="GA355" s="30"/>
      <c r="GB355" s="30"/>
      <c r="GC355" s="30"/>
      <c r="GD355" s="30"/>
      <c r="GE355" s="30"/>
      <c r="GF355" s="30"/>
      <c r="GG355" s="30"/>
      <c r="GH355" s="30"/>
      <c r="GI355" s="30"/>
      <c r="GJ355" s="30"/>
      <c r="GK355" s="30"/>
      <c r="GL355" s="30"/>
      <c r="GM355" s="30"/>
      <c r="GN355" s="30"/>
      <c r="GO355" s="30"/>
      <c r="GP355" s="30"/>
      <c r="GQ355" s="30"/>
      <c r="GR355" s="30"/>
      <c r="GS355" s="30"/>
      <c r="GT355" s="30"/>
      <c r="GU355" s="30"/>
      <c r="GV355" s="30"/>
      <c r="GW355" s="30"/>
      <c r="GX355" s="30"/>
      <c r="GY355" s="30"/>
      <c r="GZ355" s="30"/>
      <c r="HA355" s="30"/>
      <c r="HB355" s="30"/>
      <c r="HC355" s="30"/>
      <c r="HD355" s="30"/>
      <c r="HE355" s="30"/>
      <c r="HF355" s="30"/>
      <c r="HG355" s="30"/>
      <c r="HH355" s="30"/>
      <c r="HI355" s="30"/>
      <c r="HJ355" s="30"/>
      <c r="HK355" s="30"/>
      <c r="HL355" s="30"/>
      <c r="HM355" s="30"/>
      <c r="HN355" s="30"/>
      <c r="HO355" s="30"/>
      <c r="HP355" s="30"/>
      <c r="HQ355" s="30"/>
      <c r="HR355" s="30"/>
      <c r="HS355" s="30"/>
      <c r="HT355" s="30"/>
      <c r="HU355" s="30"/>
      <c r="HV355" s="30"/>
      <c r="HW355" s="30"/>
      <c r="HX355" s="30"/>
      <c r="HY355" s="30"/>
      <c r="HZ355" s="30"/>
      <c r="IA355" s="30"/>
      <c r="IB355" s="30"/>
      <c r="IC355" s="30"/>
      <c r="ID355" s="30"/>
      <c r="IE355" s="30"/>
      <c r="IF355" s="30"/>
      <c r="IG355" s="30"/>
      <c r="IH355" s="30"/>
      <c r="II355" s="30"/>
      <c r="IJ355" s="30"/>
      <c r="IK355" s="30"/>
      <c r="IL355" s="30"/>
      <c r="IM355" s="30"/>
      <c r="IN355" s="30"/>
      <c r="IO355" s="30"/>
      <c r="IP355" s="30"/>
      <c r="IQ355" s="30"/>
      <c r="IR355" s="30"/>
      <c r="IS355" s="30"/>
      <c r="IT355" s="30"/>
      <c r="IU355" s="30"/>
      <c r="IV355" s="30"/>
      <c r="IW355" s="30"/>
      <c r="IX355" s="30"/>
      <c r="IY355" s="30"/>
      <c r="IZ355" s="30"/>
      <c r="JA355" s="30"/>
      <c r="JB355" s="30"/>
      <c r="JC355" s="30"/>
      <c r="JD355" s="30"/>
      <c r="JE355" s="30"/>
      <c r="JF355" s="30"/>
      <c r="JG355" s="30"/>
      <c r="JH355" s="30"/>
      <c r="JI355" s="30"/>
      <c r="JJ355" s="30"/>
      <c r="JK355" s="30"/>
      <c r="JL355" s="30"/>
      <c r="JM355" s="30"/>
      <c r="JN355" s="30"/>
      <c r="JO355" s="30"/>
      <c r="JP355" s="30"/>
      <c r="JQ355" s="30"/>
      <c r="JR355" s="30"/>
      <c r="JS355" s="30"/>
      <c r="JT355" s="30"/>
      <c r="JU355" s="30"/>
      <c r="JV355" s="30"/>
      <c r="JW355" s="30"/>
      <c r="JX355" s="30"/>
      <c r="JY355" s="30"/>
      <c r="JZ355" s="30"/>
      <c r="KA355" s="30"/>
      <c r="KB355" s="30"/>
      <c r="KC355" s="30"/>
      <c r="KD355" s="30"/>
      <c r="KE355" s="30"/>
      <c r="KF355" s="30"/>
      <c r="KG355" s="30"/>
      <c r="KH355" s="30"/>
      <c r="KI355" s="30"/>
      <c r="KJ355" s="30"/>
      <c r="KK355" s="30"/>
      <c r="KL355" s="30"/>
      <c r="KM355" s="30"/>
      <c r="KN355" s="30"/>
      <c r="KO355" s="30"/>
      <c r="KP355" s="30"/>
      <c r="KQ355" s="30"/>
      <c r="KR355" s="30"/>
      <c r="KS355" s="30"/>
      <c r="KT355" s="30"/>
      <c r="KU355" s="30"/>
      <c r="KV355" s="30"/>
      <c r="KW355" s="30"/>
      <c r="KX355" s="30"/>
      <c r="KY355" s="30"/>
      <c r="KZ355" s="30"/>
      <c r="LA355" s="30"/>
      <c r="LB355" s="30"/>
      <c r="LC355" s="30"/>
      <c r="LD355" s="30"/>
      <c r="LE355" s="30"/>
      <c r="LF355" s="30"/>
      <c r="LG355" s="30"/>
      <c r="LH355" s="30"/>
      <c r="LI355" s="30"/>
      <c r="LJ355" s="30"/>
      <c r="LK355" s="30"/>
      <c r="LL355" s="30"/>
      <c r="LM355" s="30"/>
      <c r="LN355" s="30"/>
      <c r="LO355" s="30"/>
      <c r="LP355" s="30"/>
      <c r="LQ355" s="30"/>
      <c r="LR355" s="30"/>
      <c r="LS355" s="30"/>
      <c r="LT355" s="30"/>
      <c r="LU355" s="30"/>
      <c r="LV355" s="30"/>
      <c r="LW355" s="30"/>
      <c r="LX355" s="30"/>
      <c r="LY355" s="30"/>
      <c r="LZ355" s="30"/>
      <c r="MA355" s="30"/>
      <c r="MB355" s="30"/>
      <c r="MC355" s="30"/>
      <c r="MD355" s="30"/>
      <c r="ME355" s="30"/>
      <c r="MF355" s="30"/>
      <c r="MG355" s="30"/>
      <c r="MH355" s="30"/>
      <c r="MI355" s="30"/>
      <c r="MJ355" s="30"/>
      <c r="MK355" s="30"/>
      <c r="ML355" s="30"/>
      <c r="MM355" s="30"/>
      <c r="MN355" s="30"/>
      <c r="MO355" s="30"/>
      <c r="MP355" s="30"/>
      <c r="MQ355" s="30"/>
      <c r="MR355" s="30"/>
      <c r="MS355" s="30"/>
      <c r="MT355" s="30"/>
      <c r="MU355" s="30"/>
      <c r="MV355" s="30"/>
      <c r="MW355" s="30"/>
      <c r="MX355" s="30"/>
      <c r="MY355" s="30"/>
      <c r="MZ355" s="30"/>
      <c r="NA355" s="30"/>
      <c r="NB355" s="30"/>
      <c r="NC355" s="30"/>
      <c r="ND355" s="30"/>
      <c r="NE355" s="30"/>
      <c r="NF355" s="30"/>
      <c r="NG355" s="30"/>
      <c r="NH355" s="30"/>
      <c r="NI355" s="30"/>
      <c r="NJ355" s="30"/>
      <c r="NK355" s="30"/>
      <c r="NL355" s="30"/>
      <c r="NM355" s="30"/>
      <c r="NN355" s="30"/>
      <c r="NO355" s="30"/>
      <c r="NP355" s="30"/>
      <c r="NQ355" s="30"/>
      <c r="NR355" s="30"/>
    </row>
    <row r="356" spans="1:382" s="3" customFormat="1" ht="20.100000000000001" customHeight="1" x14ac:dyDescent="0.4">
      <c r="A356" s="29">
        <v>13</v>
      </c>
      <c r="B356" s="5">
        <v>1694</v>
      </c>
      <c r="C356" s="5" t="s">
        <v>460</v>
      </c>
      <c r="D356" s="5" t="s">
        <v>473</v>
      </c>
      <c r="E356" s="5" t="s">
        <v>18</v>
      </c>
      <c r="F356" s="5" t="s">
        <v>32</v>
      </c>
      <c r="G356" s="5" t="s">
        <v>32</v>
      </c>
      <c r="H356" s="5" t="s">
        <v>32</v>
      </c>
      <c r="I356" s="8"/>
      <c r="J356" s="8"/>
      <c r="K356" s="8" t="str">
        <f>IF(OR(J356="",E356=""),"",J356+IFERROR(VLOOKUP(E356,リードタイム!$A$2:$C$9,3,FALSE),0))</f>
        <v/>
      </c>
      <c r="L356" s="5" t="s">
        <v>530</v>
      </c>
      <c r="M356" s="8"/>
      <c r="N356" s="8" t="str">
        <f>IF(OR(M356="",E356=""),"",M356+IFERROR(VLOOKUP(E356,リードタイム!$A$2:$D$9,4,FALSE),0))</f>
        <v/>
      </c>
      <c r="O356" s="5" t="s">
        <v>530</v>
      </c>
      <c r="P356" s="5" t="s">
        <v>530</v>
      </c>
      <c r="Q356" s="5" t="s">
        <v>474</v>
      </c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  <c r="FS356" s="30"/>
      <c r="FT356" s="30"/>
      <c r="FU356" s="30"/>
      <c r="FV356" s="30"/>
      <c r="FW356" s="30"/>
      <c r="FX356" s="30"/>
      <c r="FY356" s="30"/>
      <c r="FZ356" s="30"/>
      <c r="GA356" s="30"/>
      <c r="GB356" s="30"/>
      <c r="GC356" s="30"/>
      <c r="GD356" s="30"/>
      <c r="GE356" s="30"/>
      <c r="GF356" s="30"/>
      <c r="GG356" s="30"/>
      <c r="GH356" s="30"/>
      <c r="GI356" s="30"/>
      <c r="GJ356" s="30"/>
      <c r="GK356" s="30"/>
      <c r="GL356" s="30"/>
      <c r="GM356" s="30"/>
      <c r="GN356" s="30"/>
      <c r="GO356" s="30"/>
      <c r="GP356" s="30"/>
      <c r="GQ356" s="30"/>
      <c r="GR356" s="30"/>
      <c r="GS356" s="30"/>
      <c r="GT356" s="30"/>
      <c r="GU356" s="30"/>
      <c r="GV356" s="30"/>
      <c r="GW356" s="30"/>
      <c r="GX356" s="30"/>
      <c r="GY356" s="30"/>
      <c r="GZ356" s="30"/>
      <c r="HA356" s="30"/>
      <c r="HB356" s="30"/>
      <c r="HC356" s="30"/>
      <c r="HD356" s="30"/>
      <c r="HE356" s="30"/>
      <c r="HF356" s="30"/>
      <c r="HG356" s="30"/>
      <c r="HH356" s="30"/>
      <c r="HI356" s="30"/>
      <c r="HJ356" s="30"/>
      <c r="HK356" s="30"/>
      <c r="HL356" s="30"/>
      <c r="HM356" s="30"/>
      <c r="HN356" s="30"/>
      <c r="HO356" s="30"/>
      <c r="HP356" s="30"/>
      <c r="HQ356" s="30"/>
      <c r="HR356" s="30"/>
      <c r="HS356" s="30"/>
      <c r="HT356" s="30"/>
      <c r="HU356" s="30"/>
      <c r="HV356" s="30"/>
      <c r="HW356" s="30"/>
      <c r="HX356" s="30"/>
      <c r="HY356" s="30"/>
      <c r="HZ356" s="30"/>
      <c r="IA356" s="30"/>
      <c r="IB356" s="30"/>
      <c r="IC356" s="30"/>
      <c r="ID356" s="30"/>
      <c r="IE356" s="30"/>
      <c r="IF356" s="30"/>
      <c r="IG356" s="30"/>
      <c r="IH356" s="30"/>
      <c r="II356" s="30"/>
      <c r="IJ356" s="30"/>
      <c r="IK356" s="30"/>
      <c r="IL356" s="30"/>
      <c r="IM356" s="30"/>
      <c r="IN356" s="30"/>
      <c r="IO356" s="30"/>
      <c r="IP356" s="30"/>
      <c r="IQ356" s="30"/>
      <c r="IR356" s="30"/>
      <c r="IS356" s="30"/>
      <c r="IT356" s="30"/>
      <c r="IU356" s="30"/>
      <c r="IV356" s="30"/>
      <c r="IW356" s="30"/>
      <c r="IX356" s="30"/>
      <c r="IY356" s="30"/>
      <c r="IZ356" s="30"/>
      <c r="JA356" s="30"/>
      <c r="JB356" s="30"/>
      <c r="JC356" s="30"/>
      <c r="JD356" s="30"/>
      <c r="JE356" s="30"/>
      <c r="JF356" s="30"/>
      <c r="JG356" s="30"/>
      <c r="JH356" s="30"/>
      <c r="JI356" s="30"/>
      <c r="JJ356" s="30"/>
      <c r="JK356" s="30"/>
      <c r="JL356" s="30"/>
      <c r="JM356" s="30"/>
      <c r="JN356" s="30"/>
      <c r="JO356" s="30"/>
      <c r="JP356" s="30"/>
      <c r="JQ356" s="30"/>
      <c r="JR356" s="30"/>
      <c r="JS356" s="30"/>
      <c r="JT356" s="30"/>
      <c r="JU356" s="30"/>
      <c r="JV356" s="30"/>
      <c r="JW356" s="30"/>
      <c r="JX356" s="30"/>
      <c r="JY356" s="30"/>
      <c r="JZ356" s="30"/>
      <c r="KA356" s="30"/>
      <c r="KB356" s="30"/>
      <c r="KC356" s="30"/>
      <c r="KD356" s="30"/>
      <c r="KE356" s="30"/>
      <c r="KF356" s="30"/>
      <c r="KG356" s="30"/>
      <c r="KH356" s="30"/>
      <c r="KI356" s="30"/>
      <c r="KJ356" s="30"/>
      <c r="KK356" s="30"/>
      <c r="KL356" s="30"/>
      <c r="KM356" s="30"/>
      <c r="KN356" s="30"/>
      <c r="KO356" s="30"/>
      <c r="KP356" s="30"/>
      <c r="KQ356" s="30"/>
      <c r="KR356" s="30"/>
      <c r="KS356" s="30"/>
      <c r="KT356" s="30"/>
      <c r="KU356" s="30"/>
      <c r="KV356" s="30"/>
      <c r="KW356" s="30"/>
      <c r="KX356" s="30"/>
      <c r="KY356" s="30"/>
      <c r="KZ356" s="30"/>
      <c r="LA356" s="30"/>
      <c r="LB356" s="30"/>
      <c r="LC356" s="30"/>
      <c r="LD356" s="30"/>
      <c r="LE356" s="30"/>
      <c r="LF356" s="30"/>
      <c r="LG356" s="30"/>
      <c r="LH356" s="30"/>
      <c r="LI356" s="30"/>
      <c r="LJ356" s="30"/>
      <c r="LK356" s="30"/>
      <c r="LL356" s="30"/>
      <c r="LM356" s="30"/>
      <c r="LN356" s="30"/>
      <c r="LO356" s="30"/>
      <c r="LP356" s="30"/>
      <c r="LQ356" s="30"/>
      <c r="LR356" s="30"/>
      <c r="LS356" s="30"/>
      <c r="LT356" s="30"/>
      <c r="LU356" s="30"/>
      <c r="LV356" s="30"/>
      <c r="LW356" s="30"/>
      <c r="LX356" s="30"/>
      <c r="LY356" s="30"/>
      <c r="LZ356" s="30"/>
      <c r="MA356" s="30"/>
      <c r="MB356" s="30"/>
      <c r="MC356" s="30"/>
      <c r="MD356" s="30"/>
      <c r="ME356" s="30"/>
      <c r="MF356" s="30"/>
      <c r="MG356" s="30"/>
      <c r="MH356" s="30"/>
      <c r="MI356" s="30"/>
      <c r="MJ356" s="30"/>
      <c r="MK356" s="30"/>
      <c r="ML356" s="30"/>
      <c r="MM356" s="30"/>
      <c r="MN356" s="30"/>
      <c r="MO356" s="30"/>
      <c r="MP356" s="30"/>
      <c r="MQ356" s="30"/>
      <c r="MR356" s="30"/>
      <c r="MS356" s="30"/>
      <c r="MT356" s="30"/>
      <c r="MU356" s="30"/>
      <c r="MV356" s="30"/>
      <c r="MW356" s="30"/>
      <c r="MX356" s="30"/>
      <c r="MY356" s="30"/>
      <c r="MZ356" s="30"/>
      <c r="NA356" s="30"/>
      <c r="NB356" s="30"/>
      <c r="NC356" s="30"/>
      <c r="ND356" s="30"/>
      <c r="NE356" s="30"/>
      <c r="NF356" s="30"/>
      <c r="NG356" s="30"/>
      <c r="NH356" s="30"/>
      <c r="NI356" s="30"/>
      <c r="NJ356" s="30"/>
      <c r="NK356" s="30"/>
      <c r="NL356" s="30"/>
      <c r="NM356" s="30"/>
      <c r="NN356" s="30"/>
      <c r="NO356" s="30"/>
      <c r="NP356" s="30"/>
      <c r="NQ356" s="30"/>
      <c r="NR356" s="30"/>
    </row>
    <row r="357" spans="1:382" s="3" customFormat="1" ht="20.100000000000001" customHeight="1" x14ac:dyDescent="0.4">
      <c r="A357" s="29">
        <v>14</v>
      </c>
      <c r="B357" s="5">
        <v>1602</v>
      </c>
      <c r="C357" s="5" t="s">
        <v>460</v>
      </c>
      <c r="D357" s="5" t="s">
        <v>76</v>
      </c>
      <c r="E357" s="5" t="s">
        <v>18</v>
      </c>
      <c r="F357" s="5" t="s">
        <v>32</v>
      </c>
      <c r="G357" s="5" t="s">
        <v>32</v>
      </c>
      <c r="H357" s="5" t="s">
        <v>32</v>
      </c>
      <c r="I357" s="8"/>
      <c r="J357" s="8"/>
      <c r="K357" s="8" t="str">
        <f>IF(OR(J357="",E357=""),"",J357+IFERROR(VLOOKUP(E357,リードタイム!$A$2:$C$9,3,FALSE),0))</f>
        <v/>
      </c>
      <c r="L357" s="5" t="s">
        <v>530</v>
      </c>
      <c r="M357" s="8"/>
      <c r="N357" s="8" t="str">
        <f>IF(OR(M357="",E357=""),"",M357+IFERROR(VLOOKUP(E357,リードタイム!$A$2:$D$9,4,FALSE),0))</f>
        <v/>
      </c>
      <c r="O357" s="5" t="s">
        <v>530</v>
      </c>
      <c r="P357" s="5" t="s">
        <v>530</v>
      </c>
      <c r="Q357" s="5" t="s">
        <v>164</v>
      </c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  <c r="FS357" s="30"/>
      <c r="FT357" s="30"/>
      <c r="FU357" s="30"/>
      <c r="FV357" s="30"/>
      <c r="FW357" s="30"/>
      <c r="FX357" s="30"/>
      <c r="FY357" s="30"/>
      <c r="FZ357" s="30"/>
      <c r="GA357" s="30"/>
      <c r="GB357" s="30"/>
      <c r="GC357" s="30"/>
      <c r="GD357" s="30"/>
      <c r="GE357" s="30"/>
      <c r="GF357" s="30"/>
      <c r="GG357" s="30"/>
      <c r="GH357" s="30"/>
      <c r="GI357" s="30"/>
      <c r="GJ357" s="30"/>
      <c r="GK357" s="30"/>
      <c r="GL357" s="30"/>
      <c r="GM357" s="30"/>
      <c r="GN357" s="30"/>
      <c r="GO357" s="30"/>
      <c r="GP357" s="30"/>
      <c r="GQ357" s="30"/>
      <c r="GR357" s="30"/>
      <c r="GS357" s="30"/>
      <c r="GT357" s="30"/>
      <c r="GU357" s="30"/>
      <c r="GV357" s="30"/>
      <c r="GW357" s="30"/>
      <c r="GX357" s="30"/>
      <c r="GY357" s="30"/>
      <c r="GZ357" s="30"/>
      <c r="HA357" s="30"/>
      <c r="HB357" s="30"/>
      <c r="HC357" s="30"/>
      <c r="HD357" s="30"/>
      <c r="HE357" s="30"/>
      <c r="HF357" s="30"/>
      <c r="HG357" s="30"/>
      <c r="HH357" s="30"/>
      <c r="HI357" s="30"/>
      <c r="HJ357" s="30"/>
      <c r="HK357" s="30"/>
      <c r="HL357" s="30"/>
      <c r="HM357" s="30"/>
      <c r="HN357" s="30"/>
      <c r="HO357" s="30"/>
      <c r="HP357" s="30"/>
      <c r="HQ357" s="30"/>
      <c r="HR357" s="30"/>
      <c r="HS357" s="30"/>
      <c r="HT357" s="30"/>
      <c r="HU357" s="30"/>
      <c r="HV357" s="30"/>
      <c r="HW357" s="30"/>
      <c r="HX357" s="30"/>
      <c r="HY357" s="30"/>
      <c r="HZ357" s="30"/>
      <c r="IA357" s="30"/>
      <c r="IB357" s="30"/>
      <c r="IC357" s="30"/>
      <c r="ID357" s="30"/>
      <c r="IE357" s="30"/>
      <c r="IF357" s="30"/>
      <c r="IG357" s="30"/>
      <c r="IH357" s="30"/>
      <c r="II357" s="30"/>
      <c r="IJ357" s="30"/>
      <c r="IK357" s="30"/>
      <c r="IL357" s="30"/>
      <c r="IM357" s="30"/>
      <c r="IN357" s="30"/>
      <c r="IO357" s="30"/>
      <c r="IP357" s="30"/>
      <c r="IQ357" s="30"/>
      <c r="IR357" s="30"/>
      <c r="IS357" s="30"/>
      <c r="IT357" s="30"/>
      <c r="IU357" s="30"/>
      <c r="IV357" s="30"/>
      <c r="IW357" s="30"/>
      <c r="IX357" s="30"/>
      <c r="IY357" s="30"/>
      <c r="IZ357" s="30"/>
      <c r="JA357" s="30"/>
      <c r="JB357" s="30"/>
      <c r="JC357" s="30"/>
      <c r="JD357" s="30"/>
      <c r="JE357" s="30"/>
      <c r="JF357" s="30"/>
      <c r="JG357" s="30"/>
      <c r="JH357" s="30"/>
      <c r="JI357" s="30"/>
      <c r="JJ357" s="30"/>
      <c r="JK357" s="30"/>
      <c r="JL357" s="30"/>
      <c r="JM357" s="30"/>
      <c r="JN357" s="30"/>
      <c r="JO357" s="30"/>
      <c r="JP357" s="30"/>
      <c r="JQ357" s="30"/>
      <c r="JR357" s="30"/>
      <c r="JS357" s="30"/>
      <c r="JT357" s="30"/>
      <c r="JU357" s="30"/>
      <c r="JV357" s="30"/>
      <c r="JW357" s="30"/>
      <c r="JX357" s="30"/>
      <c r="JY357" s="30"/>
      <c r="JZ357" s="30"/>
      <c r="KA357" s="30"/>
      <c r="KB357" s="30"/>
      <c r="KC357" s="30"/>
      <c r="KD357" s="30"/>
      <c r="KE357" s="30"/>
      <c r="KF357" s="30"/>
      <c r="KG357" s="30"/>
      <c r="KH357" s="30"/>
      <c r="KI357" s="30"/>
      <c r="KJ357" s="30"/>
      <c r="KK357" s="30"/>
      <c r="KL357" s="30"/>
      <c r="KM357" s="30"/>
      <c r="KN357" s="30"/>
      <c r="KO357" s="30"/>
      <c r="KP357" s="30"/>
      <c r="KQ357" s="30"/>
      <c r="KR357" s="30"/>
      <c r="KS357" s="30"/>
      <c r="KT357" s="30"/>
      <c r="KU357" s="30"/>
      <c r="KV357" s="30"/>
      <c r="KW357" s="30"/>
      <c r="KX357" s="30"/>
      <c r="KY357" s="30"/>
      <c r="KZ357" s="30"/>
      <c r="LA357" s="30"/>
      <c r="LB357" s="30"/>
      <c r="LC357" s="30"/>
      <c r="LD357" s="30"/>
      <c r="LE357" s="30"/>
      <c r="LF357" s="30"/>
      <c r="LG357" s="30"/>
      <c r="LH357" s="30"/>
      <c r="LI357" s="30"/>
      <c r="LJ357" s="30"/>
      <c r="LK357" s="30"/>
      <c r="LL357" s="30"/>
      <c r="LM357" s="30"/>
      <c r="LN357" s="30"/>
      <c r="LO357" s="30"/>
      <c r="LP357" s="30"/>
      <c r="LQ357" s="30"/>
      <c r="LR357" s="30"/>
      <c r="LS357" s="30"/>
      <c r="LT357" s="30"/>
      <c r="LU357" s="30"/>
      <c r="LV357" s="30"/>
      <c r="LW357" s="30"/>
      <c r="LX357" s="30"/>
      <c r="LY357" s="30"/>
      <c r="LZ357" s="30"/>
      <c r="MA357" s="30"/>
      <c r="MB357" s="30"/>
      <c r="MC357" s="30"/>
      <c r="MD357" s="30"/>
      <c r="ME357" s="30"/>
      <c r="MF357" s="30"/>
      <c r="MG357" s="30"/>
      <c r="MH357" s="30"/>
      <c r="MI357" s="30"/>
      <c r="MJ357" s="30"/>
      <c r="MK357" s="30"/>
      <c r="ML357" s="30"/>
      <c r="MM357" s="30"/>
      <c r="MN357" s="30"/>
      <c r="MO357" s="30"/>
      <c r="MP357" s="30"/>
      <c r="MQ357" s="30"/>
      <c r="MR357" s="30"/>
      <c r="MS357" s="30"/>
      <c r="MT357" s="30"/>
      <c r="MU357" s="30"/>
      <c r="MV357" s="30"/>
      <c r="MW357" s="30"/>
      <c r="MX357" s="30"/>
      <c r="MY357" s="30"/>
      <c r="MZ357" s="30"/>
      <c r="NA357" s="30"/>
      <c r="NB357" s="30"/>
      <c r="NC357" s="30"/>
      <c r="ND357" s="30"/>
      <c r="NE357" s="30"/>
      <c r="NF357" s="30"/>
      <c r="NG357" s="30"/>
      <c r="NH357" s="30"/>
      <c r="NI357" s="30"/>
      <c r="NJ357" s="30"/>
      <c r="NK357" s="30"/>
      <c r="NL357" s="30"/>
      <c r="NM357" s="30"/>
      <c r="NN357" s="30"/>
      <c r="NO357" s="30"/>
      <c r="NP357" s="30"/>
      <c r="NQ357" s="30"/>
      <c r="NR357" s="30"/>
    </row>
    <row r="358" spans="1:382" s="3" customFormat="1" ht="20.100000000000001" customHeight="1" x14ac:dyDescent="0.4">
      <c r="A358" s="29">
        <v>15</v>
      </c>
      <c r="B358" s="5">
        <v>257</v>
      </c>
      <c r="C358" s="5" t="s">
        <v>460</v>
      </c>
      <c r="D358" s="5" t="s">
        <v>475</v>
      </c>
      <c r="E358" s="5" t="s">
        <v>18</v>
      </c>
      <c r="F358" s="5" t="s">
        <v>32</v>
      </c>
      <c r="G358" s="5" t="s">
        <v>32</v>
      </c>
      <c r="H358" s="5" t="s">
        <v>32</v>
      </c>
      <c r="I358" s="8"/>
      <c r="J358" s="8"/>
      <c r="K358" s="8" t="str">
        <f>IF(OR(J358="",E358=""),"",J358+IFERROR(VLOOKUP(E358,リードタイム!$A$2:$C$9,3,FALSE),0))</f>
        <v/>
      </c>
      <c r="L358" s="5" t="s">
        <v>530</v>
      </c>
      <c r="M358" s="8"/>
      <c r="N358" s="8" t="str">
        <f>IF(OR(M358="",E358=""),"",M358+IFERROR(VLOOKUP(E358,リードタイム!$A$2:$D$9,4,FALSE),0))</f>
        <v/>
      </c>
      <c r="O358" s="5" t="s">
        <v>530</v>
      </c>
      <c r="P358" s="5" t="s">
        <v>530</v>
      </c>
      <c r="Q358" s="5" t="s">
        <v>32</v>
      </c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  <c r="FS358" s="30"/>
      <c r="FT358" s="30"/>
      <c r="FU358" s="30"/>
      <c r="FV358" s="30"/>
      <c r="FW358" s="30"/>
      <c r="FX358" s="30"/>
      <c r="FY358" s="30"/>
      <c r="FZ358" s="30"/>
      <c r="GA358" s="30"/>
      <c r="GB358" s="30"/>
      <c r="GC358" s="30"/>
      <c r="GD358" s="30"/>
      <c r="GE358" s="30"/>
      <c r="GF358" s="30"/>
      <c r="GG358" s="30"/>
      <c r="GH358" s="30"/>
      <c r="GI358" s="30"/>
      <c r="GJ358" s="30"/>
      <c r="GK358" s="30"/>
      <c r="GL358" s="30"/>
      <c r="GM358" s="30"/>
      <c r="GN358" s="30"/>
      <c r="GO358" s="30"/>
      <c r="GP358" s="30"/>
      <c r="GQ358" s="30"/>
      <c r="GR358" s="30"/>
      <c r="GS358" s="30"/>
      <c r="GT358" s="30"/>
      <c r="GU358" s="30"/>
      <c r="GV358" s="30"/>
      <c r="GW358" s="30"/>
      <c r="GX358" s="30"/>
      <c r="GY358" s="30"/>
      <c r="GZ358" s="30"/>
      <c r="HA358" s="30"/>
      <c r="HB358" s="30"/>
      <c r="HC358" s="30"/>
      <c r="HD358" s="30"/>
      <c r="HE358" s="30"/>
      <c r="HF358" s="30"/>
      <c r="HG358" s="30"/>
      <c r="HH358" s="30"/>
      <c r="HI358" s="30"/>
      <c r="HJ358" s="30"/>
      <c r="HK358" s="30"/>
      <c r="HL358" s="30"/>
      <c r="HM358" s="30"/>
      <c r="HN358" s="30"/>
      <c r="HO358" s="30"/>
      <c r="HP358" s="30"/>
      <c r="HQ358" s="30"/>
      <c r="HR358" s="30"/>
      <c r="HS358" s="30"/>
      <c r="HT358" s="30"/>
      <c r="HU358" s="30"/>
      <c r="HV358" s="30"/>
      <c r="HW358" s="30"/>
      <c r="HX358" s="30"/>
      <c r="HY358" s="30"/>
      <c r="HZ358" s="30"/>
      <c r="IA358" s="30"/>
      <c r="IB358" s="30"/>
      <c r="IC358" s="30"/>
      <c r="ID358" s="30"/>
      <c r="IE358" s="30"/>
      <c r="IF358" s="30"/>
      <c r="IG358" s="30"/>
      <c r="IH358" s="30"/>
      <c r="II358" s="30"/>
      <c r="IJ358" s="30"/>
      <c r="IK358" s="30"/>
      <c r="IL358" s="30"/>
      <c r="IM358" s="30"/>
      <c r="IN358" s="30"/>
      <c r="IO358" s="30"/>
      <c r="IP358" s="30"/>
      <c r="IQ358" s="30"/>
      <c r="IR358" s="30"/>
      <c r="IS358" s="30"/>
      <c r="IT358" s="30"/>
      <c r="IU358" s="30"/>
      <c r="IV358" s="30"/>
      <c r="IW358" s="30"/>
      <c r="IX358" s="30"/>
      <c r="IY358" s="30"/>
      <c r="IZ358" s="30"/>
      <c r="JA358" s="30"/>
      <c r="JB358" s="30"/>
      <c r="JC358" s="30"/>
      <c r="JD358" s="30"/>
      <c r="JE358" s="30"/>
      <c r="JF358" s="30"/>
      <c r="JG358" s="30"/>
      <c r="JH358" s="30"/>
      <c r="JI358" s="30"/>
      <c r="JJ358" s="30"/>
      <c r="JK358" s="30"/>
      <c r="JL358" s="30"/>
      <c r="JM358" s="30"/>
      <c r="JN358" s="30"/>
      <c r="JO358" s="30"/>
      <c r="JP358" s="30"/>
      <c r="JQ358" s="30"/>
      <c r="JR358" s="30"/>
      <c r="JS358" s="30"/>
      <c r="JT358" s="30"/>
      <c r="JU358" s="30"/>
      <c r="JV358" s="30"/>
      <c r="JW358" s="30"/>
      <c r="JX358" s="30"/>
      <c r="JY358" s="30"/>
      <c r="JZ358" s="30"/>
      <c r="KA358" s="30"/>
      <c r="KB358" s="30"/>
      <c r="KC358" s="30"/>
      <c r="KD358" s="30"/>
      <c r="KE358" s="30"/>
      <c r="KF358" s="30"/>
      <c r="KG358" s="30"/>
      <c r="KH358" s="30"/>
      <c r="KI358" s="30"/>
      <c r="KJ358" s="30"/>
      <c r="KK358" s="30"/>
      <c r="KL358" s="30"/>
      <c r="KM358" s="30"/>
      <c r="KN358" s="30"/>
      <c r="KO358" s="30"/>
      <c r="KP358" s="30"/>
      <c r="KQ358" s="30"/>
      <c r="KR358" s="30"/>
      <c r="KS358" s="30"/>
      <c r="KT358" s="30"/>
      <c r="KU358" s="30"/>
      <c r="KV358" s="30"/>
      <c r="KW358" s="30"/>
      <c r="KX358" s="30"/>
      <c r="KY358" s="30"/>
      <c r="KZ358" s="30"/>
      <c r="LA358" s="30"/>
      <c r="LB358" s="30"/>
      <c r="LC358" s="30"/>
      <c r="LD358" s="30"/>
      <c r="LE358" s="30"/>
      <c r="LF358" s="30"/>
      <c r="LG358" s="30"/>
      <c r="LH358" s="30"/>
      <c r="LI358" s="30"/>
      <c r="LJ358" s="30"/>
      <c r="LK358" s="30"/>
      <c r="LL358" s="30"/>
      <c r="LM358" s="30"/>
      <c r="LN358" s="30"/>
      <c r="LO358" s="30"/>
      <c r="LP358" s="30"/>
      <c r="LQ358" s="30"/>
      <c r="LR358" s="30"/>
      <c r="LS358" s="30"/>
      <c r="LT358" s="30"/>
      <c r="LU358" s="30"/>
      <c r="LV358" s="30"/>
      <c r="LW358" s="30"/>
      <c r="LX358" s="30"/>
      <c r="LY358" s="30"/>
      <c r="LZ358" s="30"/>
      <c r="MA358" s="30"/>
      <c r="MB358" s="30"/>
      <c r="MC358" s="30"/>
      <c r="MD358" s="30"/>
      <c r="ME358" s="30"/>
      <c r="MF358" s="30"/>
      <c r="MG358" s="30"/>
      <c r="MH358" s="30"/>
      <c r="MI358" s="30"/>
      <c r="MJ358" s="30"/>
      <c r="MK358" s="30"/>
      <c r="ML358" s="30"/>
      <c r="MM358" s="30"/>
      <c r="MN358" s="30"/>
      <c r="MO358" s="30"/>
      <c r="MP358" s="30"/>
      <c r="MQ358" s="30"/>
      <c r="MR358" s="30"/>
      <c r="MS358" s="30"/>
      <c r="MT358" s="30"/>
      <c r="MU358" s="30"/>
      <c r="MV358" s="30"/>
      <c r="MW358" s="30"/>
      <c r="MX358" s="30"/>
      <c r="MY358" s="30"/>
      <c r="MZ358" s="30"/>
      <c r="NA358" s="30"/>
      <c r="NB358" s="30"/>
      <c r="NC358" s="30"/>
      <c r="ND358" s="30"/>
      <c r="NE358" s="30"/>
      <c r="NF358" s="30"/>
      <c r="NG358" s="30"/>
      <c r="NH358" s="30"/>
      <c r="NI358" s="30"/>
      <c r="NJ358" s="30"/>
      <c r="NK358" s="30"/>
      <c r="NL358" s="30"/>
      <c r="NM358" s="30"/>
      <c r="NN358" s="30"/>
      <c r="NO358" s="30"/>
      <c r="NP358" s="30"/>
      <c r="NQ358" s="30"/>
      <c r="NR358" s="30"/>
    </row>
    <row r="359" spans="1:382" s="3" customFormat="1" ht="20.100000000000001" customHeight="1" x14ac:dyDescent="0.4">
      <c r="A359" s="29">
        <v>16</v>
      </c>
      <c r="B359" s="5">
        <v>1401</v>
      </c>
      <c r="C359" s="5" t="s">
        <v>460</v>
      </c>
      <c r="D359" s="5" t="s">
        <v>476</v>
      </c>
      <c r="E359" s="5" t="s">
        <v>18</v>
      </c>
      <c r="F359" s="5" t="s">
        <v>32</v>
      </c>
      <c r="G359" s="5" t="s">
        <v>32</v>
      </c>
      <c r="H359" s="5" t="s">
        <v>32</v>
      </c>
      <c r="I359" s="8"/>
      <c r="J359" s="8"/>
      <c r="K359" s="8" t="str">
        <f>IF(OR(J359="",E359=""),"",J359+IFERROR(VLOOKUP(E359,リードタイム!$A$2:$C$9,3,FALSE),0))</f>
        <v/>
      </c>
      <c r="L359" s="5" t="s">
        <v>530</v>
      </c>
      <c r="M359" s="8"/>
      <c r="N359" s="8" t="str">
        <f>IF(OR(M359="",E359=""),"",M359+IFERROR(VLOOKUP(E359,リードタイム!$A$2:$D$9,4,FALSE),0))</f>
        <v/>
      </c>
      <c r="O359" s="5" t="s">
        <v>530</v>
      </c>
      <c r="P359" s="5" t="s">
        <v>530</v>
      </c>
      <c r="Q359" s="5" t="s">
        <v>32</v>
      </c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  <c r="FS359" s="30"/>
      <c r="FT359" s="30"/>
      <c r="FU359" s="30"/>
      <c r="FV359" s="30"/>
      <c r="FW359" s="30"/>
      <c r="FX359" s="30"/>
      <c r="FY359" s="30"/>
      <c r="FZ359" s="30"/>
      <c r="GA359" s="30"/>
      <c r="GB359" s="30"/>
      <c r="GC359" s="30"/>
      <c r="GD359" s="30"/>
      <c r="GE359" s="30"/>
      <c r="GF359" s="30"/>
      <c r="GG359" s="30"/>
      <c r="GH359" s="30"/>
      <c r="GI359" s="30"/>
      <c r="GJ359" s="30"/>
      <c r="GK359" s="30"/>
      <c r="GL359" s="30"/>
      <c r="GM359" s="30"/>
      <c r="GN359" s="30"/>
      <c r="GO359" s="30"/>
      <c r="GP359" s="30"/>
      <c r="GQ359" s="30"/>
      <c r="GR359" s="30"/>
      <c r="GS359" s="30"/>
      <c r="GT359" s="30"/>
      <c r="GU359" s="30"/>
      <c r="GV359" s="30"/>
      <c r="GW359" s="30"/>
      <c r="GX359" s="30"/>
      <c r="GY359" s="30"/>
      <c r="GZ359" s="30"/>
      <c r="HA359" s="30"/>
      <c r="HB359" s="30"/>
      <c r="HC359" s="30"/>
      <c r="HD359" s="30"/>
      <c r="HE359" s="30"/>
      <c r="HF359" s="30"/>
      <c r="HG359" s="30"/>
      <c r="HH359" s="30"/>
      <c r="HI359" s="30"/>
      <c r="HJ359" s="30"/>
      <c r="HK359" s="30"/>
      <c r="HL359" s="30"/>
      <c r="HM359" s="30"/>
      <c r="HN359" s="30"/>
      <c r="HO359" s="30"/>
      <c r="HP359" s="30"/>
      <c r="HQ359" s="30"/>
      <c r="HR359" s="30"/>
      <c r="HS359" s="30"/>
      <c r="HT359" s="30"/>
      <c r="HU359" s="30"/>
      <c r="HV359" s="30"/>
      <c r="HW359" s="30"/>
      <c r="HX359" s="30"/>
      <c r="HY359" s="30"/>
      <c r="HZ359" s="30"/>
      <c r="IA359" s="30"/>
      <c r="IB359" s="30"/>
      <c r="IC359" s="30"/>
      <c r="ID359" s="30"/>
      <c r="IE359" s="30"/>
      <c r="IF359" s="30"/>
      <c r="IG359" s="30"/>
      <c r="IH359" s="30"/>
      <c r="II359" s="30"/>
      <c r="IJ359" s="30"/>
      <c r="IK359" s="30"/>
      <c r="IL359" s="30"/>
      <c r="IM359" s="30"/>
      <c r="IN359" s="30"/>
      <c r="IO359" s="30"/>
      <c r="IP359" s="30"/>
      <c r="IQ359" s="30"/>
      <c r="IR359" s="30"/>
      <c r="IS359" s="30"/>
      <c r="IT359" s="30"/>
      <c r="IU359" s="30"/>
      <c r="IV359" s="30"/>
      <c r="IW359" s="30"/>
      <c r="IX359" s="30"/>
      <c r="IY359" s="30"/>
      <c r="IZ359" s="30"/>
      <c r="JA359" s="30"/>
      <c r="JB359" s="30"/>
      <c r="JC359" s="30"/>
      <c r="JD359" s="30"/>
      <c r="JE359" s="30"/>
      <c r="JF359" s="30"/>
      <c r="JG359" s="30"/>
      <c r="JH359" s="30"/>
      <c r="JI359" s="30"/>
      <c r="JJ359" s="30"/>
      <c r="JK359" s="30"/>
      <c r="JL359" s="30"/>
      <c r="JM359" s="30"/>
      <c r="JN359" s="30"/>
      <c r="JO359" s="30"/>
      <c r="JP359" s="30"/>
      <c r="JQ359" s="30"/>
      <c r="JR359" s="30"/>
      <c r="JS359" s="30"/>
      <c r="JT359" s="30"/>
      <c r="JU359" s="30"/>
      <c r="JV359" s="30"/>
      <c r="JW359" s="30"/>
      <c r="JX359" s="30"/>
      <c r="JY359" s="30"/>
      <c r="JZ359" s="30"/>
      <c r="KA359" s="30"/>
      <c r="KB359" s="30"/>
      <c r="KC359" s="30"/>
      <c r="KD359" s="30"/>
      <c r="KE359" s="30"/>
      <c r="KF359" s="30"/>
      <c r="KG359" s="30"/>
      <c r="KH359" s="30"/>
      <c r="KI359" s="30"/>
      <c r="KJ359" s="30"/>
      <c r="KK359" s="30"/>
      <c r="KL359" s="30"/>
      <c r="KM359" s="30"/>
      <c r="KN359" s="30"/>
      <c r="KO359" s="30"/>
      <c r="KP359" s="30"/>
      <c r="KQ359" s="30"/>
      <c r="KR359" s="30"/>
      <c r="KS359" s="30"/>
      <c r="KT359" s="30"/>
      <c r="KU359" s="30"/>
      <c r="KV359" s="30"/>
      <c r="KW359" s="30"/>
      <c r="KX359" s="30"/>
      <c r="KY359" s="30"/>
      <c r="KZ359" s="30"/>
      <c r="LA359" s="30"/>
      <c r="LB359" s="30"/>
      <c r="LC359" s="30"/>
      <c r="LD359" s="30"/>
      <c r="LE359" s="30"/>
      <c r="LF359" s="30"/>
      <c r="LG359" s="30"/>
      <c r="LH359" s="30"/>
      <c r="LI359" s="30"/>
      <c r="LJ359" s="30"/>
      <c r="LK359" s="30"/>
      <c r="LL359" s="30"/>
      <c r="LM359" s="30"/>
      <c r="LN359" s="30"/>
      <c r="LO359" s="30"/>
      <c r="LP359" s="30"/>
      <c r="LQ359" s="30"/>
      <c r="LR359" s="30"/>
      <c r="LS359" s="30"/>
      <c r="LT359" s="30"/>
      <c r="LU359" s="30"/>
      <c r="LV359" s="30"/>
      <c r="LW359" s="30"/>
      <c r="LX359" s="30"/>
      <c r="LY359" s="30"/>
      <c r="LZ359" s="30"/>
      <c r="MA359" s="30"/>
      <c r="MB359" s="30"/>
      <c r="MC359" s="30"/>
      <c r="MD359" s="30"/>
      <c r="ME359" s="30"/>
      <c r="MF359" s="30"/>
      <c r="MG359" s="30"/>
      <c r="MH359" s="30"/>
      <c r="MI359" s="30"/>
      <c r="MJ359" s="30"/>
      <c r="MK359" s="30"/>
      <c r="ML359" s="30"/>
      <c r="MM359" s="30"/>
      <c r="MN359" s="30"/>
      <c r="MO359" s="30"/>
      <c r="MP359" s="30"/>
      <c r="MQ359" s="30"/>
      <c r="MR359" s="30"/>
      <c r="MS359" s="30"/>
      <c r="MT359" s="30"/>
      <c r="MU359" s="30"/>
      <c r="MV359" s="30"/>
      <c r="MW359" s="30"/>
      <c r="MX359" s="30"/>
      <c r="MY359" s="30"/>
      <c r="MZ359" s="30"/>
      <c r="NA359" s="30"/>
      <c r="NB359" s="30"/>
      <c r="NC359" s="30"/>
      <c r="ND359" s="30"/>
      <c r="NE359" s="30"/>
      <c r="NF359" s="30"/>
      <c r="NG359" s="30"/>
      <c r="NH359" s="30"/>
      <c r="NI359" s="30"/>
      <c r="NJ359" s="30"/>
      <c r="NK359" s="30"/>
      <c r="NL359" s="30"/>
      <c r="NM359" s="30"/>
      <c r="NN359" s="30"/>
      <c r="NO359" s="30"/>
      <c r="NP359" s="30"/>
      <c r="NQ359" s="30"/>
      <c r="NR359" s="30"/>
    </row>
    <row r="360" spans="1:382" s="3" customFormat="1" ht="20.100000000000001" customHeight="1" x14ac:dyDescent="0.4">
      <c r="A360" s="29">
        <v>17</v>
      </c>
      <c r="B360" s="5">
        <v>874</v>
      </c>
      <c r="C360" s="5" t="s">
        <v>460</v>
      </c>
      <c r="D360" s="5" t="s">
        <v>464</v>
      </c>
      <c r="E360" s="5" t="s">
        <v>18</v>
      </c>
      <c r="F360" s="5" t="s">
        <v>32</v>
      </c>
      <c r="G360" s="5" t="s">
        <v>32</v>
      </c>
      <c r="H360" s="5" t="s">
        <v>32</v>
      </c>
      <c r="I360" s="8"/>
      <c r="J360" s="8"/>
      <c r="K360" s="8" t="str">
        <f>IF(OR(J360="",E360=""),"",J360+IFERROR(VLOOKUP(E360,リードタイム!$A$2:$C$9,3,FALSE),0))</f>
        <v/>
      </c>
      <c r="L360" s="5" t="s">
        <v>530</v>
      </c>
      <c r="M360" s="8"/>
      <c r="N360" s="8" t="str">
        <f>IF(OR(M360="",E360=""),"",M360+IFERROR(VLOOKUP(E360,リードタイム!$A$2:$D$9,4,FALSE),0))</f>
        <v/>
      </c>
      <c r="O360" s="5" t="s">
        <v>530</v>
      </c>
      <c r="P360" s="5" t="s">
        <v>530</v>
      </c>
      <c r="Q360" s="5" t="s">
        <v>32</v>
      </c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  <c r="FS360" s="30"/>
      <c r="FT360" s="30"/>
      <c r="FU360" s="30"/>
      <c r="FV360" s="30"/>
      <c r="FW360" s="30"/>
      <c r="FX360" s="30"/>
      <c r="FY360" s="30"/>
      <c r="FZ360" s="30"/>
      <c r="GA360" s="30"/>
      <c r="GB360" s="30"/>
      <c r="GC360" s="30"/>
      <c r="GD360" s="30"/>
      <c r="GE360" s="30"/>
      <c r="GF360" s="30"/>
      <c r="GG360" s="30"/>
      <c r="GH360" s="30"/>
      <c r="GI360" s="30"/>
      <c r="GJ360" s="30"/>
      <c r="GK360" s="30"/>
      <c r="GL360" s="30"/>
      <c r="GM360" s="30"/>
      <c r="GN360" s="30"/>
      <c r="GO360" s="30"/>
      <c r="GP360" s="30"/>
      <c r="GQ360" s="30"/>
      <c r="GR360" s="30"/>
      <c r="GS360" s="30"/>
      <c r="GT360" s="30"/>
      <c r="GU360" s="30"/>
      <c r="GV360" s="30"/>
      <c r="GW360" s="30"/>
      <c r="GX360" s="30"/>
      <c r="GY360" s="30"/>
      <c r="GZ360" s="30"/>
      <c r="HA360" s="30"/>
      <c r="HB360" s="30"/>
      <c r="HC360" s="30"/>
      <c r="HD360" s="30"/>
      <c r="HE360" s="30"/>
      <c r="HF360" s="30"/>
      <c r="HG360" s="30"/>
      <c r="HH360" s="30"/>
      <c r="HI360" s="30"/>
      <c r="HJ360" s="30"/>
      <c r="HK360" s="30"/>
      <c r="HL360" s="30"/>
      <c r="HM360" s="30"/>
      <c r="HN360" s="30"/>
      <c r="HO360" s="30"/>
      <c r="HP360" s="30"/>
      <c r="HQ360" s="30"/>
      <c r="HR360" s="30"/>
      <c r="HS360" s="30"/>
      <c r="HT360" s="30"/>
      <c r="HU360" s="30"/>
      <c r="HV360" s="30"/>
      <c r="HW360" s="30"/>
      <c r="HX360" s="30"/>
      <c r="HY360" s="30"/>
      <c r="HZ360" s="30"/>
      <c r="IA360" s="30"/>
      <c r="IB360" s="30"/>
      <c r="IC360" s="30"/>
      <c r="ID360" s="30"/>
      <c r="IE360" s="30"/>
      <c r="IF360" s="30"/>
      <c r="IG360" s="30"/>
      <c r="IH360" s="30"/>
      <c r="II360" s="30"/>
      <c r="IJ360" s="30"/>
      <c r="IK360" s="30"/>
      <c r="IL360" s="30"/>
      <c r="IM360" s="30"/>
      <c r="IN360" s="30"/>
      <c r="IO360" s="30"/>
      <c r="IP360" s="30"/>
      <c r="IQ360" s="30"/>
      <c r="IR360" s="30"/>
      <c r="IS360" s="30"/>
      <c r="IT360" s="30"/>
      <c r="IU360" s="30"/>
      <c r="IV360" s="30"/>
      <c r="IW360" s="30"/>
      <c r="IX360" s="30"/>
      <c r="IY360" s="30"/>
      <c r="IZ360" s="30"/>
      <c r="JA360" s="30"/>
      <c r="JB360" s="30"/>
      <c r="JC360" s="30"/>
      <c r="JD360" s="30"/>
      <c r="JE360" s="30"/>
      <c r="JF360" s="30"/>
      <c r="JG360" s="30"/>
      <c r="JH360" s="30"/>
      <c r="JI360" s="30"/>
      <c r="JJ360" s="30"/>
      <c r="JK360" s="30"/>
      <c r="JL360" s="30"/>
      <c r="JM360" s="30"/>
      <c r="JN360" s="30"/>
      <c r="JO360" s="30"/>
      <c r="JP360" s="30"/>
      <c r="JQ360" s="30"/>
      <c r="JR360" s="30"/>
      <c r="JS360" s="30"/>
      <c r="JT360" s="30"/>
      <c r="JU360" s="30"/>
      <c r="JV360" s="30"/>
      <c r="JW360" s="30"/>
      <c r="JX360" s="30"/>
      <c r="JY360" s="30"/>
      <c r="JZ360" s="30"/>
      <c r="KA360" s="30"/>
      <c r="KB360" s="30"/>
      <c r="KC360" s="30"/>
      <c r="KD360" s="30"/>
      <c r="KE360" s="30"/>
      <c r="KF360" s="30"/>
      <c r="KG360" s="30"/>
      <c r="KH360" s="30"/>
      <c r="KI360" s="30"/>
      <c r="KJ360" s="30"/>
      <c r="KK360" s="30"/>
      <c r="KL360" s="30"/>
      <c r="KM360" s="30"/>
      <c r="KN360" s="30"/>
      <c r="KO360" s="30"/>
      <c r="KP360" s="30"/>
      <c r="KQ360" s="30"/>
      <c r="KR360" s="30"/>
      <c r="KS360" s="30"/>
      <c r="KT360" s="30"/>
      <c r="KU360" s="30"/>
      <c r="KV360" s="30"/>
      <c r="KW360" s="30"/>
      <c r="KX360" s="30"/>
      <c r="KY360" s="30"/>
      <c r="KZ360" s="30"/>
      <c r="LA360" s="30"/>
      <c r="LB360" s="30"/>
      <c r="LC360" s="30"/>
      <c r="LD360" s="30"/>
      <c r="LE360" s="30"/>
      <c r="LF360" s="30"/>
      <c r="LG360" s="30"/>
      <c r="LH360" s="30"/>
      <c r="LI360" s="30"/>
      <c r="LJ360" s="30"/>
      <c r="LK360" s="30"/>
      <c r="LL360" s="30"/>
      <c r="LM360" s="30"/>
      <c r="LN360" s="30"/>
      <c r="LO360" s="30"/>
      <c r="LP360" s="30"/>
      <c r="LQ360" s="30"/>
      <c r="LR360" s="30"/>
      <c r="LS360" s="30"/>
      <c r="LT360" s="30"/>
      <c r="LU360" s="30"/>
      <c r="LV360" s="30"/>
      <c r="LW360" s="30"/>
      <c r="LX360" s="30"/>
      <c r="LY360" s="30"/>
      <c r="LZ360" s="30"/>
      <c r="MA360" s="30"/>
      <c r="MB360" s="30"/>
      <c r="MC360" s="30"/>
      <c r="MD360" s="30"/>
      <c r="ME360" s="30"/>
      <c r="MF360" s="30"/>
      <c r="MG360" s="30"/>
      <c r="MH360" s="30"/>
      <c r="MI360" s="30"/>
      <c r="MJ360" s="30"/>
      <c r="MK360" s="30"/>
      <c r="ML360" s="30"/>
      <c r="MM360" s="30"/>
      <c r="MN360" s="30"/>
      <c r="MO360" s="30"/>
      <c r="MP360" s="30"/>
      <c r="MQ360" s="30"/>
      <c r="MR360" s="30"/>
      <c r="MS360" s="30"/>
      <c r="MT360" s="30"/>
      <c r="MU360" s="30"/>
      <c r="MV360" s="30"/>
      <c r="MW360" s="30"/>
      <c r="MX360" s="30"/>
      <c r="MY360" s="30"/>
      <c r="MZ360" s="30"/>
      <c r="NA360" s="30"/>
      <c r="NB360" s="30"/>
      <c r="NC360" s="30"/>
      <c r="ND360" s="30"/>
      <c r="NE360" s="30"/>
      <c r="NF360" s="30"/>
      <c r="NG360" s="30"/>
      <c r="NH360" s="30"/>
      <c r="NI360" s="30"/>
      <c r="NJ360" s="30"/>
      <c r="NK360" s="30"/>
      <c r="NL360" s="30"/>
      <c r="NM360" s="30"/>
      <c r="NN360" s="30"/>
      <c r="NO360" s="30"/>
      <c r="NP360" s="30"/>
      <c r="NQ360" s="30"/>
      <c r="NR360" s="30"/>
    </row>
    <row r="361" spans="1:382" s="3" customFormat="1" ht="20.100000000000001" customHeight="1" x14ac:dyDescent="0.4">
      <c r="A361" s="29">
        <v>18</v>
      </c>
      <c r="B361" s="5">
        <v>1634</v>
      </c>
      <c r="C361" s="5" t="s">
        <v>460</v>
      </c>
      <c r="D361" s="5" t="s">
        <v>477</v>
      </c>
      <c r="E361" s="5" t="s">
        <v>18</v>
      </c>
      <c r="F361" s="5" t="s">
        <v>32</v>
      </c>
      <c r="G361" s="5" t="s">
        <v>32</v>
      </c>
      <c r="H361" s="5" t="s">
        <v>32</v>
      </c>
      <c r="I361" s="8"/>
      <c r="J361" s="8"/>
      <c r="K361" s="8" t="str">
        <f>IF(OR(J361="",E361=""),"",J361+IFERROR(VLOOKUP(E361,リードタイム!$A$2:$C$9,3,FALSE),0))</f>
        <v/>
      </c>
      <c r="L361" s="5" t="s">
        <v>531</v>
      </c>
      <c r="M361" s="8"/>
      <c r="N361" s="8" t="str">
        <f>IF(OR(M361="",E361=""),"",M361+IFERROR(VLOOKUP(E361,リードタイム!$A$2:$D$9,4,FALSE),0))</f>
        <v/>
      </c>
      <c r="O361" s="5" t="s">
        <v>531</v>
      </c>
      <c r="P361" s="5" t="s">
        <v>533</v>
      </c>
      <c r="Q361" s="5" t="s">
        <v>32</v>
      </c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  <c r="FS361" s="30"/>
      <c r="FT361" s="30"/>
      <c r="FU361" s="30"/>
      <c r="FV361" s="30"/>
      <c r="FW361" s="30"/>
      <c r="FX361" s="30"/>
      <c r="FY361" s="30"/>
      <c r="FZ361" s="30"/>
      <c r="GA361" s="30"/>
      <c r="GB361" s="30"/>
      <c r="GC361" s="30"/>
      <c r="GD361" s="30"/>
      <c r="GE361" s="30"/>
      <c r="GF361" s="30"/>
      <c r="GG361" s="30"/>
      <c r="GH361" s="30"/>
      <c r="GI361" s="30"/>
      <c r="GJ361" s="30"/>
      <c r="GK361" s="30"/>
      <c r="GL361" s="30"/>
      <c r="GM361" s="30"/>
      <c r="GN361" s="30"/>
      <c r="GO361" s="30"/>
      <c r="GP361" s="30"/>
      <c r="GQ361" s="30"/>
      <c r="GR361" s="30"/>
      <c r="GS361" s="30"/>
      <c r="GT361" s="30"/>
      <c r="GU361" s="30"/>
      <c r="GV361" s="30"/>
      <c r="GW361" s="30"/>
      <c r="GX361" s="30"/>
      <c r="GY361" s="30"/>
      <c r="GZ361" s="30"/>
      <c r="HA361" s="30"/>
      <c r="HB361" s="30"/>
      <c r="HC361" s="30"/>
      <c r="HD361" s="30"/>
      <c r="HE361" s="30"/>
      <c r="HF361" s="30"/>
      <c r="HG361" s="30"/>
      <c r="HH361" s="30"/>
      <c r="HI361" s="30"/>
      <c r="HJ361" s="30"/>
      <c r="HK361" s="30"/>
      <c r="HL361" s="30"/>
      <c r="HM361" s="30"/>
      <c r="HN361" s="30"/>
      <c r="HO361" s="30"/>
      <c r="HP361" s="30"/>
      <c r="HQ361" s="30"/>
      <c r="HR361" s="30"/>
      <c r="HS361" s="30"/>
      <c r="HT361" s="30"/>
      <c r="HU361" s="30"/>
      <c r="HV361" s="30"/>
      <c r="HW361" s="30"/>
      <c r="HX361" s="30"/>
      <c r="HY361" s="30"/>
      <c r="HZ361" s="30"/>
      <c r="IA361" s="30"/>
      <c r="IB361" s="30"/>
      <c r="IC361" s="30"/>
      <c r="ID361" s="30"/>
      <c r="IE361" s="30"/>
      <c r="IF361" s="30"/>
      <c r="IG361" s="30"/>
      <c r="IH361" s="30"/>
      <c r="II361" s="30"/>
      <c r="IJ361" s="30"/>
      <c r="IK361" s="30"/>
      <c r="IL361" s="30"/>
      <c r="IM361" s="30"/>
      <c r="IN361" s="30"/>
      <c r="IO361" s="30"/>
      <c r="IP361" s="30"/>
      <c r="IQ361" s="30"/>
      <c r="IR361" s="30"/>
      <c r="IS361" s="30"/>
      <c r="IT361" s="30"/>
      <c r="IU361" s="30"/>
      <c r="IV361" s="30"/>
      <c r="IW361" s="30"/>
      <c r="IX361" s="30"/>
      <c r="IY361" s="30"/>
      <c r="IZ361" s="30"/>
      <c r="JA361" s="30"/>
      <c r="JB361" s="30"/>
      <c r="JC361" s="30"/>
      <c r="JD361" s="30"/>
      <c r="JE361" s="30"/>
      <c r="JF361" s="30"/>
      <c r="JG361" s="30"/>
      <c r="JH361" s="30"/>
      <c r="JI361" s="30"/>
      <c r="JJ361" s="30"/>
      <c r="JK361" s="30"/>
      <c r="JL361" s="30"/>
      <c r="JM361" s="30"/>
      <c r="JN361" s="30"/>
      <c r="JO361" s="30"/>
      <c r="JP361" s="30"/>
      <c r="JQ361" s="30"/>
      <c r="JR361" s="30"/>
      <c r="JS361" s="30"/>
      <c r="JT361" s="30"/>
      <c r="JU361" s="30"/>
      <c r="JV361" s="30"/>
      <c r="JW361" s="30"/>
      <c r="JX361" s="30"/>
      <c r="JY361" s="30"/>
      <c r="JZ361" s="30"/>
      <c r="KA361" s="30"/>
      <c r="KB361" s="30"/>
      <c r="KC361" s="30"/>
      <c r="KD361" s="30"/>
      <c r="KE361" s="30"/>
      <c r="KF361" s="30"/>
      <c r="KG361" s="30"/>
      <c r="KH361" s="30"/>
      <c r="KI361" s="30"/>
      <c r="KJ361" s="30"/>
      <c r="KK361" s="30"/>
      <c r="KL361" s="30"/>
      <c r="KM361" s="30"/>
      <c r="KN361" s="30"/>
      <c r="KO361" s="30"/>
      <c r="KP361" s="30"/>
      <c r="KQ361" s="30"/>
      <c r="KR361" s="30"/>
      <c r="KS361" s="30"/>
      <c r="KT361" s="30"/>
      <c r="KU361" s="30"/>
      <c r="KV361" s="30"/>
      <c r="KW361" s="30"/>
      <c r="KX361" s="30"/>
      <c r="KY361" s="30"/>
      <c r="KZ361" s="30"/>
      <c r="LA361" s="30"/>
      <c r="LB361" s="30"/>
      <c r="LC361" s="30"/>
      <c r="LD361" s="30"/>
      <c r="LE361" s="30"/>
      <c r="LF361" s="30"/>
      <c r="LG361" s="30"/>
      <c r="LH361" s="30"/>
      <c r="LI361" s="30"/>
      <c r="LJ361" s="30"/>
      <c r="LK361" s="30"/>
      <c r="LL361" s="30"/>
      <c r="LM361" s="30"/>
      <c r="LN361" s="30"/>
      <c r="LO361" s="30"/>
      <c r="LP361" s="30"/>
      <c r="LQ361" s="30"/>
      <c r="LR361" s="30"/>
      <c r="LS361" s="30"/>
      <c r="LT361" s="30"/>
      <c r="LU361" s="30"/>
      <c r="LV361" s="30"/>
      <c r="LW361" s="30"/>
      <c r="LX361" s="30"/>
      <c r="LY361" s="30"/>
      <c r="LZ361" s="30"/>
      <c r="MA361" s="30"/>
      <c r="MB361" s="30"/>
      <c r="MC361" s="30"/>
      <c r="MD361" s="30"/>
      <c r="ME361" s="30"/>
      <c r="MF361" s="30"/>
      <c r="MG361" s="30"/>
      <c r="MH361" s="30"/>
      <c r="MI361" s="30"/>
      <c r="MJ361" s="30"/>
      <c r="MK361" s="30"/>
      <c r="ML361" s="30"/>
      <c r="MM361" s="30"/>
      <c r="MN361" s="30"/>
      <c r="MO361" s="30"/>
      <c r="MP361" s="30"/>
      <c r="MQ361" s="30"/>
      <c r="MR361" s="30"/>
      <c r="MS361" s="30"/>
      <c r="MT361" s="30"/>
      <c r="MU361" s="30"/>
      <c r="MV361" s="30"/>
      <c r="MW361" s="30"/>
      <c r="MX361" s="30"/>
      <c r="MY361" s="30"/>
      <c r="MZ361" s="30"/>
      <c r="NA361" s="30"/>
      <c r="NB361" s="30"/>
      <c r="NC361" s="30"/>
      <c r="ND361" s="30"/>
      <c r="NE361" s="30"/>
      <c r="NF361" s="30"/>
      <c r="NG361" s="30"/>
      <c r="NH361" s="30"/>
      <c r="NI361" s="30"/>
      <c r="NJ361" s="30"/>
      <c r="NK361" s="30"/>
      <c r="NL361" s="30"/>
      <c r="NM361" s="30"/>
      <c r="NN361" s="30"/>
      <c r="NO361" s="30"/>
      <c r="NP361" s="30"/>
      <c r="NQ361" s="30"/>
      <c r="NR361" s="30"/>
    </row>
    <row r="362" spans="1:382" s="3" customFormat="1" ht="20.100000000000001" customHeight="1" x14ac:dyDescent="0.4">
      <c r="A362" s="29">
        <v>19</v>
      </c>
      <c r="B362" s="5">
        <v>1934</v>
      </c>
      <c r="C362" s="5" t="s">
        <v>460</v>
      </c>
      <c r="D362" s="5" t="s">
        <v>466</v>
      </c>
      <c r="E362" s="5" t="s">
        <v>18</v>
      </c>
      <c r="F362" s="5" t="s">
        <v>32</v>
      </c>
      <c r="G362" s="5" t="s">
        <v>32</v>
      </c>
      <c r="H362" s="5" t="s">
        <v>32</v>
      </c>
      <c r="I362" s="8"/>
      <c r="J362" s="8"/>
      <c r="K362" s="8" t="str">
        <f>IF(OR(J362="",E362=""),"",J362+IFERROR(VLOOKUP(E362,リードタイム!$A$2:$C$9,3,FALSE),0))</f>
        <v/>
      </c>
      <c r="L362" s="5" t="s">
        <v>531</v>
      </c>
      <c r="M362" s="8"/>
      <c r="N362" s="8" t="str">
        <f>IF(OR(M362="",E362=""),"",M362+IFERROR(VLOOKUP(E362,リードタイム!$A$2:$D$9,4,FALSE),0))</f>
        <v/>
      </c>
      <c r="O362" s="5" t="s">
        <v>531</v>
      </c>
      <c r="P362" s="5" t="s">
        <v>533</v>
      </c>
      <c r="Q362" s="5" t="s">
        <v>32</v>
      </c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  <c r="FS362" s="30"/>
      <c r="FT362" s="30"/>
      <c r="FU362" s="30"/>
      <c r="FV362" s="30"/>
      <c r="FW362" s="30"/>
      <c r="FX362" s="30"/>
      <c r="FY362" s="30"/>
      <c r="FZ362" s="30"/>
      <c r="GA362" s="30"/>
      <c r="GB362" s="30"/>
      <c r="GC362" s="30"/>
      <c r="GD362" s="30"/>
      <c r="GE362" s="30"/>
      <c r="GF362" s="30"/>
      <c r="GG362" s="30"/>
      <c r="GH362" s="30"/>
      <c r="GI362" s="30"/>
      <c r="GJ362" s="30"/>
      <c r="GK362" s="30"/>
      <c r="GL362" s="30"/>
      <c r="GM362" s="30"/>
      <c r="GN362" s="30"/>
      <c r="GO362" s="30"/>
      <c r="GP362" s="30"/>
      <c r="GQ362" s="30"/>
      <c r="GR362" s="30"/>
      <c r="GS362" s="30"/>
      <c r="GT362" s="30"/>
      <c r="GU362" s="30"/>
      <c r="GV362" s="30"/>
      <c r="GW362" s="30"/>
      <c r="GX362" s="30"/>
      <c r="GY362" s="30"/>
      <c r="GZ362" s="30"/>
      <c r="HA362" s="30"/>
      <c r="HB362" s="30"/>
      <c r="HC362" s="30"/>
      <c r="HD362" s="30"/>
      <c r="HE362" s="30"/>
      <c r="HF362" s="30"/>
      <c r="HG362" s="30"/>
      <c r="HH362" s="30"/>
      <c r="HI362" s="30"/>
      <c r="HJ362" s="30"/>
      <c r="HK362" s="30"/>
      <c r="HL362" s="30"/>
      <c r="HM362" s="30"/>
      <c r="HN362" s="30"/>
      <c r="HO362" s="30"/>
      <c r="HP362" s="30"/>
      <c r="HQ362" s="30"/>
      <c r="HR362" s="30"/>
      <c r="HS362" s="30"/>
      <c r="HT362" s="30"/>
      <c r="HU362" s="30"/>
      <c r="HV362" s="30"/>
      <c r="HW362" s="30"/>
      <c r="HX362" s="30"/>
      <c r="HY362" s="30"/>
      <c r="HZ362" s="30"/>
      <c r="IA362" s="30"/>
      <c r="IB362" s="30"/>
      <c r="IC362" s="30"/>
      <c r="ID362" s="30"/>
      <c r="IE362" s="30"/>
      <c r="IF362" s="30"/>
      <c r="IG362" s="30"/>
      <c r="IH362" s="30"/>
      <c r="II362" s="30"/>
      <c r="IJ362" s="30"/>
      <c r="IK362" s="30"/>
      <c r="IL362" s="30"/>
      <c r="IM362" s="30"/>
      <c r="IN362" s="30"/>
      <c r="IO362" s="30"/>
      <c r="IP362" s="30"/>
      <c r="IQ362" s="30"/>
      <c r="IR362" s="30"/>
      <c r="IS362" s="30"/>
      <c r="IT362" s="30"/>
      <c r="IU362" s="30"/>
      <c r="IV362" s="30"/>
      <c r="IW362" s="30"/>
      <c r="IX362" s="30"/>
      <c r="IY362" s="30"/>
      <c r="IZ362" s="30"/>
      <c r="JA362" s="30"/>
      <c r="JB362" s="30"/>
      <c r="JC362" s="30"/>
      <c r="JD362" s="30"/>
      <c r="JE362" s="30"/>
      <c r="JF362" s="30"/>
      <c r="JG362" s="30"/>
      <c r="JH362" s="30"/>
      <c r="JI362" s="30"/>
      <c r="JJ362" s="30"/>
      <c r="JK362" s="30"/>
      <c r="JL362" s="30"/>
      <c r="JM362" s="30"/>
      <c r="JN362" s="30"/>
      <c r="JO362" s="30"/>
      <c r="JP362" s="30"/>
      <c r="JQ362" s="30"/>
      <c r="JR362" s="30"/>
      <c r="JS362" s="30"/>
      <c r="JT362" s="30"/>
      <c r="JU362" s="30"/>
      <c r="JV362" s="30"/>
      <c r="JW362" s="30"/>
      <c r="JX362" s="30"/>
      <c r="JY362" s="30"/>
      <c r="JZ362" s="30"/>
      <c r="KA362" s="30"/>
      <c r="KB362" s="30"/>
      <c r="KC362" s="30"/>
      <c r="KD362" s="30"/>
      <c r="KE362" s="30"/>
      <c r="KF362" s="30"/>
      <c r="KG362" s="30"/>
      <c r="KH362" s="30"/>
      <c r="KI362" s="30"/>
      <c r="KJ362" s="30"/>
      <c r="KK362" s="30"/>
      <c r="KL362" s="30"/>
      <c r="KM362" s="30"/>
      <c r="KN362" s="30"/>
      <c r="KO362" s="30"/>
      <c r="KP362" s="30"/>
      <c r="KQ362" s="30"/>
      <c r="KR362" s="30"/>
      <c r="KS362" s="30"/>
      <c r="KT362" s="30"/>
      <c r="KU362" s="30"/>
      <c r="KV362" s="30"/>
      <c r="KW362" s="30"/>
      <c r="KX362" s="30"/>
      <c r="KY362" s="30"/>
      <c r="KZ362" s="30"/>
      <c r="LA362" s="30"/>
      <c r="LB362" s="30"/>
      <c r="LC362" s="30"/>
      <c r="LD362" s="30"/>
      <c r="LE362" s="30"/>
      <c r="LF362" s="30"/>
      <c r="LG362" s="30"/>
      <c r="LH362" s="30"/>
      <c r="LI362" s="30"/>
      <c r="LJ362" s="30"/>
      <c r="LK362" s="30"/>
      <c r="LL362" s="30"/>
      <c r="LM362" s="30"/>
      <c r="LN362" s="30"/>
      <c r="LO362" s="30"/>
      <c r="LP362" s="30"/>
      <c r="LQ362" s="30"/>
      <c r="LR362" s="30"/>
      <c r="LS362" s="30"/>
      <c r="LT362" s="30"/>
      <c r="LU362" s="30"/>
      <c r="LV362" s="30"/>
      <c r="LW362" s="30"/>
      <c r="LX362" s="30"/>
      <c r="LY362" s="30"/>
      <c r="LZ362" s="30"/>
      <c r="MA362" s="30"/>
      <c r="MB362" s="30"/>
      <c r="MC362" s="30"/>
      <c r="MD362" s="30"/>
      <c r="ME362" s="30"/>
      <c r="MF362" s="30"/>
      <c r="MG362" s="30"/>
      <c r="MH362" s="30"/>
      <c r="MI362" s="30"/>
      <c r="MJ362" s="30"/>
      <c r="MK362" s="30"/>
      <c r="ML362" s="30"/>
      <c r="MM362" s="30"/>
      <c r="MN362" s="30"/>
      <c r="MO362" s="30"/>
      <c r="MP362" s="30"/>
      <c r="MQ362" s="30"/>
      <c r="MR362" s="30"/>
      <c r="MS362" s="30"/>
      <c r="MT362" s="30"/>
      <c r="MU362" s="30"/>
      <c r="MV362" s="30"/>
      <c r="MW362" s="30"/>
      <c r="MX362" s="30"/>
      <c r="MY362" s="30"/>
      <c r="MZ362" s="30"/>
      <c r="NA362" s="30"/>
      <c r="NB362" s="30"/>
      <c r="NC362" s="30"/>
      <c r="ND362" s="30"/>
      <c r="NE362" s="30"/>
      <c r="NF362" s="30"/>
      <c r="NG362" s="30"/>
      <c r="NH362" s="30"/>
      <c r="NI362" s="30"/>
      <c r="NJ362" s="30"/>
      <c r="NK362" s="30"/>
      <c r="NL362" s="30"/>
      <c r="NM362" s="30"/>
      <c r="NN362" s="30"/>
      <c r="NO362" s="30"/>
      <c r="NP362" s="30"/>
      <c r="NQ362" s="30"/>
      <c r="NR362" s="30"/>
    </row>
    <row r="363" spans="1:382" s="3" customFormat="1" ht="20.100000000000001" customHeight="1" x14ac:dyDescent="0.4">
      <c r="A363" s="29">
        <v>20</v>
      </c>
      <c r="B363" s="5">
        <v>1767</v>
      </c>
      <c r="C363" s="5" t="s">
        <v>460</v>
      </c>
      <c r="D363" s="5" t="s">
        <v>478</v>
      </c>
      <c r="E363" s="5" t="s">
        <v>18</v>
      </c>
      <c r="F363" s="5" t="s">
        <v>32</v>
      </c>
      <c r="G363" s="5" t="s">
        <v>32</v>
      </c>
      <c r="H363" s="5" t="s">
        <v>32</v>
      </c>
      <c r="I363" s="8"/>
      <c r="J363" s="8"/>
      <c r="K363" s="8" t="str">
        <f>IF(OR(J363="",E363=""),"",J363+IFERROR(VLOOKUP(E363,リードタイム!$A$2:$C$9,3,FALSE),0))</f>
        <v/>
      </c>
      <c r="L363" s="5" t="s">
        <v>530</v>
      </c>
      <c r="M363" s="8"/>
      <c r="N363" s="8" t="str">
        <f>IF(OR(M363="",E363=""),"",M363+IFERROR(VLOOKUP(E363,リードタイム!$A$2:$D$9,4,FALSE),0))</f>
        <v/>
      </c>
      <c r="O363" s="5" t="s">
        <v>530</v>
      </c>
      <c r="P363" s="5" t="s">
        <v>530</v>
      </c>
      <c r="Q363" s="5" t="s">
        <v>32</v>
      </c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  <c r="FS363" s="30"/>
      <c r="FT363" s="30"/>
      <c r="FU363" s="30"/>
      <c r="FV363" s="30"/>
      <c r="FW363" s="30"/>
      <c r="FX363" s="30"/>
      <c r="FY363" s="30"/>
      <c r="FZ363" s="30"/>
      <c r="GA363" s="30"/>
      <c r="GB363" s="30"/>
      <c r="GC363" s="30"/>
      <c r="GD363" s="30"/>
      <c r="GE363" s="30"/>
      <c r="GF363" s="30"/>
      <c r="GG363" s="30"/>
      <c r="GH363" s="30"/>
      <c r="GI363" s="30"/>
      <c r="GJ363" s="30"/>
      <c r="GK363" s="30"/>
      <c r="GL363" s="30"/>
      <c r="GM363" s="30"/>
      <c r="GN363" s="30"/>
      <c r="GO363" s="30"/>
      <c r="GP363" s="30"/>
      <c r="GQ363" s="30"/>
      <c r="GR363" s="30"/>
      <c r="GS363" s="30"/>
      <c r="GT363" s="30"/>
      <c r="GU363" s="30"/>
      <c r="GV363" s="30"/>
      <c r="GW363" s="30"/>
      <c r="GX363" s="30"/>
      <c r="GY363" s="30"/>
      <c r="GZ363" s="30"/>
      <c r="HA363" s="30"/>
      <c r="HB363" s="30"/>
      <c r="HC363" s="30"/>
      <c r="HD363" s="30"/>
      <c r="HE363" s="30"/>
      <c r="HF363" s="30"/>
      <c r="HG363" s="30"/>
      <c r="HH363" s="30"/>
      <c r="HI363" s="30"/>
      <c r="HJ363" s="30"/>
      <c r="HK363" s="30"/>
      <c r="HL363" s="30"/>
      <c r="HM363" s="30"/>
      <c r="HN363" s="30"/>
      <c r="HO363" s="30"/>
      <c r="HP363" s="30"/>
      <c r="HQ363" s="30"/>
      <c r="HR363" s="30"/>
      <c r="HS363" s="30"/>
      <c r="HT363" s="30"/>
      <c r="HU363" s="30"/>
      <c r="HV363" s="30"/>
      <c r="HW363" s="30"/>
      <c r="HX363" s="30"/>
      <c r="HY363" s="30"/>
      <c r="HZ363" s="30"/>
      <c r="IA363" s="30"/>
      <c r="IB363" s="30"/>
      <c r="IC363" s="30"/>
      <c r="ID363" s="30"/>
      <c r="IE363" s="30"/>
      <c r="IF363" s="30"/>
      <c r="IG363" s="30"/>
      <c r="IH363" s="30"/>
      <c r="II363" s="30"/>
      <c r="IJ363" s="30"/>
      <c r="IK363" s="30"/>
      <c r="IL363" s="30"/>
      <c r="IM363" s="30"/>
      <c r="IN363" s="30"/>
      <c r="IO363" s="30"/>
      <c r="IP363" s="30"/>
      <c r="IQ363" s="30"/>
      <c r="IR363" s="30"/>
      <c r="IS363" s="30"/>
      <c r="IT363" s="30"/>
      <c r="IU363" s="30"/>
      <c r="IV363" s="30"/>
      <c r="IW363" s="30"/>
      <c r="IX363" s="30"/>
      <c r="IY363" s="30"/>
      <c r="IZ363" s="30"/>
      <c r="JA363" s="30"/>
      <c r="JB363" s="30"/>
      <c r="JC363" s="30"/>
      <c r="JD363" s="30"/>
      <c r="JE363" s="30"/>
      <c r="JF363" s="30"/>
      <c r="JG363" s="30"/>
      <c r="JH363" s="30"/>
      <c r="JI363" s="30"/>
      <c r="JJ363" s="30"/>
      <c r="JK363" s="30"/>
      <c r="JL363" s="30"/>
      <c r="JM363" s="30"/>
      <c r="JN363" s="30"/>
      <c r="JO363" s="30"/>
      <c r="JP363" s="30"/>
      <c r="JQ363" s="30"/>
      <c r="JR363" s="30"/>
      <c r="JS363" s="30"/>
      <c r="JT363" s="30"/>
      <c r="JU363" s="30"/>
      <c r="JV363" s="30"/>
      <c r="JW363" s="30"/>
      <c r="JX363" s="30"/>
      <c r="JY363" s="30"/>
      <c r="JZ363" s="30"/>
      <c r="KA363" s="30"/>
      <c r="KB363" s="30"/>
      <c r="KC363" s="30"/>
      <c r="KD363" s="30"/>
      <c r="KE363" s="30"/>
      <c r="KF363" s="30"/>
      <c r="KG363" s="30"/>
      <c r="KH363" s="30"/>
      <c r="KI363" s="30"/>
      <c r="KJ363" s="30"/>
      <c r="KK363" s="30"/>
      <c r="KL363" s="30"/>
      <c r="KM363" s="30"/>
      <c r="KN363" s="30"/>
      <c r="KO363" s="30"/>
      <c r="KP363" s="30"/>
      <c r="KQ363" s="30"/>
      <c r="KR363" s="30"/>
      <c r="KS363" s="30"/>
      <c r="KT363" s="30"/>
      <c r="KU363" s="30"/>
      <c r="KV363" s="30"/>
      <c r="KW363" s="30"/>
      <c r="KX363" s="30"/>
      <c r="KY363" s="30"/>
      <c r="KZ363" s="30"/>
      <c r="LA363" s="30"/>
      <c r="LB363" s="30"/>
      <c r="LC363" s="30"/>
      <c r="LD363" s="30"/>
      <c r="LE363" s="30"/>
      <c r="LF363" s="30"/>
      <c r="LG363" s="30"/>
      <c r="LH363" s="30"/>
      <c r="LI363" s="30"/>
      <c r="LJ363" s="30"/>
      <c r="LK363" s="30"/>
      <c r="LL363" s="30"/>
      <c r="LM363" s="30"/>
      <c r="LN363" s="30"/>
      <c r="LO363" s="30"/>
      <c r="LP363" s="30"/>
      <c r="LQ363" s="30"/>
      <c r="LR363" s="30"/>
      <c r="LS363" s="30"/>
      <c r="LT363" s="30"/>
      <c r="LU363" s="30"/>
      <c r="LV363" s="30"/>
      <c r="LW363" s="30"/>
      <c r="LX363" s="30"/>
      <c r="LY363" s="30"/>
      <c r="LZ363" s="30"/>
      <c r="MA363" s="30"/>
      <c r="MB363" s="30"/>
      <c r="MC363" s="30"/>
      <c r="MD363" s="30"/>
      <c r="ME363" s="30"/>
      <c r="MF363" s="30"/>
      <c r="MG363" s="30"/>
      <c r="MH363" s="30"/>
      <c r="MI363" s="30"/>
      <c r="MJ363" s="30"/>
      <c r="MK363" s="30"/>
      <c r="ML363" s="30"/>
      <c r="MM363" s="30"/>
      <c r="MN363" s="30"/>
      <c r="MO363" s="30"/>
      <c r="MP363" s="30"/>
      <c r="MQ363" s="30"/>
      <c r="MR363" s="30"/>
      <c r="MS363" s="30"/>
      <c r="MT363" s="30"/>
      <c r="MU363" s="30"/>
      <c r="MV363" s="30"/>
      <c r="MW363" s="30"/>
      <c r="MX363" s="30"/>
      <c r="MY363" s="30"/>
      <c r="MZ363" s="30"/>
      <c r="NA363" s="30"/>
      <c r="NB363" s="30"/>
      <c r="NC363" s="30"/>
      <c r="ND363" s="30"/>
      <c r="NE363" s="30"/>
      <c r="NF363" s="30"/>
      <c r="NG363" s="30"/>
      <c r="NH363" s="30"/>
      <c r="NI363" s="30"/>
      <c r="NJ363" s="30"/>
      <c r="NK363" s="30"/>
      <c r="NL363" s="30"/>
      <c r="NM363" s="30"/>
      <c r="NN363" s="30"/>
      <c r="NO363" s="30"/>
      <c r="NP363" s="30"/>
      <c r="NQ363" s="30"/>
      <c r="NR363" s="30"/>
    </row>
    <row r="364" spans="1:382" s="3" customFormat="1" ht="20.100000000000001" customHeight="1" x14ac:dyDescent="0.4">
      <c r="A364" s="29">
        <v>21</v>
      </c>
      <c r="B364" s="5">
        <v>1963</v>
      </c>
      <c r="C364" s="5" t="s">
        <v>460</v>
      </c>
      <c r="D364" s="5" t="s">
        <v>479</v>
      </c>
      <c r="E364" s="5" t="s">
        <v>18</v>
      </c>
      <c r="F364" s="5" t="s">
        <v>32</v>
      </c>
      <c r="G364" s="5" t="s">
        <v>32</v>
      </c>
      <c r="H364" s="5" t="s">
        <v>32</v>
      </c>
      <c r="I364" s="8"/>
      <c r="J364" s="8"/>
      <c r="K364" s="8" t="str">
        <f>IF(OR(J364="",E364=""),"",J364+IFERROR(VLOOKUP(E364,リードタイム!$A$2:$C$9,3,FALSE),0))</f>
        <v/>
      </c>
      <c r="L364" s="5" t="s">
        <v>531</v>
      </c>
      <c r="M364" s="8"/>
      <c r="N364" s="8" t="str">
        <f>IF(OR(M364="",E364=""),"",M364+IFERROR(VLOOKUP(E364,リードタイム!$A$2:$D$9,4,FALSE),0))</f>
        <v/>
      </c>
      <c r="O364" s="5" t="s">
        <v>531</v>
      </c>
      <c r="P364" s="5" t="s">
        <v>533</v>
      </c>
      <c r="Q364" s="5" t="s">
        <v>480</v>
      </c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  <c r="FS364" s="30"/>
      <c r="FT364" s="30"/>
      <c r="FU364" s="30"/>
      <c r="FV364" s="30"/>
      <c r="FW364" s="30"/>
      <c r="FX364" s="30"/>
      <c r="FY364" s="30"/>
      <c r="FZ364" s="30"/>
      <c r="GA364" s="30"/>
      <c r="GB364" s="30"/>
      <c r="GC364" s="30"/>
      <c r="GD364" s="30"/>
      <c r="GE364" s="30"/>
      <c r="GF364" s="30"/>
      <c r="GG364" s="30"/>
      <c r="GH364" s="30"/>
      <c r="GI364" s="30"/>
      <c r="GJ364" s="30"/>
      <c r="GK364" s="30"/>
      <c r="GL364" s="30"/>
      <c r="GM364" s="30"/>
      <c r="GN364" s="30"/>
      <c r="GO364" s="30"/>
      <c r="GP364" s="30"/>
      <c r="GQ364" s="30"/>
      <c r="GR364" s="30"/>
      <c r="GS364" s="30"/>
      <c r="GT364" s="30"/>
      <c r="GU364" s="30"/>
      <c r="GV364" s="30"/>
      <c r="GW364" s="30"/>
      <c r="GX364" s="30"/>
      <c r="GY364" s="30"/>
      <c r="GZ364" s="30"/>
      <c r="HA364" s="30"/>
      <c r="HB364" s="30"/>
      <c r="HC364" s="30"/>
      <c r="HD364" s="30"/>
      <c r="HE364" s="30"/>
      <c r="HF364" s="30"/>
      <c r="HG364" s="30"/>
      <c r="HH364" s="30"/>
      <c r="HI364" s="30"/>
      <c r="HJ364" s="30"/>
      <c r="HK364" s="30"/>
      <c r="HL364" s="30"/>
      <c r="HM364" s="30"/>
      <c r="HN364" s="30"/>
      <c r="HO364" s="30"/>
      <c r="HP364" s="30"/>
      <c r="HQ364" s="30"/>
      <c r="HR364" s="30"/>
      <c r="HS364" s="30"/>
      <c r="HT364" s="30"/>
      <c r="HU364" s="30"/>
      <c r="HV364" s="30"/>
      <c r="HW364" s="30"/>
      <c r="HX364" s="30"/>
      <c r="HY364" s="30"/>
      <c r="HZ364" s="30"/>
      <c r="IA364" s="30"/>
      <c r="IB364" s="30"/>
      <c r="IC364" s="30"/>
      <c r="ID364" s="30"/>
      <c r="IE364" s="30"/>
      <c r="IF364" s="30"/>
      <c r="IG364" s="30"/>
      <c r="IH364" s="30"/>
      <c r="II364" s="30"/>
      <c r="IJ364" s="30"/>
      <c r="IK364" s="30"/>
      <c r="IL364" s="30"/>
      <c r="IM364" s="30"/>
      <c r="IN364" s="30"/>
      <c r="IO364" s="30"/>
      <c r="IP364" s="30"/>
      <c r="IQ364" s="30"/>
      <c r="IR364" s="30"/>
      <c r="IS364" s="30"/>
      <c r="IT364" s="30"/>
      <c r="IU364" s="30"/>
      <c r="IV364" s="30"/>
      <c r="IW364" s="30"/>
      <c r="IX364" s="30"/>
      <c r="IY364" s="30"/>
      <c r="IZ364" s="30"/>
      <c r="JA364" s="30"/>
      <c r="JB364" s="30"/>
      <c r="JC364" s="30"/>
      <c r="JD364" s="30"/>
      <c r="JE364" s="30"/>
      <c r="JF364" s="30"/>
      <c r="JG364" s="30"/>
      <c r="JH364" s="30"/>
      <c r="JI364" s="30"/>
      <c r="JJ364" s="30"/>
      <c r="JK364" s="30"/>
      <c r="JL364" s="30"/>
      <c r="JM364" s="30"/>
      <c r="JN364" s="30"/>
      <c r="JO364" s="30"/>
      <c r="JP364" s="30"/>
      <c r="JQ364" s="30"/>
      <c r="JR364" s="30"/>
      <c r="JS364" s="30"/>
      <c r="JT364" s="30"/>
      <c r="JU364" s="30"/>
      <c r="JV364" s="30"/>
      <c r="JW364" s="30"/>
      <c r="JX364" s="30"/>
      <c r="JY364" s="30"/>
      <c r="JZ364" s="30"/>
      <c r="KA364" s="30"/>
      <c r="KB364" s="30"/>
      <c r="KC364" s="30"/>
      <c r="KD364" s="30"/>
      <c r="KE364" s="30"/>
      <c r="KF364" s="30"/>
      <c r="KG364" s="30"/>
      <c r="KH364" s="30"/>
      <c r="KI364" s="30"/>
      <c r="KJ364" s="30"/>
      <c r="KK364" s="30"/>
      <c r="KL364" s="30"/>
      <c r="KM364" s="30"/>
      <c r="KN364" s="30"/>
      <c r="KO364" s="30"/>
      <c r="KP364" s="30"/>
      <c r="KQ364" s="30"/>
      <c r="KR364" s="30"/>
      <c r="KS364" s="30"/>
      <c r="KT364" s="30"/>
      <c r="KU364" s="30"/>
      <c r="KV364" s="30"/>
      <c r="KW364" s="30"/>
      <c r="KX364" s="30"/>
      <c r="KY364" s="30"/>
      <c r="KZ364" s="30"/>
      <c r="LA364" s="30"/>
      <c r="LB364" s="30"/>
      <c r="LC364" s="30"/>
      <c r="LD364" s="30"/>
      <c r="LE364" s="30"/>
      <c r="LF364" s="30"/>
      <c r="LG364" s="30"/>
      <c r="LH364" s="30"/>
      <c r="LI364" s="30"/>
      <c r="LJ364" s="30"/>
      <c r="LK364" s="30"/>
      <c r="LL364" s="30"/>
      <c r="LM364" s="30"/>
      <c r="LN364" s="30"/>
      <c r="LO364" s="30"/>
      <c r="LP364" s="30"/>
      <c r="LQ364" s="30"/>
      <c r="LR364" s="30"/>
      <c r="LS364" s="30"/>
      <c r="LT364" s="30"/>
      <c r="LU364" s="30"/>
      <c r="LV364" s="30"/>
      <c r="LW364" s="30"/>
      <c r="LX364" s="30"/>
      <c r="LY364" s="30"/>
      <c r="LZ364" s="30"/>
      <c r="MA364" s="30"/>
      <c r="MB364" s="30"/>
      <c r="MC364" s="30"/>
      <c r="MD364" s="30"/>
      <c r="ME364" s="30"/>
      <c r="MF364" s="30"/>
      <c r="MG364" s="30"/>
      <c r="MH364" s="30"/>
      <c r="MI364" s="30"/>
      <c r="MJ364" s="30"/>
      <c r="MK364" s="30"/>
      <c r="ML364" s="30"/>
      <c r="MM364" s="30"/>
      <c r="MN364" s="30"/>
      <c r="MO364" s="30"/>
      <c r="MP364" s="30"/>
      <c r="MQ364" s="30"/>
      <c r="MR364" s="30"/>
      <c r="MS364" s="30"/>
      <c r="MT364" s="30"/>
      <c r="MU364" s="30"/>
      <c r="MV364" s="30"/>
      <c r="MW364" s="30"/>
      <c r="MX364" s="30"/>
      <c r="MY364" s="30"/>
      <c r="MZ364" s="30"/>
      <c r="NA364" s="30"/>
      <c r="NB364" s="30"/>
      <c r="NC364" s="30"/>
      <c r="ND364" s="30"/>
      <c r="NE364" s="30"/>
      <c r="NF364" s="30"/>
      <c r="NG364" s="30"/>
      <c r="NH364" s="30"/>
      <c r="NI364" s="30"/>
      <c r="NJ364" s="30"/>
      <c r="NK364" s="30"/>
      <c r="NL364" s="30"/>
      <c r="NM364" s="30"/>
      <c r="NN364" s="30"/>
      <c r="NO364" s="30"/>
      <c r="NP364" s="30"/>
      <c r="NQ364" s="30"/>
      <c r="NR364" s="30"/>
    </row>
    <row r="365" spans="1:382" s="3" customFormat="1" ht="20.100000000000001" customHeight="1" x14ac:dyDescent="0.4">
      <c r="A365" s="29">
        <v>22</v>
      </c>
      <c r="B365" s="5">
        <v>1767</v>
      </c>
      <c r="C365" s="5" t="s">
        <v>460</v>
      </c>
      <c r="D365" s="5" t="s">
        <v>478</v>
      </c>
      <c r="E365" s="5" t="s">
        <v>18</v>
      </c>
      <c r="F365" s="5" t="s">
        <v>32</v>
      </c>
      <c r="G365" s="5" t="s">
        <v>32</v>
      </c>
      <c r="H365" s="5" t="s">
        <v>32</v>
      </c>
      <c r="I365" s="8"/>
      <c r="J365" s="8"/>
      <c r="K365" s="8" t="str">
        <f>IF(OR(J365="",E365=""),"",J365+IFERROR(VLOOKUP(E365,リードタイム!$A$2:$C$9,3,FALSE),0))</f>
        <v/>
      </c>
      <c r="L365" s="5" t="s">
        <v>531</v>
      </c>
      <c r="M365" s="8"/>
      <c r="N365" s="8" t="str">
        <f>IF(OR(M365="",E365=""),"",M365+IFERROR(VLOOKUP(E365,リードタイム!$A$2:$D$9,4,FALSE),0))</f>
        <v/>
      </c>
      <c r="O365" s="5" t="s">
        <v>531</v>
      </c>
      <c r="P365" s="5" t="s">
        <v>533</v>
      </c>
      <c r="Q365" s="5" t="s">
        <v>32</v>
      </c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  <c r="FS365" s="30"/>
      <c r="FT365" s="30"/>
      <c r="FU365" s="30"/>
      <c r="FV365" s="30"/>
      <c r="FW365" s="30"/>
      <c r="FX365" s="30"/>
      <c r="FY365" s="30"/>
      <c r="FZ365" s="30"/>
      <c r="GA365" s="30"/>
      <c r="GB365" s="30"/>
      <c r="GC365" s="30"/>
      <c r="GD365" s="30"/>
      <c r="GE365" s="30"/>
      <c r="GF365" s="30"/>
      <c r="GG365" s="30"/>
      <c r="GH365" s="30"/>
      <c r="GI365" s="30"/>
      <c r="GJ365" s="30"/>
      <c r="GK365" s="30"/>
      <c r="GL365" s="30"/>
      <c r="GM365" s="30"/>
      <c r="GN365" s="30"/>
      <c r="GO365" s="30"/>
      <c r="GP365" s="30"/>
      <c r="GQ365" s="30"/>
      <c r="GR365" s="30"/>
      <c r="GS365" s="30"/>
      <c r="GT365" s="30"/>
      <c r="GU365" s="30"/>
      <c r="GV365" s="30"/>
      <c r="GW365" s="30"/>
      <c r="GX365" s="30"/>
      <c r="GY365" s="30"/>
      <c r="GZ365" s="30"/>
      <c r="HA365" s="30"/>
      <c r="HB365" s="30"/>
      <c r="HC365" s="30"/>
      <c r="HD365" s="30"/>
      <c r="HE365" s="30"/>
      <c r="HF365" s="30"/>
      <c r="HG365" s="30"/>
      <c r="HH365" s="30"/>
      <c r="HI365" s="30"/>
      <c r="HJ365" s="30"/>
      <c r="HK365" s="30"/>
      <c r="HL365" s="30"/>
      <c r="HM365" s="30"/>
      <c r="HN365" s="30"/>
      <c r="HO365" s="30"/>
      <c r="HP365" s="30"/>
      <c r="HQ365" s="30"/>
      <c r="HR365" s="30"/>
      <c r="HS365" s="30"/>
      <c r="HT365" s="30"/>
      <c r="HU365" s="30"/>
      <c r="HV365" s="30"/>
      <c r="HW365" s="30"/>
      <c r="HX365" s="30"/>
      <c r="HY365" s="30"/>
      <c r="HZ365" s="30"/>
      <c r="IA365" s="30"/>
      <c r="IB365" s="30"/>
      <c r="IC365" s="30"/>
      <c r="ID365" s="30"/>
      <c r="IE365" s="30"/>
      <c r="IF365" s="30"/>
      <c r="IG365" s="30"/>
      <c r="IH365" s="30"/>
      <c r="II365" s="30"/>
      <c r="IJ365" s="30"/>
      <c r="IK365" s="30"/>
      <c r="IL365" s="30"/>
      <c r="IM365" s="30"/>
      <c r="IN365" s="30"/>
      <c r="IO365" s="30"/>
      <c r="IP365" s="30"/>
      <c r="IQ365" s="30"/>
      <c r="IR365" s="30"/>
      <c r="IS365" s="30"/>
      <c r="IT365" s="30"/>
      <c r="IU365" s="30"/>
      <c r="IV365" s="30"/>
      <c r="IW365" s="30"/>
      <c r="IX365" s="30"/>
      <c r="IY365" s="30"/>
      <c r="IZ365" s="30"/>
      <c r="JA365" s="30"/>
      <c r="JB365" s="30"/>
      <c r="JC365" s="30"/>
      <c r="JD365" s="30"/>
      <c r="JE365" s="30"/>
      <c r="JF365" s="30"/>
      <c r="JG365" s="30"/>
      <c r="JH365" s="30"/>
      <c r="JI365" s="30"/>
      <c r="JJ365" s="30"/>
      <c r="JK365" s="30"/>
      <c r="JL365" s="30"/>
      <c r="JM365" s="30"/>
      <c r="JN365" s="30"/>
      <c r="JO365" s="30"/>
      <c r="JP365" s="30"/>
      <c r="JQ365" s="30"/>
      <c r="JR365" s="30"/>
      <c r="JS365" s="30"/>
      <c r="JT365" s="30"/>
      <c r="JU365" s="30"/>
      <c r="JV365" s="30"/>
      <c r="JW365" s="30"/>
      <c r="JX365" s="30"/>
      <c r="JY365" s="30"/>
      <c r="JZ365" s="30"/>
      <c r="KA365" s="30"/>
      <c r="KB365" s="30"/>
      <c r="KC365" s="30"/>
      <c r="KD365" s="30"/>
      <c r="KE365" s="30"/>
      <c r="KF365" s="30"/>
      <c r="KG365" s="30"/>
      <c r="KH365" s="30"/>
      <c r="KI365" s="30"/>
      <c r="KJ365" s="30"/>
      <c r="KK365" s="30"/>
      <c r="KL365" s="30"/>
      <c r="KM365" s="30"/>
      <c r="KN365" s="30"/>
      <c r="KO365" s="30"/>
      <c r="KP365" s="30"/>
      <c r="KQ365" s="30"/>
      <c r="KR365" s="30"/>
      <c r="KS365" s="30"/>
      <c r="KT365" s="30"/>
      <c r="KU365" s="30"/>
      <c r="KV365" s="30"/>
      <c r="KW365" s="30"/>
      <c r="KX365" s="30"/>
      <c r="KY365" s="30"/>
      <c r="KZ365" s="30"/>
      <c r="LA365" s="30"/>
      <c r="LB365" s="30"/>
      <c r="LC365" s="30"/>
      <c r="LD365" s="30"/>
      <c r="LE365" s="30"/>
      <c r="LF365" s="30"/>
      <c r="LG365" s="30"/>
      <c r="LH365" s="30"/>
      <c r="LI365" s="30"/>
      <c r="LJ365" s="30"/>
      <c r="LK365" s="30"/>
      <c r="LL365" s="30"/>
      <c r="LM365" s="30"/>
      <c r="LN365" s="30"/>
      <c r="LO365" s="30"/>
      <c r="LP365" s="30"/>
      <c r="LQ365" s="30"/>
      <c r="LR365" s="30"/>
      <c r="LS365" s="30"/>
      <c r="LT365" s="30"/>
      <c r="LU365" s="30"/>
      <c r="LV365" s="30"/>
      <c r="LW365" s="30"/>
      <c r="LX365" s="30"/>
      <c r="LY365" s="30"/>
      <c r="LZ365" s="30"/>
      <c r="MA365" s="30"/>
      <c r="MB365" s="30"/>
      <c r="MC365" s="30"/>
      <c r="MD365" s="30"/>
      <c r="ME365" s="30"/>
      <c r="MF365" s="30"/>
      <c r="MG365" s="30"/>
      <c r="MH365" s="30"/>
      <c r="MI365" s="30"/>
      <c r="MJ365" s="30"/>
      <c r="MK365" s="30"/>
      <c r="ML365" s="30"/>
      <c r="MM365" s="30"/>
      <c r="MN365" s="30"/>
      <c r="MO365" s="30"/>
      <c r="MP365" s="30"/>
      <c r="MQ365" s="30"/>
      <c r="MR365" s="30"/>
      <c r="MS365" s="30"/>
      <c r="MT365" s="30"/>
      <c r="MU365" s="30"/>
      <c r="MV365" s="30"/>
      <c r="MW365" s="30"/>
      <c r="MX365" s="30"/>
      <c r="MY365" s="30"/>
      <c r="MZ365" s="30"/>
      <c r="NA365" s="30"/>
      <c r="NB365" s="30"/>
      <c r="NC365" s="30"/>
      <c r="ND365" s="30"/>
      <c r="NE365" s="30"/>
      <c r="NF365" s="30"/>
      <c r="NG365" s="30"/>
      <c r="NH365" s="30"/>
      <c r="NI365" s="30"/>
      <c r="NJ365" s="30"/>
      <c r="NK365" s="30"/>
      <c r="NL365" s="30"/>
      <c r="NM365" s="30"/>
      <c r="NN365" s="30"/>
      <c r="NO365" s="30"/>
      <c r="NP365" s="30"/>
      <c r="NQ365" s="30"/>
      <c r="NR365" s="30"/>
    </row>
    <row r="366" spans="1:382" s="3" customFormat="1" ht="20.100000000000001" customHeight="1" x14ac:dyDescent="0.4">
      <c r="A366" s="29">
        <v>1</v>
      </c>
      <c r="B366" s="5">
        <v>1614</v>
      </c>
      <c r="C366" s="5" t="s">
        <v>481</v>
      </c>
      <c r="D366" s="5" t="s">
        <v>466</v>
      </c>
      <c r="E366" s="5" t="s">
        <v>18</v>
      </c>
      <c r="F366" s="5" t="s">
        <v>32</v>
      </c>
      <c r="G366" s="5" t="s">
        <v>32</v>
      </c>
      <c r="H366" s="5" t="s">
        <v>32</v>
      </c>
      <c r="I366" s="8"/>
      <c r="J366" s="8"/>
      <c r="K366" s="8" t="str">
        <f>IF(OR(J366="",E366=""),"",J366+IFERROR(VLOOKUP(E366,リードタイム!$A$2:$C$9,3,FALSE),0))</f>
        <v/>
      </c>
      <c r="L366" s="5" t="s">
        <v>531</v>
      </c>
      <c r="M366" s="8"/>
      <c r="N366" s="8" t="str">
        <f>IF(OR(M366="",E366=""),"",M366+IFERROR(VLOOKUP(E366,リードタイム!$A$2:$D$9,4,FALSE),0))</f>
        <v/>
      </c>
      <c r="O366" s="5" t="s">
        <v>531</v>
      </c>
      <c r="P366" s="5" t="s">
        <v>533</v>
      </c>
      <c r="Q366" s="5" t="s">
        <v>482</v>
      </c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  <c r="FS366" s="30"/>
      <c r="FT366" s="30"/>
      <c r="FU366" s="30"/>
      <c r="FV366" s="30"/>
      <c r="FW366" s="30"/>
      <c r="FX366" s="30"/>
      <c r="FY366" s="30"/>
      <c r="FZ366" s="30"/>
      <c r="GA366" s="30"/>
      <c r="GB366" s="30"/>
      <c r="GC366" s="30"/>
      <c r="GD366" s="30"/>
      <c r="GE366" s="30"/>
      <c r="GF366" s="30"/>
      <c r="GG366" s="30"/>
      <c r="GH366" s="30"/>
      <c r="GI366" s="30"/>
      <c r="GJ366" s="30"/>
      <c r="GK366" s="30"/>
      <c r="GL366" s="30"/>
      <c r="GM366" s="30"/>
      <c r="GN366" s="30"/>
      <c r="GO366" s="30"/>
      <c r="GP366" s="30"/>
      <c r="GQ366" s="30"/>
      <c r="GR366" s="30"/>
      <c r="GS366" s="30"/>
      <c r="GT366" s="30"/>
      <c r="GU366" s="30"/>
      <c r="GV366" s="30"/>
      <c r="GW366" s="30"/>
      <c r="GX366" s="30"/>
      <c r="GY366" s="30"/>
      <c r="GZ366" s="30"/>
      <c r="HA366" s="30"/>
      <c r="HB366" s="30"/>
      <c r="HC366" s="30"/>
      <c r="HD366" s="30"/>
      <c r="HE366" s="30"/>
      <c r="HF366" s="30"/>
      <c r="HG366" s="30"/>
      <c r="HH366" s="30"/>
      <c r="HI366" s="30"/>
      <c r="HJ366" s="30"/>
      <c r="HK366" s="30"/>
      <c r="HL366" s="30"/>
      <c r="HM366" s="30"/>
      <c r="HN366" s="30"/>
      <c r="HO366" s="30"/>
      <c r="HP366" s="30"/>
      <c r="HQ366" s="30"/>
      <c r="HR366" s="30"/>
      <c r="HS366" s="30"/>
      <c r="HT366" s="30"/>
      <c r="HU366" s="30"/>
      <c r="HV366" s="30"/>
      <c r="HW366" s="30"/>
      <c r="HX366" s="30"/>
      <c r="HY366" s="30"/>
      <c r="HZ366" s="30"/>
      <c r="IA366" s="30"/>
      <c r="IB366" s="30"/>
      <c r="IC366" s="30"/>
      <c r="ID366" s="30"/>
      <c r="IE366" s="30"/>
      <c r="IF366" s="30"/>
      <c r="IG366" s="30"/>
      <c r="IH366" s="30"/>
      <c r="II366" s="30"/>
      <c r="IJ366" s="30"/>
      <c r="IK366" s="30"/>
      <c r="IL366" s="30"/>
      <c r="IM366" s="30"/>
      <c r="IN366" s="30"/>
      <c r="IO366" s="30"/>
      <c r="IP366" s="30"/>
      <c r="IQ366" s="30"/>
      <c r="IR366" s="30"/>
      <c r="IS366" s="30"/>
      <c r="IT366" s="30"/>
      <c r="IU366" s="30"/>
      <c r="IV366" s="30"/>
      <c r="IW366" s="30"/>
      <c r="IX366" s="30"/>
      <c r="IY366" s="30"/>
      <c r="IZ366" s="30"/>
      <c r="JA366" s="30"/>
      <c r="JB366" s="30"/>
      <c r="JC366" s="30"/>
      <c r="JD366" s="30"/>
      <c r="JE366" s="30"/>
      <c r="JF366" s="30"/>
      <c r="JG366" s="30"/>
      <c r="JH366" s="30"/>
      <c r="JI366" s="30"/>
      <c r="JJ366" s="30"/>
      <c r="JK366" s="30"/>
      <c r="JL366" s="30"/>
      <c r="JM366" s="30"/>
      <c r="JN366" s="30"/>
      <c r="JO366" s="30"/>
      <c r="JP366" s="30"/>
      <c r="JQ366" s="30"/>
      <c r="JR366" s="30"/>
      <c r="JS366" s="30"/>
      <c r="JT366" s="30"/>
      <c r="JU366" s="30"/>
      <c r="JV366" s="30"/>
      <c r="JW366" s="30"/>
      <c r="JX366" s="30"/>
      <c r="JY366" s="30"/>
      <c r="JZ366" s="30"/>
      <c r="KA366" s="30"/>
      <c r="KB366" s="30"/>
      <c r="KC366" s="30"/>
      <c r="KD366" s="30"/>
      <c r="KE366" s="30"/>
      <c r="KF366" s="30"/>
      <c r="KG366" s="30"/>
      <c r="KH366" s="30"/>
      <c r="KI366" s="30"/>
      <c r="KJ366" s="30"/>
      <c r="KK366" s="30"/>
      <c r="KL366" s="30"/>
      <c r="KM366" s="30"/>
      <c r="KN366" s="30"/>
      <c r="KO366" s="30"/>
      <c r="KP366" s="30"/>
      <c r="KQ366" s="30"/>
      <c r="KR366" s="30"/>
      <c r="KS366" s="30"/>
      <c r="KT366" s="30"/>
      <c r="KU366" s="30"/>
      <c r="KV366" s="30"/>
      <c r="KW366" s="30"/>
      <c r="KX366" s="30"/>
      <c r="KY366" s="30"/>
      <c r="KZ366" s="30"/>
      <c r="LA366" s="30"/>
      <c r="LB366" s="30"/>
      <c r="LC366" s="30"/>
      <c r="LD366" s="30"/>
      <c r="LE366" s="30"/>
      <c r="LF366" s="30"/>
      <c r="LG366" s="30"/>
      <c r="LH366" s="30"/>
      <c r="LI366" s="30"/>
      <c r="LJ366" s="30"/>
      <c r="LK366" s="30"/>
      <c r="LL366" s="30"/>
      <c r="LM366" s="30"/>
      <c r="LN366" s="30"/>
      <c r="LO366" s="30"/>
      <c r="LP366" s="30"/>
      <c r="LQ366" s="30"/>
      <c r="LR366" s="30"/>
      <c r="LS366" s="30"/>
      <c r="LT366" s="30"/>
      <c r="LU366" s="30"/>
      <c r="LV366" s="30"/>
      <c r="LW366" s="30"/>
      <c r="LX366" s="30"/>
      <c r="LY366" s="30"/>
      <c r="LZ366" s="30"/>
      <c r="MA366" s="30"/>
      <c r="MB366" s="30"/>
      <c r="MC366" s="30"/>
      <c r="MD366" s="30"/>
      <c r="ME366" s="30"/>
      <c r="MF366" s="30"/>
      <c r="MG366" s="30"/>
      <c r="MH366" s="30"/>
      <c r="MI366" s="30"/>
      <c r="MJ366" s="30"/>
      <c r="MK366" s="30"/>
      <c r="ML366" s="30"/>
      <c r="MM366" s="30"/>
      <c r="MN366" s="30"/>
      <c r="MO366" s="30"/>
      <c r="MP366" s="30"/>
      <c r="MQ366" s="30"/>
      <c r="MR366" s="30"/>
      <c r="MS366" s="30"/>
      <c r="MT366" s="30"/>
      <c r="MU366" s="30"/>
      <c r="MV366" s="30"/>
      <c r="MW366" s="30"/>
      <c r="MX366" s="30"/>
      <c r="MY366" s="30"/>
      <c r="MZ366" s="30"/>
      <c r="NA366" s="30"/>
      <c r="NB366" s="30"/>
      <c r="NC366" s="30"/>
      <c r="ND366" s="30"/>
      <c r="NE366" s="30"/>
      <c r="NF366" s="30"/>
      <c r="NG366" s="30"/>
      <c r="NH366" s="30"/>
      <c r="NI366" s="30"/>
      <c r="NJ366" s="30"/>
      <c r="NK366" s="30"/>
      <c r="NL366" s="30"/>
      <c r="NM366" s="30"/>
      <c r="NN366" s="30"/>
      <c r="NO366" s="30"/>
      <c r="NP366" s="30"/>
      <c r="NQ366" s="30"/>
      <c r="NR366" s="30"/>
    </row>
    <row r="367" spans="1:382" s="3" customFormat="1" ht="20.100000000000001" customHeight="1" x14ac:dyDescent="0.4">
      <c r="A367" s="29">
        <v>1</v>
      </c>
      <c r="B367" s="5">
        <v>1897</v>
      </c>
      <c r="C367" s="5" t="s">
        <v>483</v>
      </c>
      <c r="D367" s="5" t="s">
        <v>484</v>
      </c>
      <c r="E367" s="5" t="s">
        <v>18</v>
      </c>
      <c r="F367" s="5" t="s">
        <v>32</v>
      </c>
      <c r="G367" s="5" t="s">
        <v>32</v>
      </c>
      <c r="H367" s="5" t="s">
        <v>32</v>
      </c>
      <c r="I367" s="8"/>
      <c r="J367" s="8"/>
      <c r="K367" s="8" t="str">
        <f>IF(OR(J367="",E367=""),"",J367+IFERROR(VLOOKUP(E367,リードタイム!$A$2:$C$9,3,FALSE),0))</f>
        <v/>
      </c>
      <c r="L367" s="5" t="s">
        <v>531</v>
      </c>
      <c r="M367" s="8"/>
      <c r="N367" s="8" t="str">
        <f>IF(OR(M367="",E367=""),"",M367+IFERROR(VLOOKUP(E367,リードタイム!$A$2:$D$9,4,FALSE),0))</f>
        <v/>
      </c>
      <c r="O367" s="5" t="s">
        <v>531</v>
      </c>
      <c r="P367" s="5" t="s">
        <v>533</v>
      </c>
      <c r="Q367" s="5" t="s">
        <v>32</v>
      </c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  <c r="FS367" s="30"/>
      <c r="FT367" s="30"/>
      <c r="FU367" s="30"/>
      <c r="FV367" s="30"/>
      <c r="FW367" s="30"/>
      <c r="FX367" s="30"/>
      <c r="FY367" s="30"/>
      <c r="FZ367" s="30"/>
      <c r="GA367" s="30"/>
      <c r="GB367" s="30"/>
      <c r="GC367" s="30"/>
      <c r="GD367" s="30"/>
      <c r="GE367" s="30"/>
      <c r="GF367" s="30"/>
      <c r="GG367" s="30"/>
      <c r="GH367" s="30"/>
      <c r="GI367" s="30"/>
      <c r="GJ367" s="30"/>
      <c r="GK367" s="30"/>
      <c r="GL367" s="30"/>
      <c r="GM367" s="30"/>
      <c r="GN367" s="30"/>
      <c r="GO367" s="30"/>
      <c r="GP367" s="30"/>
      <c r="GQ367" s="30"/>
      <c r="GR367" s="30"/>
      <c r="GS367" s="30"/>
      <c r="GT367" s="30"/>
      <c r="GU367" s="30"/>
      <c r="GV367" s="30"/>
      <c r="GW367" s="30"/>
      <c r="GX367" s="30"/>
      <c r="GY367" s="30"/>
      <c r="GZ367" s="30"/>
      <c r="HA367" s="30"/>
      <c r="HB367" s="30"/>
      <c r="HC367" s="30"/>
      <c r="HD367" s="30"/>
      <c r="HE367" s="30"/>
      <c r="HF367" s="30"/>
      <c r="HG367" s="30"/>
      <c r="HH367" s="30"/>
      <c r="HI367" s="30"/>
      <c r="HJ367" s="30"/>
      <c r="HK367" s="30"/>
      <c r="HL367" s="30"/>
      <c r="HM367" s="30"/>
      <c r="HN367" s="30"/>
      <c r="HO367" s="30"/>
      <c r="HP367" s="30"/>
      <c r="HQ367" s="30"/>
      <c r="HR367" s="30"/>
      <c r="HS367" s="30"/>
      <c r="HT367" s="30"/>
      <c r="HU367" s="30"/>
      <c r="HV367" s="30"/>
      <c r="HW367" s="30"/>
      <c r="HX367" s="30"/>
      <c r="HY367" s="30"/>
      <c r="HZ367" s="30"/>
      <c r="IA367" s="30"/>
      <c r="IB367" s="30"/>
      <c r="IC367" s="30"/>
      <c r="ID367" s="30"/>
      <c r="IE367" s="30"/>
      <c r="IF367" s="30"/>
      <c r="IG367" s="30"/>
      <c r="IH367" s="30"/>
      <c r="II367" s="30"/>
      <c r="IJ367" s="30"/>
      <c r="IK367" s="30"/>
      <c r="IL367" s="30"/>
      <c r="IM367" s="30"/>
      <c r="IN367" s="30"/>
      <c r="IO367" s="30"/>
      <c r="IP367" s="30"/>
      <c r="IQ367" s="30"/>
      <c r="IR367" s="30"/>
      <c r="IS367" s="30"/>
      <c r="IT367" s="30"/>
      <c r="IU367" s="30"/>
      <c r="IV367" s="30"/>
      <c r="IW367" s="30"/>
      <c r="IX367" s="30"/>
      <c r="IY367" s="30"/>
      <c r="IZ367" s="30"/>
      <c r="JA367" s="30"/>
      <c r="JB367" s="30"/>
      <c r="JC367" s="30"/>
      <c r="JD367" s="30"/>
      <c r="JE367" s="30"/>
      <c r="JF367" s="30"/>
      <c r="JG367" s="30"/>
      <c r="JH367" s="30"/>
      <c r="JI367" s="30"/>
      <c r="JJ367" s="30"/>
      <c r="JK367" s="30"/>
      <c r="JL367" s="30"/>
      <c r="JM367" s="30"/>
      <c r="JN367" s="30"/>
      <c r="JO367" s="30"/>
      <c r="JP367" s="30"/>
      <c r="JQ367" s="30"/>
      <c r="JR367" s="30"/>
      <c r="JS367" s="30"/>
      <c r="JT367" s="30"/>
      <c r="JU367" s="30"/>
      <c r="JV367" s="30"/>
      <c r="JW367" s="30"/>
      <c r="JX367" s="30"/>
      <c r="JY367" s="30"/>
      <c r="JZ367" s="30"/>
      <c r="KA367" s="30"/>
      <c r="KB367" s="30"/>
      <c r="KC367" s="30"/>
      <c r="KD367" s="30"/>
      <c r="KE367" s="30"/>
      <c r="KF367" s="30"/>
      <c r="KG367" s="30"/>
      <c r="KH367" s="30"/>
      <c r="KI367" s="30"/>
      <c r="KJ367" s="30"/>
      <c r="KK367" s="30"/>
      <c r="KL367" s="30"/>
      <c r="KM367" s="30"/>
      <c r="KN367" s="30"/>
      <c r="KO367" s="30"/>
      <c r="KP367" s="30"/>
      <c r="KQ367" s="30"/>
      <c r="KR367" s="30"/>
      <c r="KS367" s="30"/>
      <c r="KT367" s="30"/>
      <c r="KU367" s="30"/>
      <c r="KV367" s="30"/>
      <c r="KW367" s="30"/>
      <c r="KX367" s="30"/>
      <c r="KY367" s="30"/>
      <c r="KZ367" s="30"/>
      <c r="LA367" s="30"/>
      <c r="LB367" s="30"/>
      <c r="LC367" s="30"/>
      <c r="LD367" s="30"/>
      <c r="LE367" s="30"/>
      <c r="LF367" s="30"/>
      <c r="LG367" s="30"/>
      <c r="LH367" s="30"/>
      <c r="LI367" s="30"/>
      <c r="LJ367" s="30"/>
      <c r="LK367" s="30"/>
      <c r="LL367" s="30"/>
      <c r="LM367" s="30"/>
      <c r="LN367" s="30"/>
      <c r="LO367" s="30"/>
      <c r="LP367" s="30"/>
      <c r="LQ367" s="30"/>
      <c r="LR367" s="30"/>
      <c r="LS367" s="30"/>
      <c r="LT367" s="30"/>
      <c r="LU367" s="30"/>
      <c r="LV367" s="30"/>
      <c r="LW367" s="30"/>
      <c r="LX367" s="30"/>
      <c r="LY367" s="30"/>
      <c r="LZ367" s="30"/>
      <c r="MA367" s="30"/>
      <c r="MB367" s="30"/>
      <c r="MC367" s="30"/>
      <c r="MD367" s="30"/>
      <c r="ME367" s="30"/>
      <c r="MF367" s="30"/>
      <c r="MG367" s="30"/>
      <c r="MH367" s="30"/>
      <c r="MI367" s="30"/>
      <c r="MJ367" s="30"/>
      <c r="MK367" s="30"/>
      <c r="ML367" s="30"/>
      <c r="MM367" s="30"/>
      <c r="MN367" s="30"/>
      <c r="MO367" s="30"/>
      <c r="MP367" s="30"/>
      <c r="MQ367" s="30"/>
      <c r="MR367" s="30"/>
      <c r="MS367" s="30"/>
      <c r="MT367" s="30"/>
      <c r="MU367" s="30"/>
      <c r="MV367" s="30"/>
      <c r="MW367" s="30"/>
      <c r="MX367" s="30"/>
      <c r="MY367" s="30"/>
      <c r="MZ367" s="30"/>
      <c r="NA367" s="30"/>
      <c r="NB367" s="30"/>
      <c r="NC367" s="30"/>
      <c r="ND367" s="30"/>
      <c r="NE367" s="30"/>
      <c r="NF367" s="30"/>
      <c r="NG367" s="30"/>
      <c r="NH367" s="30"/>
      <c r="NI367" s="30"/>
      <c r="NJ367" s="30"/>
      <c r="NK367" s="30"/>
      <c r="NL367" s="30"/>
      <c r="NM367" s="30"/>
      <c r="NN367" s="30"/>
      <c r="NO367" s="30"/>
      <c r="NP367" s="30"/>
      <c r="NQ367" s="30"/>
      <c r="NR367" s="30"/>
    </row>
    <row r="368" spans="1:382" s="3" customFormat="1" ht="20.100000000000001" customHeight="1" x14ac:dyDescent="0.4">
      <c r="A368" s="29">
        <v>2</v>
      </c>
      <c r="B368" s="5">
        <v>283</v>
      </c>
      <c r="C368" s="5" t="s">
        <v>483</v>
      </c>
      <c r="D368" s="5" t="s">
        <v>485</v>
      </c>
      <c r="E368" s="5" t="s">
        <v>12</v>
      </c>
      <c r="F368" s="5" t="s">
        <v>32</v>
      </c>
      <c r="G368" s="5" t="s">
        <v>32</v>
      </c>
      <c r="H368" s="5" t="s">
        <v>32</v>
      </c>
      <c r="I368" s="8"/>
      <c r="J368" s="8"/>
      <c r="K368" s="8" t="str">
        <f>IF(OR(J368="",E368=""),"",J368+IFERROR(VLOOKUP(E368,リードタイム!$A$2:$C$9,3,FALSE),0))</f>
        <v/>
      </c>
      <c r="L368" s="5" t="s">
        <v>530</v>
      </c>
      <c r="M368" s="8"/>
      <c r="N368" s="8" t="str">
        <f>IF(OR(M368="",E368=""),"",M368+IFERROR(VLOOKUP(E368,リードタイム!$A$2:$D$9,4,FALSE),0))</f>
        <v/>
      </c>
      <c r="O368" s="5" t="s">
        <v>530</v>
      </c>
      <c r="P368" s="5" t="s">
        <v>530</v>
      </c>
      <c r="Q368" s="5" t="s">
        <v>486</v>
      </c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  <c r="FS368" s="30"/>
      <c r="FT368" s="30"/>
      <c r="FU368" s="30"/>
      <c r="FV368" s="30"/>
      <c r="FW368" s="30"/>
      <c r="FX368" s="30"/>
      <c r="FY368" s="30"/>
      <c r="FZ368" s="30"/>
      <c r="GA368" s="30"/>
      <c r="GB368" s="30"/>
      <c r="GC368" s="30"/>
      <c r="GD368" s="30"/>
      <c r="GE368" s="30"/>
      <c r="GF368" s="30"/>
      <c r="GG368" s="30"/>
      <c r="GH368" s="30"/>
      <c r="GI368" s="30"/>
      <c r="GJ368" s="30"/>
      <c r="GK368" s="30"/>
      <c r="GL368" s="30"/>
      <c r="GM368" s="30"/>
      <c r="GN368" s="30"/>
      <c r="GO368" s="30"/>
      <c r="GP368" s="30"/>
      <c r="GQ368" s="30"/>
      <c r="GR368" s="30"/>
      <c r="GS368" s="30"/>
      <c r="GT368" s="30"/>
      <c r="GU368" s="30"/>
      <c r="GV368" s="30"/>
      <c r="GW368" s="30"/>
      <c r="GX368" s="30"/>
      <c r="GY368" s="30"/>
      <c r="GZ368" s="30"/>
      <c r="HA368" s="30"/>
      <c r="HB368" s="30"/>
      <c r="HC368" s="30"/>
      <c r="HD368" s="30"/>
      <c r="HE368" s="30"/>
      <c r="HF368" s="30"/>
      <c r="HG368" s="30"/>
      <c r="HH368" s="30"/>
      <c r="HI368" s="30"/>
      <c r="HJ368" s="30"/>
      <c r="HK368" s="30"/>
      <c r="HL368" s="30"/>
      <c r="HM368" s="30"/>
      <c r="HN368" s="30"/>
      <c r="HO368" s="30"/>
      <c r="HP368" s="30"/>
      <c r="HQ368" s="30"/>
      <c r="HR368" s="30"/>
      <c r="HS368" s="30"/>
      <c r="HT368" s="30"/>
      <c r="HU368" s="30"/>
      <c r="HV368" s="30"/>
      <c r="HW368" s="30"/>
      <c r="HX368" s="30"/>
      <c r="HY368" s="30"/>
      <c r="HZ368" s="30"/>
      <c r="IA368" s="30"/>
      <c r="IB368" s="30"/>
      <c r="IC368" s="30"/>
      <c r="ID368" s="30"/>
      <c r="IE368" s="30"/>
      <c r="IF368" s="30"/>
      <c r="IG368" s="30"/>
      <c r="IH368" s="30"/>
      <c r="II368" s="30"/>
      <c r="IJ368" s="30"/>
      <c r="IK368" s="30"/>
      <c r="IL368" s="30"/>
      <c r="IM368" s="30"/>
      <c r="IN368" s="30"/>
      <c r="IO368" s="30"/>
      <c r="IP368" s="30"/>
      <c r="IQ368" s="30"/>
      <c r="IR368" s="30"/>
      <c r="IS368" s="30"/>
      <c r="IT368" s="30"/>
      <c r="IU368" s="30"/>
      <c r="IV368" s="30"/>
      <c r="IW368" s="30"/>
      <c r="IX368" s="30"/>
      <c r="IY368" s="30"/>
      <c r="IZ368" s="30"/>
      <c r="JA368" s="30"/>
      <c r="JB368" s="30"/>
      <c r="JC368" s="30"/>
      <c r="JD368" s="30"/>
      <c r="JE368" s="30"/>
      <c r="JF368" s="30"/>
      <c r="JG368" s="30"/>
      <c r="JH368" s="30"/>
      <c r="JI368" s="30"/>
      <c r="JJ368" s="30"/>
      <c r="JK368" s="30"/>
      <c r="JL368" s="30"/>
      <c r="JM368" s="30"/>
      <c r="JN368" s="30"/>
      <c r="JO368" s="30"/>
      <c r="JP368" s="30"/>
      <c r="JQ368" s="30"/>
      <c r="JR368" s="30"/>
      <c r="JS368" s="30"/>
      <c r="JT368" s="30"/>
      <c r="JU368" s="30"/>
      <c r="JV368" s="30"/>
      <c r="JW368" s="30"/>
      <c r="JX368" s="30"/>
      <c r="JY368" s="30"/>
      <c r="JZ368" s="30"/>
      <c r="KA368" s="30"/>
      <c r="KB368" s="30"/>
      <c r="KC368" s="30"/>
      <c r="KD368" s="30"/>
      <c r="KE368" s="30"/>
      <c r="KF368" s="30"/>
      <c r="KG368" s="30"/>
      <c r="KH368" s="30"/>
      <c r="KI368" s="30"/>
      <c r="KJ368" s="30"/>
      <c r="KK368" s="30"/>
      <c r="KL368" s="30"/>
      <c r="KM368" s="30"/>
      <c r="KN368" s="30"/>
      <c r="KO368" s="30"/>
      <c r="KP368" s="30"/>
      <c r="KQ368" s="30"/>
      <c r="KR368" s="30"/>
      <c r="KS368" s="30"/>
      <c r="KT368" s="30"/>
      <c r="KU368" s="30"/>
      <c r="KV368" s="30"/>
      <c r="KW368" s="30"/>
      <c r="KX368" s="30"/>
      <c r="KY368" s="30"/>
      <c r="KZ368" s="30"/>
      <c r="LA368" s="30"/>
      <c r="LB368" s="30"/>
      <c r="LC368" s="30"/>
      <c r="LD368" s="30"/>
      <c r="LE368" s="30"/>
      <c r="LF368" s="30"/>
      <c r="LG368" s="30"/>
      <c r="LH368" s="30"/>
      <c r="LI368" s="30"/>
      <c r="LJ368" s="30"/>
      <c r="LK368" s="30"/>
      <c r="LL368" s="30"/>
      <c r="LM368" s="30"/>
      <c r="LN368" s="30"/>
      <c r="LO368" s="30"/>
      <c r="LP368" s="30"/>
      <c r="LQ368" s="30"/>
      <c r="LR368" s="30"/>
      <c r="LS368" s="30"/>
      <c r="LT368" s="30"/>
      <c r="LU368" s="30"/>
      <c r="LV368" s="30"/>
      <c r="LW368" s="30"/>
      <c r="LX368" s="30"/>
      <c r="LY368" s="30"/>
      <c r="LZ368" s="30"/>
      <c r="MA368" s="30"/>
      <c r="MB368" s="30"/>
      <c r="MC368" s="30"/>
      <c r="MD368" s="30"/>
      <c r="ME368" s="30"/>
      <c r="MF368" s="30"/>
      <c r="MG368" s="30"/>
      <c r="MH368" s="30"/>
      <c r="MI368" s="30"/>
      <c r="MJ368" s="30"/>
      <c r="MK368" s="30"/>
      <c r="ML368" s="30"/>
      <c r="MM368" s="30"/>
      <c r="MN368" s="30"/>
      <c r="MO368" s="30"/>
      <c r="MP368" s="30"/>
      <c r="MQ368" s="30"/>
      <c r="MR368" s="30"/>
      <c r="MS368" s="30"/>
      <c r="MT368" s="30"/>
      <c r="MU368" s="30"/>
      <c r="MV368" s="30"/>
      <c r="MW368" s="30"/>
      <c r="MX368" s="30"/>
      <c r="MY368" s="30"/>
      <c r="MZ368" s="30"/>
      <c r="NA368" s="30"/>
      <c r="NB368" s="30"/>
      <c r="NC368" s="30"/>
      <c r="ND368" s="30"/>
      <c r="NE368" s="30"/>
      <c r="NF368" s="30"/>
      <c r="NG368" s="30"/>
      <c r="NH368" s="30"/>
      <c r="NI368" s="30"/>
      <c r="NJ368" s="30"/>
      <c r="NK368" s="30"/>
      <c r="NL368" s="30"/>
      <c r="NM368" s="30"/>
      <c r="NN368" s="30"/>
      <c r="NO368" s="30"/>
      <c r="NP368" s="30"/>
      <c r="NQ368" s="30"/>
      <c r="NR368" s="30"/>
    </row>
    <row r="369" spans="1:382" s="3" customFormat="1" ht="20.100000000000001" customHeight="1" x14ac:dyDescent="0.4">
      <c r="A369" s="29">
        <v>3</v>
      </c>
      <c r="B369" s="5">
        <v>643</v>
      </c>
      <c r="C369" s="5" t="s">
        <v>483</v>
      </c>
      <c r="D369" s="5" t="s">
        <v>487</v>
      </c>
      <c r="E369" s="5" t="s">
        <v>18</v>
      </c>
      <c r="F369" s="5" t="s">
        <v>32</v>
      </c>
      <c r="G369" s="5" t="s">
        <v>32</v>
      </c>
      <c r="H369" s="5" t="s">
        <v>32</v>
      </c>
      <c r="I369" s="8"/>
      <c r="J369" s="8"/>
      <c r="K369" s="8" t="str">
        <f>IF(OR(J369="",E369=""),"",J369+IFERROR(VLOOKUP(E369,リードタイム!$A$2:$C$9,3,FALSE),0))</f>
        <v/>
      </c>
      <c r="L369" s="5" t="s">
        <v>530</v>
      </c>
      <c r="M369" s="8"/>
      <c r="N369" s="8" t="str">
        <f>IF(OR(M369="",E369=""),"",M369+IFERROR(VLOOKUP(E369,リードタイム!$A$2:$D$9,4,FALSE),0))</f>
        <v/>
      </c>
      <c r="O369" s="5" t="s">
        <v>530</v>
      </c>
      <c r="P369" s="5" t="s">
        <v>530</v>
      </c>
      <c r="Q369" s="5" t="s">
        <v>32</v>
      </c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  <c r="FS369" s="30"/>
      <c r="FT369" s="30"/>
      <c r="FU369" s="30"/>
      <c r="FV369" s="30"/>
      <c r="FW369" s="30"/>
      <c r="FX369" s="30"/>
      <c r="FY369" s="30"/>
      <c r="FZ369" s="30"/>
      <c r="GA369" s="30"/>
      <c r="GB369" s="30"/>
      <c r="GC369" s="30"/>
      <c r="GD369" s="30"/>
      <c r="GE369" s="30"/>
      <c r="GF369" s="30"/>
      <c r="GG369" s="30"/>
      <c r="GH369" s="30"/>
      <c r="GI369" s="30"/>
      <c r="GJ369" s="30"/>
      <c r="GK369" s="30"/>
      <c r="GL369" s="30"/>
      <c r="GM369" s="30"/>
      <c r="GN369" s="30"/>
      <c r="GO369" s="30"/>
      <c r="GP369" s="30"/>
      <c r="GQ369" s="30"/>
      <c r="GR369" s="30"/>
      <c r="GS369" s="30"/>
      <c r="GT369" s="30"/>
      <c r="GU369" s="30"/>
      <c r="GV369" s="30"/>
      <c r="GW369" s="30"/>
      <c r="GX369" s="30"/>
      <c r="GY369" s="30"/>
      <c r="GZ369" s="30"/>
      <c r="HA369" s="30"/>
      <c r="HB369" s="30"/>
      <c r="HC369" s="30"/>
      <c r="HD369" s="30"/>
      <c r="HE369" s="30"/>
      <c r="HF369" s="30"/>
      <c r="HG369" s="30"/>
      <c r="HH369" s="30"/>
      <c r="HI369" s="30"/>
      <c r="HJ369" s="30"/>
      <c r="HK369" s="30"/>
      <c r="HL369" s="30"/>
      <c r="HM369" s="30"/>
      <c r="HN369" s="30"/>
      <c r="HO369" s="30"/>
      <c r="HP369" s="30"/>
      <c r="HQ369" s="30"/>
      <c r="HR369" s="30"/>
      <c r="HS369" s="30"/>
      <c r="HT369" s="30"/>
      <c r="HU369" s="30"/>
      <c r="HV369" s="30"/>
      <c r="HW369" s="30"/>
      <c r="HX369" s="30"/>
      <c r="HY369" s="30"/>
      <c r="HZ369" s="30"/>
      <c r="IA369" s="30"/>
      <c r="IB369" s="30"/>
      <c r="IC369" s="30"/>
      <c r="ID369" s="30"/>
      <c r="IE369" s="30"/>
      <c r="IF369" s="30"/>
      <c r="IG369" s="30"/>
      <c r="IH369" s="30"/>
      <c r="II369" s="30"/>
      <c r="IJ369" s="30"/>
      <c r="IK369" s="30"/>
      <c r="IL369" s="30"/>
      <c r="IM369" s="30"/>
      <c r="IN369" s="30"/>
      <c r="IO369" s="30"/>
      <c r="IP369" s="30"/>
      <c r="IQ369" s="30"/>
      <c r="IR369" s="30"/>
      <c r="IS369" s="30"/>
      <c r="IT369" s="30"/>
      <c r="IU369" s="30"/>
      <c r="IV369" s="30"/>
      <c r="IW369" s="30"/>
      <c r="IX369" s="30"/>
      <c r="IY369" s="30"/>
      <c r="IZ369" s="30"/>
      <c r="JA369" s="30"/>
      <c r="JB369" s="30"/>
      <c r="JC369" s="30"/>
      <c r="JD369" s="30"/>
      <c r="JE369" s="30"/>
      <c r="JF369" s="30"/>
      <c r="JG369" s="30"/>
      <c r="JH369" s="30"/>
      <c r="JI369" s="30"/>
      <c r="JJ369" s="30"/>
      <c r="JK369" s="30"/>
      <c r="JL369" s="30"/>
      <c r="JM369" s="30"/>
      <c r="JN369" s="30"/>
      <c r="JO369" s="30"/>
      <c r="JP369" s="30"/>
      <c r="JQ369" s="30"/>
      <c r="JR369" s="30"/>
      <c r="JS369" s="30"/>
      <c r="JT369" s="30"/>
      <c r="JU369" s="30"/>
      <c r="JV369" s="30"/>
      <c r="JW369" s="30"/>
      <c r="JX369" s="30"/>
      <c r="JY369" s="30"/>
      <c r="JZ369" s="30"/>
      <c r="KA369" s="30"/>
      <c r="KB369" s="30"/>
      <c r="KC369" s="30"/>
      <c r="KD369" s="30"/>
      <c r="KE369" s="30"/>
      <c r="KF369" s="30"/>
      <c r="KG369" s="30"/>
      <c r="KH369" s="30"/>
      <c r="KI369" s="30"/>
      <c r="KJ369" s="30"/>
      <c r="KK369" s="30"/>
      <c r="KL369" s="30"/>
      <c r="KM369" s="30"/>
      <c r="KN369" s="30"/>
      <c r="KO369" s="30"/>
      <c r="KP369" s="30"/>
      <c r="KQ369" s="30"/>
      <c r="KR369" s="30"/>
      <c r="KS369" s="30"/>
      <c r="KT369" s="30"/>
      <c r="KU369" s="30"/>
      <c r="KV369" s="30"/>
      <c r="KW369" s="30"/>
      <c r="KX369" s="30"/>
      <c r="KY369" s="30"/>
      <c r="KZ369" s="30"/>
      <c r="LA369" s="30"/>
      <c r="LB369" s="30"/>
      <c r="LC369" s="30"/>
      <c r="LD369" s="30"/>
      <c r="LE369" s="30"/>
      <c r="LF369" s="30"/>
      <c r="LG369" s="30"/>
      <c r="LH369" s="30"/>
      <c r="LI369" s="30"/>
      <c r="LJ369" s="30"/>
      <c r="LK369" s="30"/>
      <c r="LL369" s="30"/>
      <c r="LM369" s="30"/>
      <c r="LN369" s="30"/>
      <c r="LO369" s="30"/>
      <c r="LP369" s="30"/>
      <c r="LQ369" s="30"/>
      <c r="LR369" s="30"/>
      <c r="LS369" s="30"/>
      <c r="LT369" s="30"/>
      <c r="LU369" s="30"/>
      <c r="LV369" s="30"/>
      <c r="LW369" s="30"/>
      <c r="LX369" s="30"/>
      <c r="LY369" s="30"/>
      <c r="LZ369" s="30"/>
      <c r="MA369" s="30"/>
      <c r="MB369" s="30"/>
      <c r="MC369" s="30"/>
      <c r="MD369" s="30"/>
      <c r="ME369" s="30"/>
      <c r="MF369" s="30"/>
      <c r="MG369" s="30"/>
      <c r="MH369" s="30"/>
      <c r="MI369" s="30"/>
      <c r="MJ369" s="30"/>
      <c r="MK369" s="30"/>
      <c r="ML369" s="30"/>
      <c r="MM369" s="30"/>
      <c r="MN369" s="30"/>
      <c r="MO369" s="30"/>
      <c r="MP369" s="30"/>
      <c r="MQ369" s="30"/>
      <c r="MR369" s="30"/>
      <c r="MS369" s="30"/>
      <c r="MT369" s="30"/>
      <c r="MU369" s="30"/>
      <c r="MV369" s="30"/>
      <c r="MW369" s="30"/>
      <c r="MX369" s="30"/>
      <c r="MY369" s="30"/>
      <c r="MZ369" s="30"/>
      <c r="NA369" s="30"/>
      <c r="NB369" s="30"/>
      <c r="NC369" s="30"/>
      <c r="ND369" s="30"/>
      <c r="NE369" s="30"/>
      <c r="NF369" s="30"/>
      <c r="NG369" s="30"/>
      <c r="NH369" s="30"/>
      <c r="NI369" s="30"/>
      <c r="NJ369" s="30"/>
      <c r="NK369" s="30"/>
      <c r="NL369" s="30"/>
      <c r="NM369" s="30"/>
      <c r="NN369" s="30"/>
      <c r="NO369" s="30"/>
      <c r="NP369" s="30"/>
      <c r="NQ369" s="30"/>
      <c r="NR369" s="30"/>
    </row>
    <row r="370" spans="1:382" s="3" customFormat="1" ht="20.100000000000001" customHeight="1" x14ac:dyDescent="0.4">
      <c r="A370" s="29">
        <v>4</v>
      </c>
      <c r="B370" s="5">
        <v>1927</v>
      </c>
      <c r="C370" s="5" t="s">
        <v>483</v>
      </c>
      <c r="D370" s="5" t="s">
        <v>488</v>
      </c>
      <c r="E370" s="5" t="s">
        <v>4</v>
      </c>
      <c r="F370" s="5" t="s">
        <v>32</v>
      </c>
      <c r="G370" s="5" t="s">
        <v>32</v>
      </c>
      <c r="H370" s="5" t="s">
        <v>32</v>
      </c>
      <c r="I370" s="8"/>
      <c r="J370" s="8"/>
      <c r="K370" s="8" t="str">
        <f>IF(OR(J370="",E370=""),"",J370+IFERROR(VLOOKUP(E370,リードタイム!$A$2:$C$9,3,FALSE),0))</f>
        <v/>
      </c>
      <c r="L370" s="5" t="s">
        <v>530</v>
      </c>
      <c r="M370" s="8"/>
      <c r="N370" s="8" t="str">
        <f>IF(OR(M370="",E370=""),"",M370+IFERROR(VLOOKUP(E370,リードタイム!$A$2:$D$9,4,FALSE),0))</f>
        <v/>
      </c>
      <c r="O370" s="5" t="s">
        <v>530</v>
      </c>
      <c r="P370" s="5" t="s">
        <v>530</v>
      </c>
      <c r="Q370" s="5" t="s">
        <v>489</v>
      </c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  <c r="FS370" s="30"/>
      <c r="FT370" s="30"/>
      <c r="FU370" s="30"/>
      <c r="FV370" s="30"/>
      <c r="FW370" s="30"/>
      <c r="FX370" s="30"/>
      <c r="FY370" s="30"/>
      <c r="FZ370" s="30"/>
      <c r="GA370" s="30"/>
      <c r="GB370" s="30"/>
      <c r="GC370" s="30"/>
      <c r="GD370" s="30"/>
      <c r="GE370" s="30"/>
      <c r="GF370" s="30"/>
      <c r="GG370" s="30"/>
      <c r="GH370" s="30"/>
      <c r="GI370" s="30"/>
      <c r="GJ370" s="30"/>
      <c r="GK370" s="30"/>
      <c r="GL370" s="30"/>
      <c r="GM370" s="30"/>
      <c r="GN370" s="30"/>
      <c r="GO370" s="30"/>
      <c r="GP370" s="30"/>
      <c r="GQ370" s="30"/>
      <c r="GR370" s="30"/>
      <c r="GS370" s="30"/>
      <c r="GT370" s="30"/>
      <c r="GU370" s="30"/>
      <c r="GV370" s="30"/>
      <c r="GW370" s="30"/>
      <c r="GX370" s="30"/>
      <c r="GY370" s="30"/>
      <c r="GZ370" s="30"/>
      <c r="HA370" s="30"/>
      <c r="HB370" s="30"/>
      <c r="HC370" s="30"/>
      <c r="HD370" s="30"/>
      <c r="HE370" s="30"/>
      <c r="HF370" s="30"/>
      <c r="HG370" s="30"/>
      <c r="HH370" s="30"/>
      <c r="HI370" s="30"/>
      <c r="HJ370" s="30"/>
      <c r="HK370" s="30"/>
      <c r="HL370" s="30"/>
      <c r="HM370" s="30"/>
      <c r="HN370" s="30"/>
      <c r="HO370" s="30"/>
      <c r="HP370" s="30"/>
      <c r="HQ370" s="30"/>
      <c r="HR370" s="30"/>
      <c r="HS370" s="30"/>
      <c r="HT370" s="30"/>
      <c r="HU370" s="30"/>
      <c r="HV370" s="30"/>
      <c r="HW370" s="30"/>
      <c r="HX370" s="30"/>
      <c r="HY370" s="30"/>
      <c r="HZ370" s="30"/>
      <c r="IA370" s="30"/>
      <c r="IB370" s="30"/>
      <c r="IC370" s="30"/>
      <c r="ID370" s="30"/>
      <c r="IE370" s="30"/>
      <c r="IF370" s="30"/>
      <c r="IG370" s="30"/>
      <c r="IH370" s="30"/>
      <c r="II370" s="30"/>
      <c r="IJ370" s="30"/>
      <c r="IK370" s="30"/>
      <c r="IL370" s="30"/>
      <c r="IM370" s="30"/>
      <c r="IN370" s="30"/>
      <c r="IO370" s="30"/>
      <c r="IP370" s="30"/>
      <c r="IQ370" s="30"/>
      <c r="IR370" s="30"/>
      <c r="IS370" s="30"/>
      <c r="IT370" s="30"/>
      <c r="IU370" s="30"/>
      <c r="IV370" s="30"/>
      <c r="IW370" s="30"/>
      <c r="IX370" s="30"/>
      <c r="IY370" s="30"/>
      <c r="IZ370" s="30"/>
      <c r="JA370" s="30"/>
      <c r="JB370" s="30"/>
      <c r="JC370" s="30"/>
      <c r="JD370" s="30"/>
      <c r="JE370" s="30"/>
      <c r="JF370" s="30"/>
      <c r="JG370" s="30"/>
      <c r="JH370" s="30"/>
      <c r="JI370" s="30"/>
      <c r="JJ370" s="30"/>
      <c r="JK370" s="30"/>
      <c r="JL370" s="30"/>
      <c r="JM370" s="30"/>
      <c r="JN370" s="30"/>
      <c r="JO370" s="30"/>
      <c r="JP370" s="30"/>
      <c r="JQ370" s="30"/>
      <c r="JR370" s="30"/>
      <c r="JS370" s="30"/>
      <c r="JT370" s="30"/>
      <c r="JU370" s="30"/>
      <c r="JV370" s="30"/>
      <c r="JW370" s="30"/>
      <c r="JX370" s="30"/>
      <c r="JY370" s="30"/>
      <c r="JZ370" s="30"/>
      <c r="KA370" s="30"/>
      <c r="KB370" s="30"/>
      <c r="KC370" s="30"/>
      <c r="KD370" s="30"/>
      <c r="KE370" s="30"/>
      <c r="KF370" s="30"/>
      <c r="KG370" s="30"/>
      <c r="KH370" s="30"/>
      <c r="KI370" s="30"/>
      <c r="KJ370" s="30"/>
      <c r="KK370" s="30"/>
      <c r="KL370" s="30"/>
      <c r="KM370" s="30"/>
      <c r="KN370" s="30"/>
      <c r="KO370" s="30"/>
      <c r="KP370" s="30"/>
      <c r="KQ370" s="30"/>
      <c r="KR370" s="30"/>
      <c r="KS370" s="30"/>
      <c r="KT370" s="30"/>
      <c r="KU370" s="30"/>
      <c r="KV370" s="30"/>
      <c r="KW370" s="30"/>
      <c r="KX370" s="30"/>
      <c r="KY370" s="30"/>
      <c r="KZ370" s="30"/>
      <c r="LA370" s="30"/>
      <c r="LB370" s="30"/>
      <c r="LC370" s="30"/>
      <c r="LD370" s="30"/>
      <c r="LE370" s="30"/>
      <c r="LF370" s="30"/>
      <c r="LG370" s="30"/>
      <c r="LH370" s="30"/>
      <c r="LI370" s="30"/>
      <c r="LJ370" s="30"/>
      <c r="LK370" s="30"/>
      <c r="LL370" s="30"/>
      <c r="LM370" s="30"/>
      <c r="LN370" s="30"/>
      <c r="LO370" s="30"/>
      <c r="LP370" s="30"/>
      <c r="LQ370" s="30"/>
      <c r="LR370" s="30"/>
      <c r="LS370" s="30"/>
      <c r="LT370" s="30"/>
      <c r="LU370" s="30"/>
      <c r="LV370" s="30"/>
      <c r="LW370" s="30"/>
      <c r="LX370" s="30"/>
      <c r="LY370" s="30"/>
      <c r="LZ370" s="30"/>
      <c r="MA370" s="30"/>
      <c r="MB370" s="30"/>
      <c r="MC370" s="30"/>
      <c r="MD370" s="30"/>
      <c r="ME370" s="30"/>
      <c r="MF370" s="30"/>
      <c r="MG370" s="30"/>
      <c r="MH370" s="30"/>
      <c r="MI370" s="30"/>
      <c r="MJ370" s="30"/>
      <c r="MK370" s="30"/>
      <c r="ML370" s="30"/>
      <c r="MM370" s="30"/>
      <c r="MN370" s="30"/>
      <c r="MO370" s="30"/>
      <c r="MP370" s="30"/>
      <c r="MQ370" s="30"/>
      <c r="MR370" s="30"/>
      <c r="MS370" s="30"/>
      <c r="MT370" s="30"/>
      <c r="MU370" s="30"/>
      <c r="MV370" s="30"/>
      <c r="MW370" s="30"/>
      <c r="MX370" s="30"/>
      <c r="MY370" s="30"/>
      <c r="MZ370" s="30"/>
      <c r="NA370" s="30"/>
      <c r="NB370" s="30"/>
      <c r="NC370" s="30"/>
      <c r="ND370" s="30"/>
      <c r="NE370" s="30"/>
      <c r="NF370" s="30"/>
      <c r="NG370" s="30"/>
      <c r="NH370" s="30"/>
      <c r="NI370" s="30"/>
      <c r="NJ370" s="30"/>
      <c r="NK370" s="30"/>
      <c r="NL370" s="30"/>
      <c r="NM370" s="30"/>
      <c r="NN370" s="30"/>
      <c r="NO370" s="30"/>
      <c r="NP370" s="30"/>
      <c r="NQ370" s="30"/>
      <c r="NR370" s="30"/>
    </row>
    <row r="371" spans="1:382" s="3" customFormat="1" ht="20.100000000000001" customHeight="1" x14ac:dyDescent="0.4">
      <c r="A371" s="29">
        <v>5</v>
      </c>
      <c r="B371" s="5">
        <v>1574</v>
      </c>
      <c r="C371" s="5" t="s">
        <v>483</v>
      </c>
      <c r="D371" s="5" t="s">
        <v>490</v>
      </c>
      <c r="E371" s="5" t="s">
        <v>18</v>
      </c>
      <c r="F371" s="5" t="s">
        <v>32</v>
      </c>
      <c r="G371" s="5" t="s">
        <v>32</v>
      </c>
      <c r="H371" s="5" t="s">
        <v>32</v>
      </c>
      <c r="I371" s="8"/>
      <c r="J371" s="8"/>
      <c r="K371" s="8" t="str">
        <f>IF(OR(J371="",E371=""),"",J371+IFERROR(VLOOKUP(E371,リードタイム!$A$2:$C$9,3,FALSE),0))</f>
        <v/>
      </c>
      <c r="L371" s="5" t="s">
        <v>531</v>
      </c>
      <c r="M371" s="8"/>
      <c r="N371" s="8" t="str">
        <f>IF(OR(M371="",E371=""),"",M371+IFERROR(VLOOKUP(E371,リードタイム!$A$2:$D$9,4,FALSE),0))</f>
        <v/>
      </c>
      <c r="O371" s="5" t="s">
        <v>531</v>
      </c>
      <c r="P371" s="5" t="s">
        <v>533</v>
      </c>
      <c r="Q371" s="5" t="s">
        <v>491</v>
      </c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  <c r="FS371" s="30"/>
      <c r="FT371" s="30"/>
      <c r="FU371" s="30"/>
      <c r="FV371" s="30"/>
      <c r="FW371" s="30"/>
      <c r="FX371" s="30"/>
      <c r="FY371" s="30"/>
      <c r="FZ371" s="30"/>
      <c r="GA371" s="30"/>
      <c r="GB371" s="30"/>
      <c r="GC371" s="30"/>
      <c r="GD371" s="30"/>
      <c r="GE371" s="30"/>
      <c r="GF371" s="30"/>
      <c r="GG371" s="30"/>
      <c r="GH371" s="30"/>
      <c r="GI371" s="30"/>
      <c r="GJ371" s="30"/>
      <c r="GK371" s="30"/>
      <c r="GL371" s="30"/>
      <c r="GM371" s="30"/>
      <c r="GN371" s="30"/>
      <c r="GO371" s="30"/>
      <c r="GP371" s="30"/>
      <c r="GQ371" s="30"/>
      <c r="GR371" s="30"/>
      <c r="GS371" s="30"/>
      <c r="GT371" s="30"/>
      <c r="GU371" s="30"/>
      <c r="GV371" s="30"/>
      <c r="GW371" s="30"/>
      <c r="GX371" s="30"/>
      <c r="GY371" s="30"/>
      <c r="GZ371" s="30"/>
      <c r="HA371" s="30"/>
      <c r="HB371" s="30"/>
      <c r="HC371" s="30"/>
      <c r="HD371" s="30"/>
      <c r="HE371" s="30"/>
      <c r="HF371" s="30"/>
      <c r="HG371" s="30"/>
      <c r="HH371" s="30"/>
      <c r="HI371" s="30"/>
      <c r="HJ371" s="30"/>
      <c r="HK371" s="30"/>
      <c r="HL371" s="30"/>
      <c r="HM371" s="30"/>
      <c r="HN371" s="30"/>
      <c r="HO371" s="30"/>
      <c r="HP371" s="30"/>
      <c r="HQ371" s="30"/>
      <c r="HR371" s="30"/>
      <c r="HS371" s="30"/>
      <c r="HT371" s="30"/>
      <c r="HU371" s="30"/>
      <c r="HV371" s="30"/>
      <c r="HW371" s="30"/>
      <c r="HX371" s="30"/>
      <c r="HY371" s="30"/>
      <c r="HZ371" s="30"/>
      <c r="IA371" s="30"/>
      <c r="IB371" s="30"/>
      <c r="IC371" s="30"/>
      <c r="ID371" s="30"/>
      <c r="IE371" s="30"/>
      <c r="IF371" s="30"/>
      <c r="IG371" s="30"/>
      <c r="IH371" s="30"/>
      <c r="II371" s="30"/>
      <c r="IJ371" s="30"/>
      <c r="IK371" s="30"/>
      <c r="IL371" s="30"/>
      <c r="IM371" s="30"/>
      <c r="IN371" s="30"/>
      <c r="IO371" s="30"/>
      <c r="IP371" s="30"/>
      <c r="IQ371" s="30"/>
      <c r="IR371" s="30"/>
      <c r="IS371" s="30"/>
      <c r="IT371" s="30"/>
      <c r="IU371" s="30"/>
      <c r="IV371" s="30"/>
      <c r="IW371" s="30"/>
      <c r="IX371" s="30"/>
      <c r="IY371" s="30"/>
      <c r="IZ371" s="30"/>
      <c r="JA371" s="30"/>
      <c r="JB371" s="30"/>
      <c r="JC371" s="30"/>
      <c r="JD371" s="30"/>
      <c r="JE371" s="30"/>
      <c r="JF371" s="30"/>
      <c r="JG371" s="30"/>
      <c r="JH371" s="30"/>
      <c r="JI371" s="30"/>
      <c r="JJ371" s="30"/>
      <c r="JK371" s="30"/>
      <c r="JL371" s="30"/>
      <c r="JM371" s="30"/>
      <c r="JN371" s="30"/>
      <c r="JO371" s="30"/>
      <c r="JP371" s="30"/>
      <c r="JQ371" s="30"/>
      <c r="JR371" s="30"/>
      <c r="JS371" s="30"/>
      <c r="JT371" s="30"/>
      <c r="JU371" s="30"/>
      <c r="JV371" s="30"/>
      <c r="JW371" s="30"/>
      <c r="JX371" s="30"/>
      <c r="JY371" s="30"/>
      <c r="JZ371" s="30"/>
      <c r="KA371" s="30"/>
      <c r="KB371" s="30"/>
      <c r="KC371" s="30"/>
      <c r="KD371" s="30"/>
      <c r="KE371" s="30"/>
      <c r="KF371" s="30"/>
      <c r="KG371" s="30"/>
      <c r="KH371" s="30"/>
      <c r="KI371" s="30"/>
      <c r="KJ371" s="30"/>
      <c r="KK371" s="30"/>
      <c r="KL371" s="30"/>
      <c r="KM371" s="30"/>
      <c r="KN371" s="30"/>
      <c r="KO371" s="30"/>
      <c r="KP371" s="30"/>
      <c r="KQ371" s="30"/>
      <c r="KR371" s="30"/>
      <c r="KS371" s="30"/>
      <c r="KT371" s="30"/>
      <c r="KU371" s="30"/>
      <c r="KV371" s="30"/>
      <c r="KW371" s="30"/>
      <c r="KX371" s="30"/>
      <c r="KY371" s="30"/>
      <c r="KZ371" s="30"/>
      <c r="LA371" s="30"/>
      <c r="LB371" s="30"/>
      <c r="LC371" s="30"/>
      <c r="LD371" s="30"/>
      <c r="LE371" s="30"/>
      <c r="LF371" s="30"/>
      <c r="LG371" s="30"/>
      <c r="LH371" s="30"/>
      <c r="LI371" s="30"/>
      <c r="LJ371" s="30"/>
      <c r="LK371" s="30"/>
      <c r="LL371" s="30"/>
      <c r="LM371" s="30"/>
      <c r="LN371" s="30"/>
      <c r="LO371" s="30"/>
      <c r="LP371" s="30"/>
      <c r="LQ371" s="30"/>
      <c r="LR371" s="30"/>
      <c r="LS371" s="30"/>
      <c r="LT371" s="30"/>
      <c r="LU371" s="30"/>
      <c r="LV371" s="30"/>
      <c r="LW371" s="30"/>
      <c r="LX371" s="30"/>
      <c r="LY371" s="30"/>
      <c r="LZ371" s="30"/>
      <c r="MA371" s="30"/>
      <c r="MB371" s="30"/>
      <c r="MC371" s="30"/>
      <c r="MD371" s="30"/>
      <c r="ME371" s="30"/>
      <c r="MF371" s="30"/>
      <c r="MG371" s="30"/>
      <c r="MH371" s="30"/>
      <c r="MI371" s="30"/>
      <c r="MJ371" s="30"/>
      <c r="MK371" s="30"/>
      <c r="ML371" s="30"/>
      <c r="MM371" s="30"/>
      <c r="MN371" s="30"/>
      <c r="MO371" s="30"/>
      <c r="MP371" s="30"/>
      <c r="MQ371" s="30"/>
      <c r="MR371" s="30"/>
      <c r="MS371" s="30"/>
      <c r="MT371" s="30"/>
      <c r="MU371" s="30"/>
      <c r="MV371" s="30"/>
      <c r="MW371" s="30"/>
      <c r="MX371" s="30"/>
      <c r="MY371" s="30"/>
      <c r="MZ371" s="30"/>
      <c r="NA371" s="30"/>
      <c r="NB371" s="30"/>
      <c r="NC371" s="30"/>
      <c r="ND371" s="30"/>
      <c r="NE371" s="30"/>
      <c r="NF371" s="30"/>
      <c r="NG371" s="30"/>
      <c r="NH371" s="30"/>
      <c r="NI371" s="30"/>
      <c r="NJ371" s="30"/>
      <c r="NK371" s="30"/>
      <c r="NL371" s="30"/>
      <c r="NM371" s="30"/>
      <c r="NN371" s="30"/>
      <c r="NO371" s="30"/>
      <c r="NP371" s="30"/>
      <c r="NQ371" s="30"/>
      <c r="NR371" s="30"/>
    </row>
    <row r="372" spans="1:382" s="3" customFormat="1" ht="20.100000000000001" customHeight="1" x14ac:dyDescent="0.4">
      <c r="A372" s="29">
        <v>6</v>
      </c>
      <c r="B372" s="5">
        <v>643</v>
      </c>
      <c r="C372" s="5" t="s">
        <v>483</v>
      </c>
      <c r="D372" s="5" t="s">
        <v>487</v>
      </c>
      <c r="E372" s="5" t="s">
        <v>18</v>
      </c>
      <c r="F372" s="5" t="s">
        <v>32</v>
      </c>
      <c r="G372" s="5" t="s">
        <v>32</v>
      </c>
      <c r="H372" s="5" t="s">
        <v>32</v>
      </c>
      <c r="I372" s="8"/>
      <c r="J372" s="8"/>
      <c r="K372" s="8" t="str">
        <f>IF(OR(J372="",E372=""),"",J372+IFERROR(VLOOKUP(E372,リードタイム!$A$2:$C$9,3,FALSE),0))</f>
        <v/>
      </c>
      <c r="L372" s="5" t="s">
        <v>530</v>
      </c>
      <c r="M372" s="8"/>
      <c r="N372" s="8" t="str">
        <f>IF(OR(M372="",E372=""),"",M372+IFERROR(VLOOKUP(E372,リードタイム!$A$2:$D$9,4,FALSE),0))</f>
        <v/>
      </c>
      <c r="O372" s="5" t="s">
        <v>530</v>
      </c>
      <c r="P372" s="5" t="s">
        <v>530</v>
      </c>
      <c r="Q372" s="5" t="s">
        <v>492</v>
      </c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  <c r="FS372" s="30"/>
      <c r="FT372" s="30"/>
      <c r="FU372" s="30"/>
      <c r="FV372" s="30"/>
      <c r="FW372" s="30"/>
      <c r="FX372" s="30"/>
      <c r="FY372" s="30"/>
      <c r="FZ372" s="30"/>
      <c r="GA372" s="30"/>
      <c r="GB372" s="30"/>
      <c r="GC372" s="30"/>
      <c r="GD372" s="30"/>
      <c r="GE372" s="30"/>
      <c r="GF372" s="30"/>
      <c r="GG372" s="30"/>
      <c r="GH372" s="30"/>
      <c r="GI372" s="30"/>
      <c r="GJ372" s="30"/>
      <c r="GK372" s="30"/>
      <c r="GL372" s="30"/>
      <c r="GM372" s="30"/>
      <c r="GN372" s="30"/>
      <c r="GO372" s="30"/>
      <c r="GP372" s="30"/>
      <c r="GQ372" s="30"/>
      <c r="GR372" s="30"/>
      <c r="GS372" s="30"/>
      <c r="GT372" s="30"/>
      <c r="GU372" s="30"/>
      <c r="GV372" s="30"/>
      <c r="GW372" s="30"/>
      <c r="GX372" s="30"/>
      <c r="GY372" s="30"/>
      <c r="GZ372" s="30"/>
      <c r="HA372" s="30"/>
      <c r="HB372" s="30"/>
      <c r="HC372" s="30"/>
      <c r="HD372" s="30"/>
      <c r="HE372" s="30"/>
      <c r="HF372" s="30"/>
      <c r="HG372" s="30"/>
      <c r="HH372" s="30"/>
      <c r="HI372" s="30"/>
      <c r="HJ372" s="30"/>
      <c r="HK372" s="30"/>
      <c r="HL372" s="30"/>
      <c r="HM372" s="30"/>
      <c r="HN372" s="30"/>
      <c r="HO372" s="30"/>
      <c r="HP372" s="30"/>
      <c r="HQ372" s="30"/>
      <c r="HR372" s="30"/>
      <c r="HS372" s="30"/>
      <c r="HT372" s="30"/>
      <c r="HU372" s="30"/>
      <c r="HV372" s="30"/>
      <c r="HW372" s="30"/>
      <c r="HX372" s="30"/>
      <c r="HY372" s="30"/>
      <c r="HZ372" s="30"/>
      <c r="IA372" s="30"/>
      <c r="IB372" s="30"/>
      <c r="IC372" s="30"/>
      <c r="ID372" s="30"/>
      <c r="IE372" s="30"/>
      <c r="IF372" s="30"/>
      <c r="IG372" s="30"/>
      <c r="IH372" s="30"/>
      <c r="II372" s="30"/>
      <c r="IJ372" s="30"/>
      <c r="IK372" s="30"/>
      <c r="IL372" s="30"/>
      <c r="IM372" s="30"/>
      <c r="IN372" s="30"/>
      <c r="IO372" s="30"/>
      <c r="IP372" s="30"/>
      <c r="IQ372" s="30"/>
      <c r="IR372" s="30"/>
      <c r="IS372" s="30"/>
      <c r="IT372" s="30"/>
      <c r="IU372" s="30"/>
      <c r="IV372" s="30"/>
      <c r="IW372" s="30"/>
      <c r="IX372" s="30"/>
      <c r="IY372" s="30"/>
      <c r="IZ372" s="30"/>
      <c r="JA372" s="30"/>
      <c r="JB372" s="30"/>
      <c r="JC372" s="30"/>
      <c r="JD372" s="30"/>
      <c r="JE372" s="30"/>
      <c r="JF372" s="30"/>
      <c r="JG372" s="30"/>
      <c r="JH372" s="30"/>
      <c r="JI372" s="30"/>
      <c r="JJ372" s="30"/>
      <c r="JK372" s="30"/>
      <c r="JL372" s="30"/>
      <c r="JM372" s="30"/>
      <c r="JN372" s="30"/>
      <c r="JO372" s="30"/>
      <c r="JP372" s="30"/>
      <c r="JQ372" s="30"/>
      <c r="JR372" s="30"/>
      <c r="JS372" s="30"/>
      <c r="JT372" s="30"/>
      <c r="JU372" s="30"/>
      <c r="JV372" s="30"/>
      <c r="JW372" s="30"/>
      <c r="JX372" s="30"/>
      <c r="JY372" s="30"/>
      <c r="JZ372" s="30"/>
      <c r="KA372" s="30"/>
      <c r="KB372" s="30"/>
      <c r="KC372" s="30"/>
      <c r="KD372" s="30"/>
      <c r="KE372" s="30"/>
      <c r="KF372" s="30"/>
      <c r="KG372" s="30"/>
      <c r="KH372" s="30"/>
      <c r="KI372" s="30"/>
      <c r="KJ372" s="30"/>
      <c r="KK372" s="30"/>
      <c r="KL372" s="30"/>
      <c r="KM372" s="30"/>
      <c r="KN372" s="30"/>
      <c r="KO372" s="30"/>
      <c r="KP372" s="30"/>
      <c r="KQ372" s="30"/>
      <c r="KR372" s="30"/>
      <c r="KS372" s="30"/>
      <c r="KT372" s="30"/>
      <c r="KU372" s="30"/>
      <c r="KV372" s="30"/>
      <c r="KW372" s="30"/>
      <c r="KX372" s="30"/>
      <c r="KY372" s="30"/>
      <c r="KZ372" s="30"/>
      <c r="LA372" s="30"/>
      <c r="LB372" s="30"/>
      <c r="LC372" s="30"/>
      <c r="LD372" s="30"/>
      <c r="LE372" s="30"/>
      <c r="LF372" s="30"/>
      <c r="LG372" s="30"/>
      <c r="LH372" s="30"/>
      <c r="LI372" s="30"/>
      <c r="LJ372" s="30"/>
      <c r="LK372" s="30"/>
      <c r="LL372" s="30"/>
      <c r="LM372" s="30"/>
      <c r="LN372" s="30"/>
      <c r="LO372" s="30"/>
      <c r="LP372" s="30"/>
      <c r="LQ372" s="30"/>
      <c r="LR372" s="30"/>
      <c r="LS372" s="30"/>
      <c r="LT372" s="30"/>
      <c r="LU372" s="30"/>
      <c r="LV372" s="30"/>
      <c r="LW372" s="30"/>
      <c r="LX372" s="30"/>
      <c r="LY372" s="30"/>
      <c r="LZ372" s="30"/>
      <c r="MA372" s="30"/>
      <c r="MB372" s="30"/>
      <c r="MC372" s="30"/>
      <c r="MD372" s="30"/>
      <c r="ME372" s="30"/>
      <c r="MF372" s="30"/>
      <c r="MG372" s="30"/>
      <c r="MH372" s="30"/>
      <c r="MI372" s="30"/>
      <c r="MJ372" s="30"/>
      <c r="MK372" s="30"/>
      <c r="ML372" s="30"/>
      <c r="MM372" s="30"/>
      <c r="MN372" s="30"/>
      <c r="MO372" s="30"/>
      <c r="MP372" s="30"/>
      <c r="MQ372" s="30"/>
      <c r="MR372" s="30"/>
      <c r="MS372" s="30"/>
      <c r="MT372" s="30"/>
      <c r="MU372" s="30"/>
      <c r="MV372" s="30"/>
      <c r="MW372" s="30"/>
      <c r="MX372" s="30"/>
      <c r="MY372" s="30"/>
      <c r="MZ372" s="30"/>
      <c r="NA372" s="30"/>
      <c r="NB372" s="30"/>
      <c r="NC372" s="30"/>
      <c r="ND372" s="30"/>
      <c r="NE372" s="30"/>
      <c r="NF372" s="30"/>
      <c r="NG372" s="30"/>
      <c r="NH372" s="30"/>
      <c r="NI372" s="30"/>
      <c r="NJ372" s="30"/>
      <c r="NK372" s="30"/>
      <c r="NL372" s="30"/>
      <c r="NM372" s="30"/>
      <c r="NN372" s="30"/>
      <c r="NO372" s="30"/>
      <c r="NP372" s="30"/>
      <c r="NQ372" s="30"/>
      <c r="NR372" s="30"/>
    </row>
    <row r="373" spans="1:382" s="3" customFormat="1" ht="20.100000000000001" customHeight="1" x14ac:dyDescent="0.4">
      <c r="A373" s="29">
        <v>7</v>
      </c>
      <c r="B373" s="5">
        <v>26</v>
      </c>
      <c r="C373" s="5" t="s">
        <v>483</v>
      </c>
      <c r="D373" s="5" t="s">
        <v>493</v>
      </c>
      <c r="E373" s="5" t="s">
        <v>18</v>
      </c>
      <c r="F373" s="5" t="s">
        <v>32</v>
      </c>
      <c r="G373" s="5" t="s">
        <v>32</v>
      </c>
      <c r="H373" s="5" t="s">
        <v>32</v>
      </c>
      <c r="I373" s="8"/>
      <c r="J373" s="8"/>
      <c r="K373" s="8" t="str">
        <f>IF(OR(J373="",E373=""),"",J373+IFERROR(VLOOKUP(E373,リードタイム!$A$2:$C$9,3,FALSE),0))</f>
        <v/>
      </c>
      <c r="L373" s="5" t="s">
        <v>531</v>
      </c>
      <c r="M373" s="8"/>
      <c r="N373" s="8" t="str">
        <f>IF(OR(M373="",E373=""),"",M373+IFERROR(VLOOKUP(E373,リードタイム!$A$2:$D$9,4,FALSE),0))</f>
        <v/>
      </c>
      <c r="O373" s="5" t="s">
        <v>531</v>
      </c>
      <c r="P373" s="5" t="s">
        <v>533</v>
      </c>
      <c r="Q373" s="5" t="s">
        <v>32</v>
      </c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  <c r="FS373" s="30"/>
      <c r="FT373" s="30"/>
      <c r="FU373" s="30"/>
      <c r="FV373" s="30"/>
      <c r="FW373" s="30"/>
      <c r="FX373" s="30"/>
      <c r="FY373" s="30"/>
      <c r="FZ373" s="30"/>
      <c r="GA373" s="30"/>
      <c r="GB373" s="30"/>
      <c r="GC373" s="30"/>
      <c r="GD373" s="30"/>
      <c r="GE373" s="30"/>
      <c r="GF373" s="30"/>
      <c r="GG373" s="30"/>
      <c r="GH373" s="30"/>
      <c r="GI373" s="30"/>
      <c r="GJ373" s="30"/>
      <c r="GK373" s="30"/>
      <c r="GL373" s="30"/>
      <c r="GM373" s="30"/>
      <c r="GN373" s="30"/>
      <c r="GO373" s="30"/>
      <c r="GP373" s="30"/>
      <c r="GQ373" s="30"/>
      <c r="GR373" s="30"/>
      <c r="GS373" s="30"/>
      <c r="GT373" s="30"/>
      <c r="GU373" s="30"/>
      <c r="GV373" s="30"/>
      <c r="GW373" s="30"/>
      <c r="GX373" s="30"/>
      <c r="GY373" s="30"/>
      <c r="GZ373" s="30"/>
      <c r="HA373" s="30"/>
      <c r="HB373" s="30"/>
      <c r="HC373" s="30"/>
      <c r="HD373" s="30"/>
      <c r="HE373" s="30"/>
      <c r="HF373" s="30"/>
      <c r="HG373" s="30"/>
      <c r="HH373" s="30"/>
      <c r="HI373" s="30"/>
      <c r="HJ373" s="30"/>
      <c r="HK373" s="30"/>
      <c r="HL373" s="30"/>
      <c r="HM373" s="30"/>
      <c r="HN373" s="30"/>
      <c r="HO373" s="30"/>
      <c r="HP373" s="30"/>
      <c r="HQ373" s="30"/>
      <c r="HR373" s="30"/>
      <c r="HS373" s="30"/>
      <c r="HT373" s="30"/>
      <c r="HU373" s="30"/>
      <c r="HV373" s="30"/>
      <c r="HW373" s="30"/>
      <c r="HX373" s="30"/>
      <c r="HY373" s="30"/>
      <c r="HZ373" s="30"/>
      <c r="IA373" s="30"/>
      <c r="IB373" s="30"/>
      <c r="IC373" s="30"/>
      <c r="ID373" s="30"/>
      <c r="IE373" s="30"/>
      <c r="IF373" s="30"/>
      <c r="IG373" s="30"/>
      <c r="IH373" s="30"/>
      <c r="II373" s="30"/>
      <c r="IJ373" s="30"/>
      <c r="IK373" s="30"/>
      <c r="IL373" s="30"/>
      <c r="IM373" s="30"/>
      <c r="IN373" s="30"/>
      <c r="IO373" s="30"/>
      <c r="IP373" s="30"/>
      <c r="IQ373" s="30"/>
      <c r="IR373" s="30"/>
      <c r="IS373" s="30"/>
      <c r="IT373" s="30"/>
      <c r="IU373" s="30"/>
      <c r="IV373" s="30"/>
      <c r="IW373" s="30"/>
      <c r="IX373" s="30"/>
      <c r="IY373" s="30"/>
      <c r="IZ373" s="30"/>
      <c r="JA373" s="30"/>
      <c r="JB373" s="30"/>
      <c r="JC373" s="30"/>
      <c r="JD373" s="30"/>
      <c r="JE373" s="30"/>
      <c r="JF373" s="30"/>
      <c r="JG373" s="30"/>
      <c r="JH373" s="30"/>
      <c r="JI373" s="30"/>
      <c r="JJ373" s="30"/>
      <c r="JK373" s="30"/>
      <c r="JL373" s="30"/>
      <c r="JM373" s="30"/>
      <c r="JN373" s="30"/>
      <c r="JO373" s="30"/>
      <c r="JP373" s="30"/>
      <c r="JQ373" s="30"/>
      <c r="JR373" s="30"/>
      <c r="JS373" s="30"/>
      <c r="JT373" s="30"/>
      <c r="JU373" s="30"/>
      <c r="JV373" s="30"/>
      <c r="JW373" s="30"/>
      <c r="JX373" s="30"/>
      <c r="JY373" s="30"/>
      <c r="JZ373" s="30"/>
      <c r="KA373" s="30"/>
      <c r="KB373" s="30"/>
      <c r="KC373" s="30"/>
      <c r="KD373" s="30"/>
      <c r="KE373" s="30"/>
      <c r="KF373" s="30"/>
      <c r="KG373" s="30"/>
      <c r="KH373" s="30"/>
      <c r="KI373" s="30"/>
      <c r="KJ373" s="30"/>
      <c r="KK373" s="30"/>
      <c r="KL373" s="30"/>
      <c r="KM373" s="30"/>
      <c r="KN373" s="30"/>
      <c r="KO373" s="30"/>
      <c r="KP373" s="30"/>
      <c r="KQ373" s="30"/>
      <c r="KR373" s="30"/>
      <c r="KS373" s="30"/>
      <c r="KT373" s="30"/>
      <c r="KU373" s="30"/>
      <c r="KV373" s="30"/>
      <c r="KW373" s="30"/>
      <c r="KX373" s="30"/>
      <c r="KY373" s="30"/>
      <c r="KZ373" s="30"/>
      <c r="LA373" s="30"/>
      <c r="LB373" s="30"/>
      <c r="LC373" s="30"/>
      <c r="LD373" s="30"/>
      <c r="LE373" s="30"/>
      <c r="LF373" s="30"/>
      <c r="LG373" s="30"/>
      <c r="LH373" s="30"/>
      <c r="LI373" s="30"/>
      <c r="LJ373" s="30"/>
      <c r="LK373" s="30"/>
      <c r="LL373" s="30"/>
      <c r="LM373" s="30"/>
      <c r="LN373" s="30"/>
      <c r="LO373" s="30"/>
      <c r="LP373" s="30"/>
      <c r="LQ373" s="30"/>
      <c r="LR373" s="30"/>
      <c r="LS373" s="30"/>
      <c r="LT373" s="30"/>
      <c r="LU373" s="30"/>
      <c r="LV373" s="30"/>
      <c r="LW373" s="30"/>
      <c r="LX373" s="30"/>
      <c r="LY373" s="30"/>
      <c r="LZ373" s="30"/>
      <c r="MA373" s="30"/>
      <c r="MB373" s="30"/>
      <c r="MC373" s="30"/>
      <c r="MD373" s="30"/>
      <c r="ME373" s="30"/>
      <c r="MF373" s="30"/>
      <c r="MG373" s="30"/>
      <c r="MH373" s="30"/>
      <c r="MI373" s="30"/>
      <c r="MJ373" s="30"/>
      <c r="MK373" s="30"/>
      <c r="ML373" s="30"/>
      <c r="MM373" s="30"/>
      <c r="MN373" s="30"/>
      <c r="MO373" s="30"/>
      <c r="MP373" s="30"/>
      <c r="MQ373" s="30"/>
      <c r="MR373" s="30"/>
      <c r="MS373" s="30"/>
      <c r="MT373" s="30"/>
      <c r="MU373" s="30"/>
      <c r="MV373" s="30"/>
      <c r="MW373" s="30"/>
      <c r="MX373" s="30"/>
      <c r="MY373" s="30"/>
      <c r="MZ373" s="30"/>
      <c r="NA373" s="30"/>
      <c r="NB373" s="30"/>
      <c r="NC373" s="30"/>
      <c r="ND373" s="30"/>
      <c r="NE373" s="30"/>
      <c r="NF373" s="30"/>
      <c r="NG373" s="30"/>
      <c r="NH373" s="30"/>
      <c r="NI373" s="30"/>
      <c r="NJ373" s="30"/>
      <c r="NK373" s="30"/>
      <c r="NL373" s="30"/>
      <c r="NM373" s="30"/>
      <c r="NN373" s="30"/>
      <c r="NO373" s="30"/>
      <c r="NP373" s="30"/>
      <c r="NQ373" s="30"/>
      <c r="NR373" s="30"/>
    </row>
    <row r="374" spans="1:382" s="3" customFormat="1" ht="20.100000000000001" customHeight="1" x14ac:dyDescent="0.4">
      <c r="A374" s="29">
        <v>1</v>
      </c>
      <c r="B374" s="5">
        <v>1940</v>
      </c>
      <c r="C374" s="5" t="s">
        <v>494</v>
      </c>
      <c r="D374" s="5" t="s">
        <v>273</v>
      </c>
      <c r="E374" s="5" t="s">
        <v>18</v>
      </c>
      <c r="F374" s="5" t="s">
        <v>32</v>
      </c>
      <c r="G374" s="5" t="s">
        <v>32</v>
      </c>
      <c r="H374" s="5" t="s">
        <v>32</v>
      </c>
      <c r="I374" s="8"/>
      <c r="J374" s="8"/>
      <c r="K374" s="8" t="str">
        <f>IF(OR(J374="",E374=""),"",J374+IFERROR(VLOOKUP(E374,リードタイム!$A$2:$C$9,3,FALSE),0))</f>
        <v/>
      </c>
      <c r="L374" s="5" t="s">
        <v>530</v>
      </c>
      <c r="M374" s="8"/>
      <c r="N374" s="8" t="str">
        <f>IF(OR(M374="",E374=""),"",M374+IFERROR(VLOOKUP(E374,リードタイム!$A$2:$D$9,4,FALSE),0))</f>
        <v/>
      </c>
      <c r="O374" s="5" t="s">
        <v>530</v>
      </c>
      <c r="P374" s="5" t="s">
        <v>530</v>
      </c>
      <c r="Q374" s="5" t="s">
        <v>32</v>
      </c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  <c r="FS374" s="30"/>
      <c r="FT374" s="30"/>
      <c r="FU374" s="30"/>
      <c r="FV374" s="30"/>
      <c r="FW374" s="30"/>
      <c r="FX374" s="30"/>
      <c r="FY374" s="30"/>
      <c r="FZ374" s="30"/>
      <c r="GA374" s="30"/>
      <c r="GB374" s="30"/>
      <c r="GC374" s="30"/>
      <c r="GD374" s="30"/>
      <c r="GE374" s="30"/>
      <c r="GF374" s="30"/>
      <c r="GG374" s="30"/>
      <c r="GH374" s="30"/>
      <c r="GI374" s="30"/>
      <c r="GJ374" s="30"/>
      <c r="GK374" s="30"/>
      <c r="GL374" s="30"/>
      <c r="GM374" s="30"/>
      <c r="GN374" s="30"/>
      <c r="GO374" s="30"/>
      <c r="GP374" s="30"/>
      <c r="GQ374" s="30"/>
      <c r="GR374" s="30"/>
      <c r="GS374" s="30"/>
      <c r="GT374" s="30"/>
      <c r="GU374" s="30"/>
      <c r="GV374" s="30"/>
      <c r="GW374" s="30"/>
      <c r="GX374" s="30"/>
      <c r="GY374" s="30"/>
      <c r="GZ374" s="30"/>
      <c r="HA374" s="30"/>
      <c r="HB374" s="30"/>
      <c r="HC374" s="30"/>
      <c r="HD374" s="30"/>
      <c r="HE374" s="30"/>
      <c r="HF374" s="30"/>
      <c r="HG374" s="30"/>
      <c r="HH374" s="30"/>
      <c r="HI374" s="30"/>
      <c r="HJ374" s="30"/>
      <c r="HK374" s="30"/>
      <c r="HL374" s="30"/>
      <c r="HM374" s="30"/>
      <c r="HN374" s="30"/>
      <c r="HO374" s="30"/>
      <c r="HP374" s="30"/>
      <c r="HQ374" s="30"/>
      <c r="HR374" s="30"/>
      <c r="HS374" s="30"/>
      <c r="HT374" s="30"/>
      <c r="HU374" s="30"/>
      <c r="HV374" s="30"/>
      <c r="HW374" s="30"/>
      <c r="HX374" s="30"/>
      <c r="HY374" s="30"/>
      <c r="HZ374" s="30"/>
      <c r="IA374" s="30"/>
      <c r="IB374" s="30"/>
      <c r="IC374" s="30"/>
      <c r="ID374" s="30"/>
      <c r="IE374" s="30"/>
      <c r="IF374" s="30"/>
      <c r="IG374" s="30"/>
      <c r="IH374" s="30"/>
      <c r="II374" s="30"/>
      <c r="IJ374" s="30"/>
      <c r="IK374" s="30"/>
      <c r="IL374" s="30"/>
      <c r="IM374" s="30"/>
      <c r="IN374" s="30"/>
      <c r="IO374" s="30"/>
      <c r="IP374" s="30"/>
      <c r="IQ374" s="30"/>
      <c r="IR374" s="30"/>
      <c r="IS374" s="30"/>
      <c r="IT374" s="30"/>
      <c r="IU374" s="30"/>
      <c r="IV374" s="30"/>
      <c r="IW374" s="30"/>
      <c r="IX374" s="30"/>
      <c r="IY374" s="30"/>
      <c r="IZ374" s="30"/>
      <c r="JA374" s="30"/>
      <c r="JB374" s="30"/>
      <c r="JC374" s="30"/>
      <c r="JD374" s="30"/>
      <c r="JE374" s="30"/>
      <c r="JF374" s="30"/>
      <c r="JG374" s="30"/>
      <c r="JH374" s="30"/>
      <c r="JI374" s="30"/>
      <c r="JJ374" s="30"/>
      <c r="JK374" s="30"/>
      <c r="JL374" s="30"/>
      <c r="JM374" s="30"/>
      <c r="JN374" s="30"/>
      <c r="JO374" s="30"/>
      <c r="JP374" s="30"/>
      <c r="JQ374" s="30"/>
      <c r="JR374" s="30"/>
      <c r="JS374" s="30"/>
      <c r="JT374" s="30"/>
      <c r="JU374" s="30"/>
      <c r="JV374" s="30"/>
      <c r="JW374" s="30"/>
      <c r="JX374" s="30"/>
      <c r="JY374" s="30"/>
      <c r="JZ374" s="30"/>
      <c r="KA374" s="30"/>
      <c r="KB374" s="30"/>
      <c r="KC374" s="30"/>
      <c r="KD374" s="30"/>
      <c r="KE374" s="30"/>
      <c r="KF374" s="30"/>
      <c r="KG374" s="30"/>
      <c r="KH374" s="30"/>
      <c r="KI374" s="30"/>
      <c r="KJ374" s="30"/>
      <c r="KK374" s="30"/>
      <c r="KL374" s="30"/>
      <c r="KM374" s="30"/>
      <c r="KN374" s="30"/>
      <c r="KO374" s="30"/>
      <c r="KP374" s="30"/>
      <c r="KQ374" s="30"/>
      <c r="KR374" s="30"/>
      <c r="KS374" s="30"/>
      <c r="KT374" s="30"/>
      <c r="KU374" s="30"/>
      <c r="KV374" s="30"/>
      <c r="KW374" s="30"/>
      <c r="KX374" s="30"/>
      <c r="KY374" s="30"/>
      <c r="KZ374" s="30"/>
      <c r="LA374" s="30"/>
      <c r="LB374" s="30"/>
      <c r="LC374" s="30"/>
      <c r="LD374" s="30"/>
      <c r="LE374" s="30"/>
      <c r="LF374" s="30"/>
      <c r="LG374" s="30"/>
      <c r="LH374" s="30"/>
      <c r="LI374" s="30"/>
      <c r="LJ374" s="30"/>
      <c r="LK374" s="30"/>
      <c r="LL374" s="30"/>
      <c r="LM374" s="30"/>
      <c r="LN374" s="30"/>
      <c r="LO374" s="30"/>
      <c r="LP374" s="30"/>
      <c r="LQ374" s="30"/>
      <c r="LR374" s="30"/>
      <c r="LS374" s="30"/>
      <c r="LT374" s="30"/>
      <c r="LU374" s="30"/>
      <c r="LV374" s="30"/>
      <c r="LW374" s="30"/>
      <c r="LX374" s="30"/>
      <c r="LY374" s="30"/>
      <c r="LZ374" s="30"/>
      <c r="MA374" s="30"/>
      <c r="MB374" s="30"/>
      <c r="MC374" s="30"/>
      <c r="MD374" s="30"/>
      <c r="ME374" s="30"/>
      <c r="MF374" s="30"/>
      <c r="MG374" s="30"/>
      <c r="MH374" s="30"/>
      <c r="MI374" s="30"/>
      <c r="MJ374" s="30"/>
      <c r="MK374" s="30"/>
      <c r="ML374" s="30"/>
      <c r="MM374" s="30"/>
      <c r="MN374" s="30"/>
      <c r="MO374" s="30"/>
      <c r="MP374" s="30"/>
      <c r="MQ374" s="30"/>
      <c r="MR374" s="30"/>
      <c r="MS374" s="30"/>
      <c r="MT374" s="30"/>
      <c r="MU374" s="30"/>
      <c r="MV374" s="30"/>
      <c r="MW374" s="30"/>
      <c r="MX374" s="30"/>
      <c r="MY374" s="30"/>
      <c r="MZ374" s="30"/>
      <c r="NA374" s="30"/>
      <c r="NB374" s="30"/>
      <c r="NC374" s="30"/>
      <c r="ND374" s="30"/>
      <c r="NE374" s="30"/>
      <c r="NF374" s="30"/>
      <c r="NG374" s="30"/>
      <c r="NH374" s="30"/>
      <c r="NI374" s="30"/>
      <c r="NJ374" s="30"/>
      <c r="NK374" s="30"/>
      <c r="NL374" s="30"/>
      <c r="NM374" s="30"/>
      <c r="NN374" s="30"/>
      <c r="NO374" s="30"/>
      <c r="NP374" s="30"/>
      <c r="NQ374" s="30"/>
      <c r="NR374" s="30"/>
    </row>
    <row r="375" spans="1:382" s="3" customFormat="1" ht="20.100000000000001" customHeight="1" x14ac:dyDescent="0.4">
      <c r="A375" s="29">
        <v>1</v>
      </c>
      <c r="B375" s="5">
        <v>1940</v>
      </c>
      <c r="C375" s="5" t="s">
        <v>495</v>
      </c>
      <c r="D375" s="5" t="s">
        <v>496</v>
      </c>
      <c r="E375" s="5" t="s">
        <v>18</v>
      </c>
      <c r="F375" s="5" t="s">
        <v>32</v>
      </c>
      <c r="G375" s="5" t="s">
        <v>32</v>
      </c>
      <c r="H375" s="5" t="s">
        <v>32</v>
      </c>
      <c r="I375" s="8"/>
      <c r="J375" s="8"/>
      <c r="K375" s="8" t="str">
        <f>IF(OR(J375="",E375=""),"",J375+IFERROR(VLOOKUP(E375,リードタイム!$A$2:$C$9,3,FALSE),0))</f>
        <v/>
      </c>
      <c r="L375" s="5" t="s">
        <v>530</v>
      </c>
      <c r="M375" s="8"/>
      <c r="N375" s="8" t="str">
        <f>IF(OR(M375="",E375=""),"",M375+IFERROR(VLOOKUP(E375,リードタイム!$A$2:$D$9,4,FALSE),0))</f>
        <v/>
      </c>
      <c r="O375" s="5" t="s">
        <v>530</v>
      </c>
      <c r="P375" s="5" t="s">
        <v>530</v>
      </c>
      <c r="Q375" s="5" t="s">
        <v>32</v>
      </c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  <c r="FS375" s="30"/>
      <c r="FT375" s="30"/>
      <c r="FU375" s="30"/>
      <c r="FV375" s="30"/>
      <c r="FW375" s="30"/>
      <c r="FX375" s="30"/>
      <c r="FY375" s="30"/>
      <c r="FZ375" s="30"/>
      <c r="GA375" s="30"/>
      <c r="GB375" s="30"/>
      <c r="GC375" s="30"/>
      <c r="GD375" s="30"/>
      <c r="GE375" s="30"/>
      <c r="GF375" s="30"/>
      <c r="GG375" s="30"/>
      <c r="GH375" s="30"/>
      <c r="GI375" s="30"/>
      <c r="GJ375" s="30"/>
      <c r="GK375" s="30"/>
      <c r="GL375" s="30"/>
      <c r="GM375" s="30"/>
      <c r="GN375" s="30"/>
      <c r="GO375" s="30"/>
      <c r="GP375" s="30"/>
      <c r="GQ375" s="30"/>
      <c r="GR375" s="30"/>
      <c r="GS375" s="30"/>
      <c r="GT375" s="30"/>
      <c r="GU375" s="30"/>
      <c r="GV375" s="30"/>
      <c r="GW375" s="30"/>
      <c r="GX375" s="30"/>
      <c r="GY375" s="30"/>
      <c r="GZ375" s="30"/>
      <c r="HA375" s="30"/>
      <c r="HB375" s="30"/>
      <c r="HC375" s="30"/>
      <c r="HD375" s="30"/>
      <c r="HE375" s="30"/>
      <c r="HF375" s="30"/>
      <c r="HG375" s="30"/>
      <c r="HH375" s="30"/>
      <c r="HI375" s="30"/>
      <c r="HJ375" s="30"/>
      <c r="HK375" s="30"/>
      <c r="HL375" s="30"/>
      <c r="HM375" s="30"/>
      <c r="HN375" s="30"/>
      <c r="HO375" s="30"/>
      <c r="HP375" s="30"/>
      <c r="HQ375" s="30"/>
      <c r="HR375" s="30"/>
      <c r="HS375" s="30"/>
      <c r="HT375" s="30"/>
      <c r="HU375" s="30"/>
      <c r="HV375" s="30"/>
      <c r="HW375" s="30"/>
      <c r="HX375" s="30"/>
      <c r="HY375" s="30"/>
      <c r="HZ375" s="30"/>
      <c r="IA375" s="30"/>
      <c r="IB375" s="30"/>
      <c r="IC375" s="30"/>
      <c r="ID375" s="30"/>
      <c r="IE375" s="30"/>
      <c r="IF375" s="30"/>
      <c r="IG375" s="30"/>
      <c r="IH375" s="30"/>
      <c r="II375" s="30"/>
      <c r="IJ375" s="30"/>
      <c r="IK375" s="30"/>
      <c r="IL375" s="30"/>
      <c r="IM375" s="30"/>
      <c r="IN375" s="30"/>
      <c r="IO375" s="30"/>
      <c r="IP375" s="30"/>
      <c r="IQ375" s="30"/>
      <c r="IR375" s="30"/>
      <c r="IS375" s="30"/>
      <c r="IT375" s="30"/>
      <c r="IU375" s="30"/>
      <c r="IV375" s="30"/>
      <c r="IW375" s="30"/>
      <c r="IX375" s="30"/>
      <c r="IY375" s="30"/>
      <c r="IZ375" s="30"/>
      <c r="JA375" s="30"/>
      <c r="JB375" s="30"/>
      <c r="JC375" s="30"/>
      <c r="JD375" s="30"/>
      <c r="JE375" s="30"/>
      <c r="JF375" s="30"/>
      <c r="JG375" s="30"/>
      <c r="JH375" s="30"/>
      <c r="JI375" s="30"/>
      <c r="JJ375" s="30"/>
      <c r="JK375" s="30"/>
      <c r="JL375" s="30"/>
      <c r="JM375" s="30"/>
      <c r="JN375" s="30"/>
      <c r="JO375" s="30"/>
      <c r="JP375" s="30"/>
      <c r="JQ375" s="30"/>
      <c r="JR375" s="30"/>
      <c r="JS375" s="30"/>
      <c r="JT375" s="30"/>
      <c r="JU375" s="30"/>
      <c r="JV375" s="30"/>
      <c r="JW375" s="30"/>
      <c r="JX375" s="30"/>
      <c r="JY375" s="30"/>
      <c r="JZ375" s="30"/>
      <c r="KA375" s="30"/>
      <c r="KB375" s="30"/>
      <c r="KC375" s="30"/>
      <c r="KD375" s="30"/>
      <c r="KE375" s="30"/>
      <c r="KF375" s="30"/>
      <c r="KG375" s="30"/>
      <c r="KH375" s="30"/>
      <c r="KI375" s="30"/>
      <c r="KJ375" s="30"/>
      <c r="KK375" s="30"/>
      <c r="KL375" s="30"/>
      <c r="KM375" s="30"/>
      <c r="KN375" s="30"/>
      <c r="KO375" s="30"/>
      <c r="KP375" s="30"/>
      <c r="KQ375" s="30"/>
      <c r="KR375" s="30"/>
      <c r="KS375" s="30"/>
      <c r="KT375" s="30"/>
      <c r="KU375" s="30"/>
      <c r="KV375" s="30"/>
      <c r="KW375" s="30"/>
      <c r="KX375" s="30"/>
      <c r="KY375" s="30"/>
      <c r="KZ375" s="30"/>
      <c r="LA375" s="30"/>
      <c r="LB375" s="30"/>
      <c r="LC375" s="30"/>
      <c r="LD375" s="30"/>
      <c r="LE375" s="30"/>
      <c r="LF375" s="30"/>
      <c r="LG375" s="30"/>
      <c r="LH375" s="30"/>
      <c r="LI375" s="30"/>
      <c r="LJ375" s="30"/>
      <c r="LK375" s="30"/>
      <c r="LL375" s="30"/>
      <c r="LM375" s="30"/>
      <c r="LN375" s="30"/>
      <c r="LO375" s="30"/>
      <c r="LP375" s="30"/>
      <c r="LQ375" s="30"/>
      <c r="LR375" s="30"/>
      <c r="LS375" s="30"/>
      <c r="LT375" s="30"/>
      <c r="LU375" s="30"/>
      <c r="LV375" s="30"/>
      <c r="LW375" s="30"/>
      <c r="LX375" s="30"/>
      <c r="LY375" s="30"/>
      <c r="LZ375" s="30"/>
      <c r="MA375" s="30"/>
      <c r="MB375" s="30"/>
      <c r="MC375" s="30"/>
      <c r="MD375" s="30"/>
      <c r="ME375" s="30"/>
      <c r="MF375" s="30"/>
      <c r="MG375" s="30"/>
      <c r="MH375" s="30"/>
      <c r="MI375" s="30"/>
      <c r="MJ375" s="30"/>
      <c r="MK375" s="30"/>
      <c r="ML375" s="30"/>
      <c r="MM375" s="30"/>
      <c r="MN375" s="30"/>
      <c r="MO375" s="30"/>
      <c r="MP375" s="30"/>
      <c r="MQ375" s="30"/>
      <c r="MR375" s="30"/>
      <c r="MS375" s="30"/>
      <c r="MT375" s="30"/>
      <c r="MU375" s="30"/>
      <c r="MV375" s="30"/>
      <c r="MW375" s="30"/>
      <c r="MX375" s="30"/>
      <c r="MY375" s="30"/>
      <c r="MZ375" s="30"/>
      <c r="NA375" s="30"/>
      <c r="NB375" s="30"/>
      <c r="NC375" s="30"/>
      <c r="ND375" s="30"/>
      <c r="NE375" s="30"/>
      <c r="NF375" s="30"/>
      <c r="NG375" s="30"/>
      <c r="NH375" s="30"/>
      <c r="NI375" s="30"/>
      <c r="NJ375" s="30"/>
      <c r="NK375" s="30"/>
      <c r="NL375" s="30"/>
      <c r="NM375" s="30"/>
      <c r="NN375" s="30"/>
      <c r="NO375" s="30"/>
      <c r="NP375" s="30"/>
      <c r="NQ375" s="30"/>
      <c r="NR375" s="30"/>
    </row>
    <row r="376" spans="1:382" s="3" customFormat="1" ht="20.100000000000001" customHeight="1" x14ac:dyDescent="0.4">
      <c r="A376" s="29">
        <v>2</v>
      </c>
      <c r="B376" s="5">
        <v>1940</v>
      </c>
      <c r="C376" s="5" t="s">
        <v>495</v>
      </c>
      <c r="D376" s="5" t="s">
        <v>496</v>
      </c>
      <c r="E376" s="5" t="s">
        <v>18</v>
      </c>
      <c r="F376" s="5" t="s">
        <v>32</v>
      </c>
      <c r="G376" s="5" t="s">
        <v>32</v>
      </c>
      <c r="H376" s="5" t="s">
        <v>32</v>
      </c>
      <c r="I376" s="8">
        <v>46043.625</v>
      </c>
      <c r="J376" s="8"/>
      <c r="K376" s="8" t="str">
        <f>IF(OR(J376="",E376=""),"",J376+IFERROR(VLOOKUP(E376,リードタイム!$A$2:$C$9,3,FALSE),0))</f>
        <v/>
      </c>
      <c r="L376" s="5" t="s">
        <v>531</v>
      </c>
      <c r="M376" s="8"/>
      <c r="N376" s="8" t="str">
        <f>IF(OR(M376="",E376=""),"",M376+IFERROR(VLOOKUP(E376,リードタイム!$A$2:$D$9,4,FALSE),0))</f>
        <v/>
      </c>
      <c r="O376" s="5" t="s">
        <v>531</v>
      </c>
      <c r="P376" s="5" t="s">
        <v>533</v>
      </c>
      <c r="Q376" s="5" t="s">
        <v>32</v>
      </c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  <c r="FS376" s="30"/>
      <c r="FT376" s="30"/>
      <c r="FU376" s="30"/>
      <c r="FV376" s="30"/>
      <c r="FW376" s="30"/>
      <c r="FX376" s="30"/>
      <c r="FY376" s="30"/>
      <c r="FZ376" s="30"/>
      <c r="GA376" s="30"/>
      <c r="GB376" s="30"/>
      <c r="GC376" s="30"/>
      <c r="GD376" s="30"/>
      <c r="GE376" s="30"/>
      <c r="GF376" s="30"/>
      <c r="GG376" s="30"/>
      <c r="GH376" s="30"/>
      <c r="GI376" s="30"/>
      <c r="GJ376" s="30"/>
      <c r="GK376" s="30"/>
      <c r="GL376" s="30"/>
      <c r="GM376" s="30"/>
      <c r="GN376" s="30"/>
      <c r="GO376" s="30"/>
      <c r="GP376" s="30"/>
      <c r="GQ376" s="30"/>
      <c r="GR376" s="30"/>
      <c r="GS376" s="30"/>
      <c r="GT376" s="30"/>
      <c r="GU376" s="30"/>
      <c r="GV376" s="30"/>
      <c r="GW376" s="30"/>
      <c r="GX376" s="30"/>
      <c r="GY376" s="30"/>
      <c r="GZ376" s="30"/>
      <c r="HA376" s="30"/>
      <c r="HB376" s="30"/>
      <c r="HC376" s="30"/>
      <c r="HD376" s="30"/>
      <c r="HE376" s="30"/>
      <c r="HF376" s="30"/>
      <c r="HG376" s="30"/>
      <c r="HH376" s="30"/>
      <c r="HI376" s="30"/>
      <c r="HJ376" s="30"/>
      <c r="HK376" s="30"/>
      <c r="HL376" s="30"/>
      <c r="HM376" s="30"/>
      <c r="HN376" s="30"/>
      <c r="HO376" s="30"/>
      <c r="HP376" s="30"/>
      <c r="HQ376" s="30"/>
      <c r="HR376" s="30"/>
      <c r="HS376" s="30"/>
      <c r="HT376" s="30"/>
      <c r="HU376" s="30"/>
      <c r="HV376" s="30"/>
      <c r="HW376" s="30"/>
      <c r="HX376" s="30"/>
      <c r="HY376" s="30"/>
      <c r="HZ376" s="30"/>
      <c r="IA376" s="30"/>
      <c r="IB376" s="30"/>
      <c r="IC376" s="30"/>
      <c r="ID376" s="30"/>
      <c r="IE376" s="30"/>
      <c r="IF376" s="30"/>
      <c r="IG376" s="30"/>
      <c r="IH376" s="30"/>
      <c r="II376" s="30"/>
      <c r="IJ376" s="30"/>
      <c r="IK376" s="30"/>
      <c r="IL376" s="30"/>
      <c r="IM376" s="30"/>
      <c r="IN376" s="30"/>
      <c r="IO376" s="30"/>
      <c r="IP376" s="30"/>
      <c r="IQ376" s="30"/>
      <c r="IR376" s="30"/>
      <c r="IS376" s="30"/>
      <c r="IT376" s="30"/>
      <c r="IU376" s="30"/>
      <c r="IV376" s="30"/>
      <c r="IW376" s="30"/>
      <c r="IX376" s="30"/>
      <c r="IY376" s="30"/>
      <c r="IZ376" s="30"/>
      <c r="JA376" s="30"/>
      <c r="JB376" s="30"/>
      <c r="JC376" s="30"/>
      <c r="JD376" s="30"/>
      <c r="JE376" s="30"/>
      <c r="JF376" s="30"/>
      <c r="JG376" s="30"/>
      <c r="JH376" s="30"/>
      <c r="JI376" s="30"/>
      <c r="JJ376" s="30"/>
      <c r="JK376" s="30"/>
      <c r="JL376" s="30"/>
      <c r="JM376" s="30"/>
      <c r="JN376" s="30"/>
      <c r="JO376" s="30"/>
      <c r="JP376" s="30"/>
      <c r="JQ376" s="30"/>
      <c r="JR376" s="30"/>
      <c r="JS376" s="30"/>
      <c r="JT376" s="30"/>
      <c r="JU376" s="30"/>
      <c r="JV376" s="30"/>
      <c r="JW376" s="30"/>
      <c r="JX376" s="30"/>
      <c r="JY376" s="30"/>
      <c r="JZ376" s="30"/>
      <c r="KA376" s="30"/>
      <c r="KB376" s="30"/>
      <c r="KC376" s="30"/>
      <c r="KD376" s="30"/>
      <c r="KE376" s="30"/>
      <c r="KF376" s="30"/>
      <c r="KG376" s="30"/>
      <c r="KH376" s="30"/>
      <c r="KI376" s="30"/>
      <c r="KJ376" s="30"/>
      <c r="KK376" s="30"/>
      <c r="KL376" s="30"/>
      <c r="KM376" s="30"/>
      <c r="KN376" s="30"/>
      <c r="KO376" s="30"/>
      <c r="KP376" s="30"/>
      <c r="KQ376" s="30"/>
      <c r="KR376" s="30"/>
      <c r="KS376" s="30"/>
      <c r="KT376" s="30"/>
      <c r="KU376" s="30"/>
      <c r="KV376" s="30"/>
      <c r="KW376" s="30"/>
      <c r="KX376" s="30"/>
      <c r="KY376" s="30"/>
      <c r="KZ376" s="30"/>
      <c r="LA376" s="30"/>
      <c r="LB376" s="30"/>
      <c r="LC376" s="30"/>
      <c r="LD376" s="30"/>
      <c r="LE376" s="30"/>
      <c r="LF376" s="30"/>
      <c r="LG376" s="30"/>
      <c r="LH376" s="30"/>
      <c r="LI376" s="30"/>
      <c r="LJ376" s="30"/>
      <c r="LK376" s="30"/>
      <c r="LL376" s="30"/>
      <c r="LM376" s="30"/>
      <c r="LN376" s="30"/>
      <c r="LO376" s="30"/>
      <c r="LP376" s="30"/>
      <c r="LQ376" s="30"/>
      <c r="LR376" s="30"/>
      <c r="LS376" s="30"/>
      <c r="LT376" s="30"/>
      <c r="LU376" s="30"/>
      <c r="LV376" s="30"/>
      <c r="LW376" s="30"/>
      <c r="LX376" s="30"/>
      <c r="LY376" s="30"/>
      <c r="LZ376" s="30"/>
      <c r="MA376" s="30"/>
      <c r="MB376" s="30"/>
      <c r="MC376" s="30"/>
      <c r="MD376" s="30"/>
      <c r="ME376" s="30"/>
      <c r="MF376" s="30"/>
      <c r="MG376" s="30"/>
      <c r="MH376" s="30"/>
      <c r="MI376" s="30"/>
      <c r="MJ376" s="30"/>
      <c r="MK376" s="30"/>
      <c r="ML376" s="30"/>
      <c r="MM376" s="30"/>
      <c r="MN376" s="30"/>
      <c r="MO376" s="30"/>
      <c r="MP376" s="30"/>
      <c r="MQ376" s="30"/>
      <c r="MR376" s="30"/>
      <c r="MS376" s="30"/>
      <c r="MT376" s="30"/>
      <c r="MU376" s="30"/>
      <c r="MV376" s="30"/>
      <c r="MW376" s="30"/>
      <c r="MX376" s="30"/>
      <c r="MY376" s="30"/>
      <c r="MZ376" s="30"/>
      <c r="NA376" s="30"/>
      <c r="NB376" s="30"/>
      <c r="NC376" s="30"/>
      <c r="ND376" s="30"/>
      <c r="NE376" s="30"/>
      <c r="NF376" s="30"/>
      <c r="NG376" s="30"/>
      <c r="NH376" s="30"/>
      <c r="NI376" s="30"/>
      <c r="NJ376" s="30"/>
      <c r="NK376" s="30"/>
      <c r="NL376" s="30"/>
      <c r="NM376" s="30"/>
      <c r="NN376" s="30"/>
      <c r="NO376" s="30"/>
      <c r="NP376" s="30"/>
      <c r="NQ376" s="30"/>
      <c r="NR376" s="30"/>
    </row>
    <row r="377" spans="1:382" s="3" customFormat="1" ht="20.100000000000001" customHeight="1" x14ac:dyDescent="0.4">
      <c r="A377" s="29">
        <v>1</v>
      </c>
      <c r="B377" s="5">
        <v>1871</v>
      </c>
      <c r="C377" s="5" t="s">
        <v>497</v>
      </c>
      <c r="D377" s="5" t="s">
        <v>498</v>
      </c>
      <c r="E377" s="5" t="s">
        <v>18</v>
      </c>
      <c r="F377" s="5" t="s">
        <v>32</v>
      </c>
      <c r="G377" s="5" t="s">
        <v>32</v>
      </c>
      <c r="H377" s="5" t="s">
        <v>32</v>
      </c>
      <c r="I377" s="8">
        <v>46012.625</v>
      </c>
      <c r="J377" s="8"/>
      <c r="K377" s="8" t="str">
        <f>IF(OR(J377="",E377=""),"",J377+IFERROR(VLOOKUP(E377,リードタイム!$A$2:$C$9,3,FALSE),0))</f>
        <v/>
      </c>
      <c r="L377" s="5" t="s">
        <v>531</v>
      </c>
      <c r="M377" s="8"/>
      <c r="N377" s="8" t="str">
        <f>IF(OR(M377="",E377=""),"",M377+IFERROR(VLOOKUP(E377,リードタイム!$A$2:$D$9,4,FALSE),0))</f>
        <v/>
      </c>
      <c r="O377" s="5" t="s">
        <v>531</v>
      </c>
      <c r="P377" s="5" t="s">
        <v>533</v>
      </c>
      <c r="Q377" s="5" t="s">
        <v>499</v>
      </c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  <c r="FS377" s="30"/>
      <c r="FT377" s="30"/>
      <c r="FU377" s="30"/>
      <c r="FV377" s="30"/>
      <c r="FW377" s="30"/>
      <c r="FX377" s="30"/>
      <c r="FY377" s="30"/>
      <c r="FZ377" s="30"/>
      <c r="GA377" s="30"/>
      <c r="GB377" s="30"/>
      <c r="GC377" s="30"/>
      <c r="GD377" s="30"/>
      <c r="GE377" s="30"/>
      <c r="GF377" s="30"/>
      <c r="GG377" s="30"/>
      <c r="GH377" s="30"/>
      <c r="GI377" s="30"/>
      <c r="GJ377" s="30"/>
      <c r="GK377" s="30"/>
      <c r="GL377" s="30"/>
      <c r="GM377" s="30"/>
      <c r="GN377" s="30"/>
      <c r="GO377" s="30"/>
      <c r="GP377" s="30"/>
      <c r="GQ377" s="30"/>
      <c r="GR377" s="30"/>
      <c r="GS377" s="30"/>
      <c r="GT377" s="30"/>
      <c r="GU377" s="30"/>
      <c r="GV377" s="30"/>
      <c r="GW377" s="30"/>
      <c r="GX377" s="30"/>
      <c r="GY377" s="30"/>
      <c r="GZ377" s="30"/>
      <c r="HA377" s="30"/>
      <c r="HB377" s="30"/>
      <c r="HC377" s="30"/>
      <c r="HD377" s="30"/>
      <c r="HE377" s="30"/>
      <c r="HF377" s="30"/>
      <c r="HG377" s="30"/>
      <c r="HH377" s="30"/>
      <c r="HI377" s="30"/>
      <c r="HJ377" s="30"/>
      <c r="HK377" s="30"/>
      <c r="HL377" s="30"/>
      <c r="HM377" s="30"/>
      <c r="HN377" s="30"/>
      <c r="HO377" s="30"/>
      <c r="HP377" s="30"/>
      <c r="HQ377" s="30"/>
      <c r="HR377" s="30"/>
      <c r="HS377" s="30"/>
      <c r="HT377" s="30"/>
      <c r="HU377" s="30"/>
      <c r="HV377" s="30"/>
      <c r="HW377" s="30"/>
      <c r="HX377" s="30"/>
      <c r="HY377" s="30"/>
      <c r="HZ377" s="30"/>
      <c r="IA377" s="30"/>
      <c r="IB377" s="30"/>
      <c r="IC377" s="30"/>
      <c r="ID377" s="30"/>
      <c r="IE377" s="30"/>
      <c r="IF377" s="30"/>
      <c r="IG377" s="30"/>
      <c r="IH377" s="30"/>
      <c r="II377" s="30"/>
      <c r="IJ377" s="30"/>
      <c r="IK377" s="30"/>
      <c r="IL377" s="30"/>
      <c r="IM377" s="30"/>
      <c r="IN377" s="30"/>
      <c r="IO377" s="30"/>
      <c r="IP377" s="30"/>
      <c r="IQ377" s="30"/>
      <c r="IR377" s="30"/>
      <c r="IS377" s="30"/>
      <c r="IT377" s="30"/>
      <c r="IU377" s="30"/>
      <c r="IV377" s="30"/>
      <c r="IW377" s="30"/>
      <c r="IX377" s="30"/>
      <c r="IY377" s="30"/>
      <c r="IZ377" s="30"/>
      <c r="JA377" s="30"/>
      <c r="JB377" s="30"/>
      <c r="JC377" s="30"/>
      <c r="JD377" s="30"/>
      <c r="JE377" s="30"/>
      <c r="JF377" s="30"/>
      <c r="JG377" s="30"/>
      <c r="JH377" s="30"/>
      <c r="JI377" s="30"/>
      <c r="JJ377" s="30"/>
      <c r="JK377" s="30"/>
      <c r="JL377" s="30"/>
      <c r="JM377" s="30"/>
      <c r="JN377" s="30"/>
      <c r="JO377" s="30"/>
      <c r="JP377" s="30"/>
      <c r="JQ377" s="30"/>
      <c r="JR377" s="30"/>
      <c r="JS377" s="30"/>
      <c r="JT377" s="30"/>
      <c r="JU377" s="30"/>
      <c r="JV377" s="30"/>
      <c r="JW377" s="30"/>
      <c r="JX377" s="30"/>
      <c r="JY377" s="30"/>
      <c r="JZ377" s="30"/>
      <c r="KA377" s="30"/>
      <c r="KB377" s="30"/>
      <c r="KC377" s="30"/>
      <c r="KD377" s="30"/>
      <c r="KE377" s="30"/>
      <c r="KF377" s="30"/>
      <c r="KG377" s="30"/>
      <c r="KH377" s="30"/>
      <c r="KI377" s="30"/>
      <c r="KJ377" s="30"/>
      <c r="KK377" s="30"/>
      <c r="KL377" s="30"/>
      <c r="KM377" s="30"/>
      <c r="KN377" s="30"/>
      <c r="KO377" s="30"/>
      <c r="KP377" s="30"/>
      <c r="KQ377" s="30"/>
      <c r="KR377" s="30"/>
      <c r="KS377" s="30"/>
      <c r="KT377" s="30"/>
      <c r="KU377" s="30"/>
      <c r="KV377" s="30"/>
      <c r="KW377" s="30"/>
      <c r="KX377" s="30"/>
      <c r="KY377" s="30"/>
      <c r="KZ377" s="30"/>
      <c r="LA377" s="30"/>
      <c r="LB377" s="30"/>
      <c r="LC377" s="30"/>
      <c r="LD377" s="30"/>
      <c r="LE377" s="30"/>
      <c r="LF377" s="30"/>
      <c r="LG377" s="30"/>
      <c r="LH377" s="30"/>
      <c r="LI377" s="30"/>
      <c r="LJ377" s="30"/>
      <c r="LK377" s="30"/>
      <c r="LL377" s="30"/>
      <c r="LM377" s="30"/>
      <c r="LN377" s="30"/>
      <c r="LO377" s="30"/>
      <c r="LP377" s="30"/>
      <c r="LQ377" s="30"/>
      <c r="LR377" s="30"/>
      <c r="LS377" s="30"/>
      <c r="LT377" s="30"/>
      <c r="LU377" s="30"/>
      <c r="LV377" s="30"/>
      <c r="LW377" s="30"/>
      <c r="LX377" s="30"/>
      <c r="LY377" s="30"/>
      <c r="LZ377" s="30"/>
      <c r="MA377" s="30"/>
      <c r="MB377" s="30"/>
      <c r="MC377" s="30"/>
      <c r="MD377" s="30"/>
      <c r="ME377" s="30"/>
      <c r="MF377" s="30"/>
      <c r="MG377" s="30"/>
      <c r="MH377" s="30"/>
      <c r="MI377" s="30"/>
      <c r="MJ377" s="30"/>
      <c r="MK377" s="30"/>
      <c r="ML377" s="30"/>
      <c r="MM377" s="30"/>
      <c r="MN377" s="30"/>
      <c r="MO377" s="30"/>
      <c r="MP377" s="30"/>
      <c r="MQ377" s="30"/>
      <c r="MR377" s="30"/>
      <c r="MS377" s="30"/>
      <c r="MT377" s="30"/>
      <c r="MU377" s="30"/>
      <c r="MV377" s="30"/>
      <c r="MW377" s="30"/>
      <c r="MX377" s="30"/>
      <c r="MY377" s="30"/>
      <c r="MZ377" s="30"/>
      <c r="NA377" s="30"/>
      <c r="NB377" s="30"/>
      <c r="NC377" s="30"/>
      <c r="ND377" s="30"/>
      <c r="NE377" s="30"/>
      <c r="NF377" s="30"/>
      <c r="NG377" s="30"/>
      <c r="NH377" s="30"/>
      <c r="NI377" s="30"/>
      <c r="NJ377" s="30"/>
      <c r="NK377" s="30"/>
      <c r="NL377" s="30"/>
      <c r="NM377" s="30"/>
      <c r="NN377" s="30"/>
      <c r="NO377" s="30"/>
      <c r="NP377" s="30"/>
      <c r="NQ377" s="30"/>
      <c r="NR377" s="30"/>
    </row>
    <row r="378" spans="1:382" s="3" customFormat="1" ht="20.100000000000001" customHeight="1" x14ac:dyDescent="0.4">
      <c r="A378" s="29">
        <v>1</v>
      </c>
      <c r="B378" s="5">
        <v>1942</v>
      </c>
      <c r="C378" s="5" t="s">
        <v>500</v>
      </c>
      <c r="D378" s="5" t="s">
        <v>501</v>
      </c>
      <c r="E378" s="5" t="s">
        <v>18</v>
      </c>
      <c r="F378" s="5" t="s">
        <v>32</v>
      </c>
      <c r="G378" s="5" t="s">
        <v>32</v>
      </c>
      <c r="H378" s="5" t="s">
        <v>32</v>
      </c>
      <c r="I378" s="8"/>
      <c r="J378" s="8"/>
      <c r="K378" s="8" t="str">
        <f>IF(OR(J378="",E378=""),"",J378+IFERROR(VLOOKUP(E378,リードタイム!$A$2:$C$9,3,FALSE),0))</f>
        <v/>
      </c>
      <c r="L378" s="5" t="s">
        <v>531</v>
      </c>
      <c r="M378" s="8"/>
      <c r="N378" s="8" t="str">
        <f>IF(OR(M378="",E378=""),"",M378+IFERROR(VLOOKUP(E378,リードタイム!$A$2:$D$9,4,FALSE),0))</f>
        <v/>
      </c>
      <c r="O378" s="5" t="s">
        <v>531</v>
      </c>
      <c r="P378" s="5" t="s">
        <v>533</v>
      </c>
      <c r="Q378" s="5" t="s">
        <v>502</v>
      </c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  <c r="FS378" s="30"/>
      <c r="FT378" s="30"/>
      <c r="FU378" s="30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30"/>
      <c r="GT378" s="30"/>
      <c r="GU378" s="30"/>
      <c r="GV378" s="30"/>
      <c r="GW378" s="30"/>
      <c r="GX378" s="30"/>
      <c r="GY378" s="30"/>
      <c r="GZ378" s="30"/>
      <c r="HA378" s="30"/>
      <c r="HB378" s="30"/>
      <c r="HC378" s="30"/>
      <c r="HD378" s="30"/>
      <c r="HE378" s="30"/>
      <c r="HF378" s="30"/>
      <c r="HG378" s="30"/>
      <c r="HH378" s="30"/>
      <c r="HI378" s="30"/>
      <c r="HJ378" s="30"/>
      <c r="HK378" s="30"/>
      <c r="HL378" s="30"/>
      <c r="HM378" s="30"/>
      <c r="HN378" s="30"/>
      <c r="HO378" s="30"/>
      <c r="HP378" s="30"/>
      <c r="HQ378" s="30"/>
      <c r="HR378" s="30"/>
      <c r="HS378" s="30"/>
      <c r="HT378" s="30"/>
      <c r="HU378" s="30"/>
      <c r="HV378" s="30"/>
      <c r="HW378" s="30"/>
      <c r="HX378" s="30"/>
      <c r="HY378" s="30"/>
      <c r="HZ378" s="30"/>
      <c r="IA378" s="30"/>
      <c r="IB378" s="30"/>
      <c r="IC378" s="30"/>
      <c r="ID378" s="30"/>
      <c r="IE378" s="30"/>
      <c r="IF378" s="30"/>
      <c r="IG378" s="30"/>
      <c r="IH378" s="30"/>
      <c r="II378" s="30"/>
      <c r="IJ378" s="30"/>
      <c r="IK378" s="30"/>
      <c r="IL378" s="30"/>
      <c r="IM378" s="30"/>
      <c r="IN378" s="30"/>
      <c r="IO378" s="30"/>
      <c r="IP378" s="30"/>
      <c r="IQ378" s="30"/>
      <c r="IR378" s="30"/>
      <c r="IS378" s="30"/>
      <c r="IT378" s="30"/>
      <c r="IU378" s="30"/>
      <c r="IV378" s="30"/>
      <c r="IW378" s="30"/>
      <c r="IX378" s="30"/>
      <c r="IY378" s="30"/>
      <c r="IZ378" s="30"/>
      <c r="JA378" s="30"/>
      <c r="JB378" s="30"/>
      <c r="JC378" s="30"/>
      <c r="JD378" s="30"/>
      <c r="JE378" s="30"/>
      <c r="JF378" s="30"/>
      <c r="JG378" s="30"/>
      <c r="JH378" s="30"/>
      <c r="JI378" s="30"/>
      <c r="JJ378" s="30"/>
      <c r="JK378" s="30"/>
      <c r="JL378" s="30"/>
      <c r="JM378" s="30"/>
      <c r="JN378" s="30"/>
      <c r="JO378" s="30"/>
      <c r="JP378" s="30"/>
      <c r="JQ378" s="30"/>
      <c r="JR378" s="30"/>
      <c r="JS378" s="30"/>
      <c r="JT378" s="30"/>
      <c r="JU378" s="30"/>
      <c r="JV378" s="30"/>
      <c r="JW378" s="30"/>
      <c r="JX378" s="30"/>
      <c r="JY378" s="30"/>
      <c r="JZ378" s="30"/>
      <c r="KA378" s="30"/>
      <c r="KB378" s="30"/>
      <c r="KC378" s="30"/>
      <c r="KD378" s="30"/>
      <c r="KE378" s="30"/>
      <c r="KF378" s="30"/>
      <c r="KG378" s="30"/>
      <c r="KH378" s="30"/>
      <c r="KI378" s="30"/>
      <c r="KJ378" s="30"/>
      <c r="KK378" s="30"/>
      <c r="KL378" s="30"/>
      <c r="KM378" s="30"/>
      <c r="KN378" s="30"/>
      <c r="KO378" s="30"/>
      <c r="KP378" s="30"/>
      <c r="KQ378" s="30"/>
      <c r="KR378" s="30"/>
      <c r="KS378" s="30"/>
      <c r="KT378" s="30"/>
      <c r="KU378" s="30"/>
      <c r="KV378" s="30"/>
      <c r="KW378" s="30"/>
      <c r="KX378" s="30"/>
      <c r="KY378" s="30"/>
      <c r="KZ378" s="30"/>
      <c r="LA378" s="30"/>
      <c r="LB378" s="30"/>
      <c r="LC378" s="30"/>
      <c r="LD378" s="30"/>
      <c r="LE378" s="30"/>
      <c r="LF378" s="30"/>
      <c r="LG378" s="30"/>
      <c r="LH378" s="30"/>
      <c r="LI378" s="30"/>
      <c r="LJ378" s="30"/>
      <c r="LK378" s="30"/>
      <c r="LL378" s="30"/>
      <c r="LM378" s="30"/>
      <c r="LN378" s="30"/>
      <c r="LO378" s="30"/>
      <c r="LP378" s="30"/>
      <c r="LQ378" s="30"/>
      <c r="LR378" s="30"/>
      <c r="LS378" s="30"/>
      <c r="LT378" s="30"/>
      <c r="LU378" s="30"/>
      <c r="LV378" s="30"/>
      <c r="LW378" s="30"/>
      <c r="LX378" s="30"/>
      <c r="LY378" s="30"/>
      <c r="LZ378" s="30"/>
      <c r="MA378" s="30"/>
      <c r="MB378" s="30"/>
      <c r="MC378" s="30"/>
      <c r="MD378" s="30"/>
      <c r="ME378" s="30"/>
      <c r="MF378" s="30"/>
      <c r="MG378" s="30"/>
      <c r="MH378" s="30"/>
      <c r="MI378" s="30"/>
      <c r="MJ378" s="30"/>
      <c r="MK378" s="30"/>
      <c r="ML378" s="30"/>
      <c r="MM378" s="30"/>
      <c r="MN378" s="30"/>
      <c r="MO378" s="30"/>
      <c r="MP378" s="30"/>
      <c r="MQ378" s="30"/>
      <c r="MR378" s="30"/>
      <c r="MS378" s="30"/>
      <c r="MT378" s="30"/>
      <c r="MU378" s="30"/>
      <c r="MV378" s="30"/>
      <c r="MW378" s="30"/>
      <c r="MX378" s="30"/>
      <c r="MY378" s="30"/>
      <c r="MZ378" s="30"/>
      <c r="NA378" s="30"/>
      <c r="NB378" s="30"/>
      <c r="NC378" s="30"/>
      <c r="ND378" s="30"/>
      <c r="NE378" s="30"/>
      <c r="NF378" s="30"/>
      <c r="NG378" s="30"/>
      <c r="NH378" s="30"/>
      <c r="NI378" s="30"/>
      <c r="NJ378" s="30"/>
      <c r="NK378" s="30"/>
      <c r="NL378" s="30"/>
      <c r="NM378" s="30"/>
      <c r="NN378" s="30"/>
      <c r="NO378" s="30"/>
      <c r="NP378" s="30"/>
      <c r="NQ378" s="30"/>
      <c r="NR378" s="30"/>
    </row>
    <row r="379" spans="1:382" s="3" customFormat="1" ht="20.100000000000001" customHeight="1" x14ac:dyDescent="0.4">
      <c r="A379" s="29">
        <v>2</v>
      </c>
      <c r="B379" s="5">
        <v>1938</v>
      </c>
      <c r="C379" s="5" t="s">
        <v>500</v>
      </c>
      <c r="D379" s="5" t="s">
        <v>501</v>
      </c>
      <c r="E379" s="5" t="s">
        <v>18</v>
      </c>
      <c r="F379" s="5" t="s">
        <v>32</v>
      </c>
      <c r="G379" s="5" t="s">
        <v>32</v>
      </c>
      <c r="H379" s="5" t="s">
        <v>32</v>
      </c>
      <c r="I379" s="8"/>
      <c r="J379" s="8"/>
      <c r="K379" s="8" t="str">
        <f>IF(OR(J379="",E379=""),"",J379+IFERROR(VLOOKUP(E379,リードタイム!$A$2:$C$9,3,FALSE),0))</f>
        <v/>
      </c>
      <c r="L379" s="5" t="s">
        <v>531</v>
      </c>
      <c r="M379" s="8"/>
      <c r="N379" s="8" t="str">
        <f>IF(OR(M379="",E379=""),"",M379+IFERROR(VLOOKUP(E379,リードタイム!$A$2:$D$9,4,FALSE),0))</f>
        <v/>
      </c>
      <c r="O379" s="5" t="s">
        <v>531</v>
      </c>
      <c r="P379" s="5" t="s">
        <v>533</v>
      </c>
      <c r="Q379" s="5" t="s">
        <v>503</v>
      </c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  <c r="FS379" s="30"/>
      <c r="FT379" s="30"/>
      <c r="FU379" s="30"/>
      <c r="FV379" s="30"/>
      <c r="FW379" s="30"/>
      <c r="FX379" s="30"/>
      <c r="FY379" s="30"/>
      <c r="FZ379" s="30"/>
      <c r="GA379" s="30"/>
      <c r="GB379" s="30"/>
      <c r="GC379" s="30"/>
      <c r="GD379" s="30"/>
      <c r="GE379" s="30"/>
      <c r="GF379" s="30"/>
      <c r="GG379" s="30"/>
      <c r="GH379" s="30"/>
      <c r="GI379" s="30"/>
      <c r="GJ379" s="30"/>
      <c r="GK379" s="30"/>
      <c r="GL379" s="30"/>
      <c r="GM379" s="30"/>
      <c r="GN379" s="30"/>
      <c r="GO379" s="30"/>
      <c r="GP379" s="30"/>
      <c r="GQ379" s="30"/>
      <c r="GR379" s="30"/>
      <c r="GS379" s="30"/>
      <c r="GT379" s="30"/>
      <c r="GU379" s="30"/>
      <c r="GV379" s="30"/>
      <c r="GW379" s="30"/>
      <c r="GX379" s="30"/>
      <c r="GY379" s="30"/>
      <c r="GZ379" s="30"/>
      <c r="HA379" s="30"/>
      <c r="HB379" s="30"/>
      <c r="HC379" s="30"/>
      <c r="HD379" s="30"/>
      <c r="HE379" s="30"/>
      <c r="HF379" s="30"/>
      <c r="HG379" s="30"/>
      <c r="HH379" s="30"/>
      <c r="HI379" s="30"/>
      <c r="HJ379" s="30"/>
      <c r="HK379" s="30"/>
      <c r="HL379" s="30"/>
      <c r="HM379" s="30"/>
      <c r="HN379" s="30"/>
      <c r="HO379" s="30"/>
      <c r="HP379" s="30"/>
      <c r="HQ379" s="30"/>
      <c r="HR379" s="30"/>
      <c r="HS379" s="30"/>
      <c r="HT379" s="30"/>
      <c r="HU379" s="30"/>
      <c r="HV379" s="30"/>
      <c r="HW379" s="30"/>
      <c r="HX379" s="30"/>
      <c r="HY379" s="30"/>
      <c r="HZ379" s="30"/>
      <c r="IA379" s="30"/>
      <c r="IB379" s="30"/>
      <c r="IC379" s="30"/>
      <c r="ID379" s="30"/>
      <c r="IE379" s="30"/>
      <c r="IF379" s="30"/>
      <c r="IG379" s="30"/>
      <c r="IH379" s="30"/>
      <c r="II379" s="30"/>
      <c r="IJ379" s="30"/>
      <c r="IK379" s="30"/>
      <c r="IL379" s="30"/>
      <c r="IM379" s="30"/>
      <c r="IN379" s="30"/>
      <c r="IO379" s="30"/>
      <c r="IP379" s="30"/>
      <c r="IQ379" s="30"/>
      <c r="IR379" s="30"/>
      <c r="IS379" s="30"/>
      <c r="IT379" s="30"/>
      <c r="IU379" s="30"/>
      <c r="IV379" s="30"/>
      <c r="IW379" s="30"/>
      <c r="IX379" s="30"/>
      <c r="IY379" s="30"/>
      <c r="IZ379" s="30"/>
      <c r="JA379" s="30"/>
      <c r="JB379" s="30"/>
      <c r="JC379" s="30"/>
      <c r="JD379" s="30"/>
      <c r="JE379" s="30"/>
      <c r="JF379" s="30"/>
      <c r="JG379" s="30"/>
      <c r="JH379" s="30"/>
      <c r="JI379" s="30"/>
      <c r="JJ379" s="30"/>
      <c r="JK379" s="30"/>
      <c r="JL379" s="30"/>
      <c r="JM379" s="30"/>
      <c r="JN379" s="30"/>
      <c r="JO379" s="30"/>
      <c r="JP379" s="30"/>
      <c r="JQ379" s="30"/>
      <c r="JR379" s="30"/>
      <c r="JS379" s="30"/>
      <c r="JT379" s="30"/>
      <c r="JU379" s="30"/>
      <c r="JV379" s="30"/>
      <c r="JW379" s="30"/>
      <c r="JX379" s="30"/>
      <c r="JY379" s="30"/>
      <c r="JZ379" s="30"/>
      <c r="KA379" s="30"/>
      <c r="KB379" s="30"/>
      <c r="KC379" s="30"/>
      <c r="KD379" s="30"/>
      <c r="KE379" s="30"/>
      <c r="KF379" s="30"/>
      <c r="KG379" s="30"/>
      <c r="KH379" s="30"/>
      <c r="KI379" s="30"/>
      <c r="KJ379" s="30"/>
      <c r="KK379" s="30"/>
      <c r="KL379" s="30"/>
      <c r="KM379" s="30"/>
      <c r="KN379" s="30"/>
      <c r="KO379" s="30"/>
      <c r="KP379" s="30"/>
      <c r="KQ379" s="30"/>
      <c r="KR379" s="30"/>
      <c r="KS379" s="30"/>
      <c r="KT379" s="30"/>
      <c r="KU379" s="30"/>
      <c r="KV379" s="30"/>
      <c r="KW379" s="30"/>
      <c r="KX379" s="30"/>
      <c r="KY379" s="30"/>
      <c r="KZ379" s="30"/>
      <c r="LA379" s="30"/>
      <c r="LB379" s="30"/>
      <c r="LC379" s="30"/>
      <c r="LD379" s="30"/>
      <c r="LE379" s="30"/>
      <c r="LF379" s="30"/>
      <c r="LG379" s="30"/>
      <c r="LH379" s="30"/>
      <c r="LI379" s="30"/>
      <c r="LJ379" s="30"/>
      <c r="LK379" s="30"/>
      <c r="LL379" s="30"/>
      <c r="LM379" s="30"/>
      <c r="LN379" s="30"/>
      <c r="LO379" s="30"/>
      <c r="LP379" s="30"/>
      <c r="LQ379" s="30"/>
      <c r="LR379" s="30"/>
      <c r="LS379" s="30"/>
      <c r="LT379" s="30"/>
      <c r="LU379" s="30"/>
      <c r="LV379" s="30"/>
      <c r="LW379" s="30"/>
      <c r="LX379" s="30"/>
      <c r="LY379" s="30"/>
      <c r="LZ379" s="30"/>
      <c r="MA379" s="30"/>
      <c r="MB379" s="30"/>
      <c r="MC379" s="30"/>
      <c r="MD379" s="30"/>
      <c r="ME379" s="30"/>
      <c r="MF379" s="30"/>
      <c r="MG379" s="30"/>
      <c r="MH379" s="30"/>
      <c r="MI379" s="30"/>
      <c r="MJ379" s="30"/>
      <c r="MK379" s="30"/>
      <c r="ML379" s="30"/>
      <c r="MM379" s="30"/>
      <c r="MN379" s="30"/>
      <c r="MO379" s="30"/>
      <c r="MP379" s="30"/>
      <c r="MQ379" s="30"/>
      <c r="MR379" s="30"/>
      <c r="MS379" s="30"/>
      <c r="MT379" s="30"/>
      <c r="MU379" s="30"/>
      <c r="MV379" s="30"/>
      <c r="MW379" s="30"/>
      <c r="MX379" s="30"/>
      <c r="MY379" s="30"/>
      <c r="MZ379" s="30"/>
      <c r="NA379" s="30"/>
      <c r="NB379" s="30"/>
      <c r="NC379" s="30"/>
      <c r="ND379" s="30"/>
      <c r="NE379" s="30"/>
      <c r="NF379" s="30"/>
      <c r="NG379" s="30"/>
      <c r="NH379" s="30"/>
      <c r="NI379" s="30"/>
      <c r="NJ379" s="30"/>
      <c r="NK379" s="30"/>
      <c r="NL379" s="30"/>
      <c r="NM379" s="30"/>
      <c r="NN379" s="30"/>
      <c r="NO379" s="30"/>
      <c r="NP379" s="30"/>
      <c r="NQ379" s="30"/>
      <c r="NR379" s="30"/>
    </row>
    <row r="380" spans="1:382" s="3" customFormat="1" ht="20.100000000000001" customHeight="1" x14ac:dyDescent="0.4">
      <c r="A380" s="29">
        <v>3</v>
      </c>
      <c r="B380" s="5">
        <v>1941</v>
      </c>
      <c r="C380" s="5" t="s">
        <v>500</v>
      </c>
      <c r="D380" s="5" t="s">
        <v>504</v>
      </c>
      <c r="E380" s="5" t="s">
        <v>14</v>
      </c>
      <c r="F380" s="5" t="s">
        <v>32</v>
      </c>
      <c r="G380" s="5" t="s">
        <v>32</v>
      </c>
      <c r="H380" s="5" t="s">
        <v>32</v>
      </c>
      <c r="I380" s="8"/>
      <c r="J380" s="8"/>
      <c r="K380" s="8" t="str">
        <f>IF(OR(J380="",E380=""),"",J380+IFERROR(VLOOKUP(E380,リードタイム!$A$2:$C$9,3,FALSE),0))</f>
        <v/>
      </c>
      <c r="L380" s="5" t="s">
        <v>531</v>
      </c>
      <c r="M380" s="8"/>
      <c r="N380" s="8" t="str">
        <f>IF(OR(M380="",E380=""),"",M380+IFERROR(VLOOKUP(E380,リードタイム!$A$2:$D$9,4,FALSE),0))</f>
        <v/>
      </c>
      <c r="O380" s="5" t="s">
        <v>531</v>
      </c>
      <c r="P380" s="5" t="s">
        <v>533</v>
      </c>
      <c r="Q380" s="5" t="s">
        <v>32</v>
      </c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  <c r="FS380" s="30"/>
      <c r="FT380" s="30"/>
      <c r="FU380" s="30"/>
      <c r="FV380" s="30"/>
      <c r="FW380" s="30"/>
      <c r="FX380" s="30"/>
      <c r="FY380" s="30"/>
      <c r="FZ380" s="30"/>
      <c r="GA380" s="30"/>
      <c r="GB380" s="30"/>
      <c r="GC380" s="30"/>
      <c r="GD380" s="30"/>
      <c r="GE380" s="30"/>
      <c r="GF380" s="30"/>
      <c r="GG380" s="30"/>
      <c r="GH380" s="30"/>
      <c r="GI380" s="30"/>
      <c r="GJ380" s="30"/>
      <c r="GK380" s="30"/>
      <c r="GL380" s="30"/>
      <c r="GM380" s="30"/>
      <c r="GN380" s="30"/>
      <c r="GO380" s="30"/>
      <c r="GP380" s="30"/>
      <c r="GQ380" s="30"/>
      <c r="GR380" s="30"/>
      <c r="GS380" s="30"/>
      <c r="GT380" s="30"/>
      <c r="GU380" s="30"/>
      <c r="GV380" s="30"/>
      <c r="GW380" s="30"/>
      <c r="GX380" s="30"/>
      <c r="GY380" s="30"/>
      <c r="GZ380" s="30"/>
      <c r="HA380" s="30"/>
      <c r="HB380" s="30"/>
      <c r="HC380" s="30"/>
      <c r="HD380" s="30"/>
      <c r="HE380" s="30"/>
      <c r="HF380" s="30"/>
      <c r="HG380" s="30"/>
      <c r="HH380" s="30"/>
      <c r="HI380" s="30"/>
      <c r="HJ380" s="30"/>
      <c r="HK380" s="30"/>
      <c r="HL380" s="30"/>
      <c r="HM380" s="30"/>
      <c r="HN380" s="30"/>
      <c r="HO380" s="30"/>
      <c r="HP380" s="30"/>
      <c r="HQ380" s="30"/>
      <c r="HR380" s="30"/>
      <c r="HS380" s="30"/>
      <c r="HT380" s="30"/>
      <c r="HU380" s="30"/>
      <c r="HV380" s="30"/>
      <c r="HW380" s="30"/>
      <c r="HX380" s="30"/>
      <c r="HY380" s="30"/>
      <c r="HZ380" s="30"/>
      <c r="IA380" s="30"/>
      <c r="IB380" s="30"/>
      <c r="IC380" s="30"/>
      <c r="ID380" s="30"/>
      <c r="IE380" s="30"/>
      <c r="IF380" s="30"/>
      <c r="IG380" s="30"/>
      <c r="IH380" s="30"/>
      <c r="II380" s="30"/>
      <c r="IJ380" s="30"/>
      <c r="IK380" s="30"/>
      <c r="IL380" s="30"/>
      <c r="IM380" s="30"/>
      <c r="IN380" s="30"/>
      <c r="IO380" s="30"/>
      <c r="IP380" s="30"/>
      <c r="IQ380" s="30"/>
      <c r="IR380" s="30"/>
      <c r="IS380" s="30"/>
      <c r="IT380" s="30"/>
      <c r="IU380" s="30"/>
      <c r="IV380" s="30"/>
      <c r="IW380" s="30"/>
      <c r="IX380" s="30"/>
      <c r="IY380" s="30"/>
      <c r="IZ380" s="30"/>
      <c r="JA380" s="30"/>
      <c r="JB380" s="30"/>
      <c r="JC380" s="30"/>
      <c r="JD380" s="30"/>
      <c r="JE380" s="30"/>
      <c r="JF380" s="30"/>
      <c r="JG380" s="30"/>
      <c r="JH380" s="30"/>
      <c r="JI380" s="30"/>
      <c r="JJ380" s="30"/>
      <c r="JK380" s="30"/>
      <c r="JL380" s="30"/>
      <c r="JM380" s="30"/>
      <c r="JN380" s="30"/>
      <c r="JO380" s="30"/>
      <c r="JP380" s="30"/>
      <c r="JQ380" s="30"/>
      <c r="JR380" s="30"/>
      <c r="JS380" s="30"/>
      <c r="JT380" s="30"/>
      <c r="JU380" s="30"/>
      <c r="JV380" s="30"/>
      <c r="JW380" s="30"/>
      <c r="JX380" s="30"/>
      <c r="JY380" s="30"/>
      <c r="JZ380" s="30"/>
      <c r="KA380" s="30"/>
      <c r="KB380" s="30"/>
      <c r="KC380" s="30"/>
      <c r="KD380" s="30"/>
      <c r="KE380" s="30"/>
      <c r="KF380" s="30"/>
      <c r="KG380" s="30"/>
      <c r="KH380" s="30"/>
      <c r="KI380" s="30"/>
      <c r="KJ380" s="30"/>
      <c r="KK380" s="30"/>
      <c r="KL380" s="30"/>
      <c r="KM380" s="30"/>
      <c r="KN380" s="30"/>
      <c r="KO380" s="30"/>
      <c r="KP380" s="30"/>
      <c r="KQ380" s="30"/>
      <c r="KR380" s="30"/>
      <c r="KS380" s="30"/>
      <c r="KT380" s="30"/>
      <c r="KU380" s="30"/>
      <c r="KV380" s="30"/>
      <c r="KW380" s="30"/>
      <c r="KX380" s="30"/>
      <c r="KY380" s="30"/>
      <c r="KZ380" s="30"/>
      <c r="LA380" s="30"/>
      <c r="LB380" s="30"/>
      <c r="LC380" s="30"/>
      <c r="LD380" s="30"/>
      <c r="LE380" s="30"/>
      <c r="LF380" s="30"/>
      <c r="LG380" s="30"/>
      <c r="LH380" s="30"/>
      <c r="LI380" s="30"/>
      <c r="LJ380" s="30"/>
      <c r="LK380" s="30"/>
      <c r="LL380" s="30"/>
      <c r="LM380" s="30"/>
      <c r="LN380" s="30"/>
      <c r="LO380" s="30"/>
      <c r="LP380" s="30"/>
      <c r="LQ380" s="30"/>
      <c r="LR380" s="30"/>
      <c r="LS380" s="30"/>
      <c r="LT380" s="30"/>
      <c r="LU380" s="30"/>
      <c r="LV380" s="30"/>
      <c r="LW380" s="30"/>
      <c r="LX380" s="30"/>
      <c r="LY380" s="30"/>
      <c r="LZ380" s="30"/>
      <c r="MA380" s="30"/>
      <c r="MB380" s="30"/>
      <c r="MC380" s="30"/>
      <c r="MD380" s="30"/>
      <c r="ME380" s="30"/>
      <c r="MF380" s="30"/>
      <c r="MG380" s="30"/>
      <c r="MH380" s="30"/>
      <c r="MI380" s="30"/>
      <c r="MJ380" s="30"/>
      <c r="MK380" s="30"/>
      <c r="ML380" s="30"/>
      <c r="MM380" s="30"/>
      <c r="MN380" s="30"/>
      <c r="MO380" s="30"/>
      <c r="MP380" s="30"/>
      <c r="MQ380" s="30"/>
      <c r="MR380" s="30"/>
      <c r="MS380" s="30"/>
      <c r="MT380" s="30"/>
      <c r="MU380" s="30"/>
      <c r="MV380" s="30"/>
      <c r="MW380" s="30"/>
      <c r="MX380" s="30"/>
      <c r="MY380" s="30"/>
      <c r="MZ380" s="30"/>
      <c r="NA380" s="30"/>
      <c r="NB380" s="30"/>
      <c r="NC380" s="30"/>
      <c r="ND380" s="30"/>
      <c r="NE380" s="30"/>
      <c r="NF380" s="30"/>
      <c r="NG380" s="30"/>
      <c r="NH380" s="30"/>
      <c r="NI380" s="30"/>
      <c r="NJ380" s="30"/>
      <c r="NK380" s="30"/>
      <c r="NL380" s="30"/>
      <c r="NM380" s="30"/>
      <c r="NN380" s="30"/>
      <c r="NO380" s="30"/>
      <c r="NP380" s="30"/>
      <c r="NQ380" s="30"/>
      <c r="NR380" s="30"/>
    </row>
    <row r="381" spans="1:382" s="3" customFormat="1" ht="20.100000000000001" customHeight="1" x14ac:dyDescent="0.4">
      <c r="A381" s="29">
        <v>4</v>
      </c>
      <c r="B381" s="5">
        <v>1922</v>
      </c>
      <c r="C381" s="5" t="s">
        <v>500</v>
      </c>
      <c r="D381" s="5" t="s">
        <v>505</v>
      </c>
      <c r="E381" s="5" t="s">
        <v>14</v>
      </c>
      <c r="F381" s="5" t="s">
        <v>32</v>
      </c>
      <c r="G381" s="5" t="s">
        <v>32</v>
      </c>
      <c r="H381" s="5" t="s">
        <v>32</v>
      </c>
      <c r="I381" s="8"/>
      <c r="J381" s="8"/>
      <c r="K381" s="8" t="str">
        <f>IF(OR(J381="",E381=""),"",J381+IFERROR(VLOOKUP(E381,リードタイム!$A$2:$C$9,3,FALSE),0))</f>
        <v/>
      </c>
      <c r="L381" s="5" t="s">
        <v>531</v>
      </c>
      <c r="M381" s="8"/>
      <c r="N381" s="8" t="str">
        <f>IF(OR(M381="",E381=""),"",M381+IFERROR(VLOOKUP(E381,リードタイム!$A$2:$D$9,4,FALSE),0))</f>
        <v/>
      </c>
      <c r="O381" s="5" t="s">
        <v>531</v>
      </c>
      <c r="P381" s="5" t="s">
        <v>533</v>
      </c>
      <c r="Q381" s="5" t="s">
        <v>32</v>
      </c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  <c r="FS381" s="30"/>
      <c r="FT381" s="30"/>
      <c r="FU381" s="30"/>
      <c r="FV381" s="30"/>
      <c r="FW381" s="30"/>
      <c r="FX381" s="30"/>
      <c r="FY381" s="30"/>
      <c r="FZ381" s="30"/>
      <c r="GA381" s="30"/>
      <c r="GB381" s="30"/>
      <c r="GC381" s="30"/>
      <c r="GD381" s="30"/>
      <c r="GE381" s="30"/>
      <c r="GF381" s="30"/>
      <c r="GG381" s="30"/>
      <c r="GH381" s="30"/>
      <c r="GI381" s="30"/>
      <c r="GJ381" s="30"/>
      <c r="GK381" s="30"/>
      <c r="GL381" s="30"/>
      <c r="GM381" s="30"/>
      <c r="GN381" s="30"/>
      <c r="GO381" s="30"/>
      <c r="GP381" s="30"/>
      <c r="GQ381" s="30"/>
      <c r="GR381" s="30"/>
      <c r="GS381" s="30"/>
      <c r="GT381" s="30"/>
      <c r="GU381" s="30"/>
      <c r="GV381" s="30"/>
      <c r="GW381" s="30"/>
      <c r="GX381" s="30"/>
      <c r="GY381" s="30"/>
      <c r="GZ381" s="30"/>
      <c r="HA381" s="30"/>
      <c r="HB381" s="30"/>
      <c r="HC381" s="30"/>
      <c r="HD381" s="30"/>
      <c r="HE381" s="30"/>
      <c r="HF381" s="30"/>
      <c r="HG381" s="30"/>
      <c r="HH381" s="30"/>
      <c r="HI381" s="30"/>
      <c r="HJ381" s="30"/>
      <c r="HK381" s="30"/>
      <c r="HL381" s="30"/>
      <c r="HM381" s="30"/>
      <c r="HN381" s="30"/>
      <c r="HO381" s="30"/>
      <c r="HP381" s="30"/>
      <c r="HQ381" s="30"/>
      <c r="HR381" s="30"/>
      <c r="HS381" s="30"/>
      <c r="HT381" s="30"/>
      <c r="HU381" s="30"/>
      <c r="HV381" s="30"/>
      <c r="HW381" s="30"/>
      <c r="HX381" s="30"/>
      <c r="HY381" s="30"/>
      <c r="HZ381" s="30"/>
      <c r="IA381" s="30"/>
      <c r="IB381" s="30"/>
      <c r="IC381" s="30"/>
      <c r="ID381" s="30"/>
      <c r="IE381" s="30"/>
      <c r="IF381" s="30"/>
      <c r="IG381" s="30"/>
      <c r="IH381" s="30"/>
      <c r="II381" s="30"/>
      <c r="IJ381" s="30"/>
      <c r="IK381" s="30"/>
      <c r="IL381" s="30"/>
      <c r="IM381" s="30"/>
      <c r="IN381" s="30"/>
      <c r="IO381" s="30"/>
      <c r="IP381" s="30"/>
      <c r="IQ381" s="30"/>
      <c r="IR381" s="30"/>
      <c r="IS381" s="30"/>
      <c r="IT381" s="30"/>
      <c r="IU381" s="30"/>
      <c r="IV381" s="30"/>
      <c r="IW381" s="30"/>
      <c r="IX381" s="30"/>
      <c r="IY381" s="30"/>
      <c r="IZ381" s="30"/>
      <c r="JA381" s="30"/>
      <c r="JB381" s="30"/>
      <c r="JC381" s="30"/>
      <c r="JD381" s="30"/>
      <c r="JE381" s="30"/>
      <c r="JF381" s="30"/>
      <c r="JG381" s="30"/>
      <c r="JH381" s="30"/>
      <c r="JI381" s="30"/>
      <c r="JJ381" s="30"/>
      <c r="JK381" s="30"/>
      <c r="JL381" s="30"/>
      <c r="JM381" s="30"/>
      <c r="JN381" s="30"/>
      <c r="JO381" s="30"/>
      <c r="JP381" s="30"/>
      <c r="JQ381" s="30"/>
      <c r="JR381" s="30"/>
      <c r="JS381" s="30"/>
      <c r="JT381" s="30"/>
      <c r="JU381" s="30"/>
      <c r="JV381" s="30"/>
      <c r="JW381" s="30"/>
      <c r="JX381" s="30"/>
      <c r="JY381" s="30"/>
      <c r="JZ381" s="30"/>
      <c r="KA381" s="30"/>
      <c r="KB381" s="30"/>
      <c r="KC381" s="30"/>
      <c r="KD381" s="30"/>
      <c r="KE381" s="30"/>
      <c r="KF381" s="30"/>
      <c r="KG381" s="30"/>
      <c r="KH381" s="30"/>
      <c r="KI381" s="30"/>
      <c r="KJ381" s="30"/>
      <c r="KK381" s="30"/>
      <c r="KL381" s="30"/>
      <c r="KM381" s="30"/>
      <c r="KN381" s="30"/>
      <c r="KO381" s="30"/>
      <c r="KP381" s="30"/>
      <c r="KQ381" s="30"/>
      <c r="KR381" s="30"/>
      <c r="KS381" s="30"/>
      <c r="KT381" s="30"/>
      <c r="KU381" s="30"/>
      <c r="KV381" s="30"/>
      <c r="KW381" s="30"/>
      <c r="KX381" s="30"/>
      <c r="KY381" s="30"/>
      <c r="KZ381" s="30"/>
      <c r="LA381" s="30"/>
      <c r="LB381" s="30"/>
      <c r="LC381" s="30"/>
      <c r="LD381" s="30"/>
      <c r="LE381" s="30"/>
      <c r="LF381" s="30"/>
      <c r="LG381" s="30"/>
      <c r="LH381" s="30"/>
      <c r="LI381" s="30"/>
      <c r="LJ381" s="30"/>
      <c r="LK381" s="30"/>
      <c r="LL381" s="30"/>
      <c r="LM381" s="30"/>
      <c r="LN381" s="30"/>
      <c r="LO381" s="30"/>
      <c r="LP381" s="30"/>
      <c r="LQ381" s="30"/>
      <c r="LR381" s="30"/>
      <c r="LS381" s="30"/>
      <c r="LT381" s="30"/>
      <c r="LU381" s="30"/>
      <c r="LV381" s="30"/>
      <c r="LW381" s="30"/>
      <c r="LX381" s="30"/>
      <c r="LY381" s="30"/>
      <c r="LZ381" s="30"/>
      <c r="MA381" s="30"/>
      <c r="MB381" s="30"/>
      <c r="MC381" s="30"/>
      <c r="MD381" s="30"/>
      <c r="ME381" s="30"/>
      <c r="MF381" s="30"/>
      <c r="MG381" s="30"/>
      <c r="MH381" s="30"/>
      <c r="MI381" s="30"/>
      <c r="MJ381" s="30"/>
      <c r="MK381" s="30"/>
      <c r="ML381" s="30"/>
      <c r="MM381" s="30"/>
      <c r="MN381" s="30"/>
      <c r="MO381" s="30"/>
      <c r="MP381" s="30"/>
      <c r="MQ381" s="30"/>
      <c r="MR381" s="30"/>
      <c r="MS381" s="30"/>
      <c r="MT381" s="30"/>
      <c r="MU381" s="30"/>
      <c r="MV381" s="30"/>
      <c r="MW381" s="30"/>
      <c r="MX381" s="30"/>
      <c r="MY381" s="30"/>
      <c r="MZ381" s="30"/>
      <c r="NA381" s="30"/>
      <c r="NB381" s="30"/>
      <c r="NC381" s="30"/>
      <c r="ND381" s="30"/>
      <c r="NE381" s="30"/>
      <c r="NF381" s="30"/>
      <c r="NG381" s="30"/>
      <c r="NH381" s="30"/>
      <c r="NI381" s="30"/>
      <c r="NJ381" s="30"/>
      <c r="NK381" s="30"/>
      <c r="NL381" s="30"/>
      <c r="NM381" s="30"/>
      <c r="NN381" s="30"/>
      <c r="NO381" s="30"/>
      <c r="NP381" s="30"/>
      <c r="NQ381" s="30"/>
      <c r="NR381" s="30"/>
    </row>
    <row r="382" spans="1:382" s="3" customFormat="1" ht="20.100000000000001" customHeight="1" x14ac:dyDescent="0.4">
      <c r="A382" s="29">
        <v>1</v>
      </c>
      <c r="B382" s="5" t="s">
        <v>32</v>
      </c>
      <c r="C382" s="5" t="s">
        <v>506</v>
      </c>
      <c r="D382" s="5" t="s">
        <v>507</v>
      </c>
      <c r="E382" s="5" t="s">
        <v>18</v>
      </c>
      <c r="F382" s="5" t="s">
        <v>32</v>
      </c>
      <c r="G382" s="5" t="s">
        <v>32</v>
      </c>
      <c r="H382" s="5" t="s">
        <v>32</v>
      </c>
      <c r="I382" s="8"/>
      <c r="J382" s="8"/>
      <c r="K382" s="8" t="str">
        <f>IF(OR(J382="",E382=""),"",J382+IFERROR(VLOOKUP(E382,リードタイム!$A$2:$C$9,3,FALSE),0))</f>
        <v/>
      </c>
      <c r="L382" s="5" t="s">
        <v>530</v>
      </c>
      <c r="M382" s="8"/>
      <c r="N382" s="8" t="str">
        <f>IF(OR(M382="",E382=""),"",M382+IFERROR(VLOOKUP(E382,リードタイム!$A$2:$D$9,4,FALSE),0))</f>
        <v/>
      </c>
      <c r="O382" s="5" t="s">
        <v>530</v>
      </c>
      <c r="P382" s="5" t="s">
        <v>530</v>
      </c>
      <c r="Q382" s="5" t="s">
        <v>32</v>
      </c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  <c r="FS382" s="30"/>
      <c r="FT382" s="30"/>
      <c r="FU382" s="30"/>
      <c r="FV382" s="30"/>
      <c r="FW382" s="30"/>
      <c r="FX382" s="30"/>
      <c r="FY382" s="30"/>
      <c r="FZ382" s="30"/>
      <c r="GA382" s="30"/>
      <c r="GB382" s="30"/>
      <c r="GC382" s="30"/>
      <c r="GD382" s="30"/>
      <c r="GE382" s="30"/>
      <c r="GF382" s="30"/>
      <c r="GG382" s="30"/>
      <c r="GH382" s="30"/>
      <c r="GI382" s="30"/>
      <c r="GJ382" s="30"/>
      <c r="GK382" s="30"/>
      <c r="GL382" s="30"/>
      <c r="GM382" s="30"/>
      <c r="GN382" s="30"/>
      <c r="GO382" s="30"/>
      <c r="GP382" s="30"/>
      <c r="GQ382" s="30"/>
      <c r="GR382" s="30"/>
      <c r="GS382" s="30"/>
      <c r="GT382" s="30"/>
      <c r="GU382" s="30"/>
      <c r="GV382" s="30"/>
      <c r="GW382" s="30"/>
      <c r="GX382" s="30"/>
      <c r="GY382" s="30"/>
      <c r="GZ382" s="30"/>
      <c r="HA382" s="30"/>
      <c r="HB382" s="30"/>
      <c r="HC382" s="30"/>
      <c r="HD382" s="30"/>
      <c r="HE382" s="30"/>
      <c r="HF382" s="30"/>
      <c r="HG382" s="30"/>
      <c r="HH382" s="30"/>
      <c r="HI382" s="30"/>
      <c r="HJ382" s="30"/>
      <c r="HK382" s="30"/>
      <c r="HL382" s="30"/>
      <c r="HM382" s="30"/>
      <c r="HN382" s="30"/>
      <c r="HO382" s="30"/>
      <c r="HP382" s="30"/>
      <c r="HQ382" s="30"/>
      <c r="HR382" s="30"/>
      <c r="HS382" s="30"/>
      <c r="HT382" s="30"/>
      <c r="HU382" s="30"/>
      <c r="HV382" s="30"/>
      <c r="HW382" s="30"/>
      <c r="HX382" s="30"/>
      <c r="HY382" s="30"/>
      <c r="HZ382" s="30"/>
      <c r="IA382" s="30"/>
      <c r="IB382" s="30"/>
      <c r="IC382" s="30"/>
      <c r="ID382" s="30"/>
      <c r="IE382" s="30"/>
      <c r="IF382" s="30"/>
      <c r="IG382" s="30"/>
      <c r="IH382" s="30"/>
      <c r="II382" s="30"/>
      <c r="IJ382" s="30"/>
      <c r="IK382" s="30"/>
      <c r="IL382" s="30"/>
      <c r="IM382" s="30"/>
      <c r="IN382" s="30"/>
      <c r="IO382" s="30"/>
      <c r="IP382" s="30"/>
      <c r="IQ382" s="30"/>
      <c r="IR382" s="30"/>
      <c r="IS382" s="30"/>
      <c r="IT382" s="30"/>
      <c r="IU382" s="30"/>
      <c r="IV382" s="30"/>
      <c r="IW382" s="30"/>
      <c r="IX382" s="30"/>
      <c r="IY382" s="30"/>
      <c r="IZ382" s="30"/>
      <c r="JA382" s="30"/>
      <c r="JB382" s="30"/>
      <c r="JC382" s="30"/>
      <c r="JD382" s="30"/>
      <c r="JE382" s="30"/>
      <c r="JF382" s="30"/>
      <c r="JG382" s="30"/>
      <c r="JH382" s="30"/>
      <c r="JI382" s="30"/>
      <c r="JJ382" s="30"/>
      <c r="JK382" s="30"/>
      <c r="JL382" s="30"/>
      <c r="JM382" s="30"/>
      <c r="JN382" s="30"/>
      <c r="JO382" s="30"/>
      <c r="JP382" s="30"/>
      <c r="JQ382" s="30"/>
      <c r="JR382" s="30"/>
      <c r="JS382" s="30"/>
      <c r="JT382" s="30"/>
      <c r="JU382" s="30"/>
      <c r="JV382" s="30"/>
      <c r="JW382" s="30"/>
      <c r="JX382" s="30"/>
      <c r="JY382" s="30"/>
      <c r="JZ382" s="30"/>
      <c r="KA382" s="30"/>
      <c r="KB382" s="30"/>
      <c r="KC382" s="30"/>
      <c r="KD382" s="30"/>
      <c r="KE382" s="30"/>
      <c r="KF382" s="30"/>
      <c r="KG382" s="30"/>
      <c r="KH382" s="30"/>
      <c r="KI382" s="30"/>
      <c r="KJ382" s="30"/>
      <c r="KK382" s="30"/>
      <c r="KL382" s="30"/>
      <c r="KM382" s="30"/>
      <c r="KN382" s="30"/>
      <c r="KO382" s="30"/>
      <c r="KP382" s="30"/>
      <c r="KQ382" s="30"/>
      <c r="KR382" s="30"/>
      <c r="KS382" s="30"/>
      <c r="KT382" s="30"/>
      <c r="KU382" s="30"/>
      <c r="KV382" s="30"/>
      <c r="KW382" s="30"/>
      <c r="KX382" s="30"/>
      <c r="KY382" s="30"/>
      <c r="KZ382" s="30"/>
      <c r="LA382" s="30"/>
      <c r="LB382" s="30"/>
      <c r="LC382" s="30"/>
      <c r="LD382" s="30"/>
      <c r="LE382" s="30"/>
      <c r="LF382" s="30"/>
      <c r="LG382" s="30"/>
      <c r="LH382" s="30"/>
      <c r="LI382" s="30"/>
      <c r="LJ382" s="30"/>
      <c r="LK382" s="30"/>
      <c r="LL382" s="30"/>
      <c r="LM382" s="30"/>
      <c r="LN382" s="30"/>
      <c r="LO382" s="30"/>
      <c r="LP382" s="30"/>
      <c r="LQ382" s="30"/>
      <c r="LR382" s="30"/>
      <c r="LS382" s="30"/>
      <c r="LT382" s="30"/>
      <c r="LU382" s="30"/>
      <c r="LV382" s="30"/>
      <c r="LW382" s="30"/>
      <c r="LX382" s="30"/>
      <c r="LY382" s="30"/>
      <c r="LZ382" s="30"/>
      <c r="MA382" s="30"/>
      <c r="MB382" s="30"/>
      <c r="MC382" s="30"/>
      <c r="MD382" s="30"/>
      <c r="ME382" s="30"/>
      <c r="MF382" s="30"/>
      <c r="MG382" s="30"/>
      <c r="MH382" s="30"/>
      <c r="MI382" s="30"/>
      <c r="MJ382" s="30"/>
      <c r="MK382" s="30"/>
      <c r="ML382" s="30"/>
      <c r="MM382" s="30"/>
      <c r="MN382" s="30"/>
      <c r="MO382" s="30"/>
      <c r="MP382" s="30"/>
      <c r="MQ382" s="30"/>
      <c r="MR382" s="30"/>
      <c r="MS382" s="30"/>
      <c r="MT382" s="30"/>
      <c r="MU382" s="30"/>
      <c r="MV382" s="30"/>
      <c r="MW382" s="30"/>
      <c r="MX382" s="30"/>
      <c r="MY382" s="30"/>
      <c r="MZ382" s="30"/>
      <c r="NA382" s="30"/>
      <c r="NB382" s="30"/>
      <c r="NC382" s="30"/>
      <c r="ND382" s="30"/>
      <c r="NE382" s="30"/>
      <c r="NF382" s="30"/>
      <c r="NG382" s="30"/>
      <c r="NH382" s="30"/>
      <c r="NI382" s="30"/>
      <c r="NJ382" s="30"/>
      <c r="NK382" s="30"/>
      <c r="NL382" s="30"/>
      <c r="NM382" s="30"/>
      <c r="NN382" s="30"/>
      <c r="NO382" s="30"/>
      <c r="NP382" s="30"/>
      <c r="NQ382" s="30"/>
      <c r="NR382" s="30"/>
    </row>
  </sheetData>
  <autoFilter ref="A1:Q1"/>
  <phoneticPr fontId="6"/>
  <conditionalFormatting sqref="R2:NR382">
    <cfRule type="expression" dxfId="14" priority="1">
      <formula>AND($J2&lt;&gt;"",$K2&lt;&gt;"",R$1&gt;=$J2,R$1&lt;=$K2)</formula>
    </cfRule>
  </conditionalFormatting>
  <conditionalFormatting sqref="R2:NR382">
    <cfRule type="expression" dxfId="13" priority="2">
      <formula>AND($M2&lt;&gt;"",$N2&lt;&gt;"",R$1&gt;=$M2,R$1&lt;=$N2)</formula>
    </cfRule>
  </conditionalFormatting>
  <conditionalFormatting sqref="R2:NR382">
    <cfRule type="expression" dxfId="12" priority="3">
      <formula>R$1=TODAY()</formula>
    </cfRule>
  </conditionalFormatting>
  <conditionalFormatting sqref="P2:P382">
    <cfRule type="cellIs" dxfId="11" priority="10" operator="equal">
      <formula>"未着手"</formula>
    </cfRule>
    <cfRule type="cellIs" dxfId="10" priority="11" operator="equal">
      <formula>"設計中"</formula>
    </cfRule>
    <cfRule type="cellIs" dxfId="9" priority="12" operator="equal">
      <formula>"設計完了"</formula>
    </cfRule>
    <cfRule type="cellIs" dxfId="8" priority="13" operator="equal">
      <formula>"制作中"</formula>
    </cfRule>
    <cfRule type="cellIs" dxfId="7" priority="14" operator="equal">
      <formula>"制作完了"</formula>
    </cfRule>
    <cfRule type="cellIs" dxfId="6" priority="15" operator="equal">
      <formula>"出荷済"</formula>
    </cfRule>
  </conditionalFormatting>
  <conditionalFormatting sqref="L2:L382">
    <cfRule type="cellIs" dxfId="5" priority="16" operator="equal">
      <formula>"進行中"</formula>
    </cfRule>
    <cfRule type="cellIs" dxfId="4" priority="17" operator="equal">
      <formula>"完了"</formula>
    </cfRule>
  </conditionalFormatting>
  <conditionalFormatting sqref="O2:O382">
    <cfRule type="cellIs" dxfId="3" priority="18" operator="equal">
      <formula>"進行中"</formula>
    </cfRule>
    <cfRule type="cellIs" dxfId="2" priority="19" operator="equal">
      <formula>"完了"</formula>
    </cfRule>
  </conditionalFormatting>
  <conditionalFormatting sqref="I2:I382">
    <cfRule type="expression" dxfId="1" priority="20">
      <formula>AND(I2&lt;&gt;"",I2&lt;TODAY(),P2&lt;&gt;"出荷済",P2&lt;&gt;"制作完了")</formula>
    </cfRule>
    <cfRule type="expression" dxfId="0" priority="21">
      <formula>AND(I2&lt;&gt;"",I2-TODAY()&lt;=3,I2-TODAY()&gt;=0,P2&lt;&gt;"出荷済")</formula>
    </cfRule>
  </conditionalFormatting>
  <dataValidations count="8">
    <dataValidation type="list" allowBlank="1" showErrorMessage="1" errorTitle="入力エラー" error="リストから選択してください" sqref="E10:E382">
      <formula1>"Die,TP,Tem,Mill,GC,Ins,S,Other"</formula1>
    </dataValidation>
    <dataValidation type="list" allowBlank="1" showErrorMessage="1" errorTitle="入力エラー" error="リストから選択してください" sqref="E2:E382">
      <formula1>"Die,TP,Tem,Mill,GC,Ins,S,Other"</formula1>
    </dataValidation>
    <dataValidation type="list" allowBlank="1" showErrorMessage="1" errorTitle="入力エラー" error="リストから選択してください" sqref="L10:L382">
      <formula1>"未着手,進行中,完了"</formula1>
    </dataValidation>
    <dataValidation type="list" allowBlank="1" showErrorMessage="1" errorTitle="入力エラー" error="リストから選択してください" sqref="L2:L382">
      <formula1>"未着手,進行中,完了"</formula1>
    </dataValidation>
    <dataValidation type="list" allowBlank="1" showErrorMessage="1" errorTitle="入力エラー" error="リストから選択してください" sqref="O10:O382">
      <formula1>"未着手,進行中,完了"</formula1>
    </dataValidation>
    <dataValidation type="list" allowBlank="1" showErrorMessage="1" errorTitle="入力エラー" error="リストから選択してください" sqref="O2:O382">
      <formula1>"未着手,進行中,完了"</formula1>
    </dataValidation>
    <dataValidation type="list" allowBlank="1" showErrorMessage="1" errorTitle="入力エラー" error="リストから選択してください" sqref="P10:P382">
      <formula1>"未着手,設計中,設計完了,制作中,制作完了,出荷済"</formula1>
    </dataValidation>
    <dataValidation type="list" allowBlank="1" showErrorMessage="1" errorTitle="入力エラー" error="リストから選択してください" sqref="P2:P382">
      <formula1>"未着手,設計中,設計完了,制作中,制作完了,出荷済"</formula1>
    </dataValidation>
  </dataValidations>
  <pageMargins left="0.7" right="0.7" top="0.75" bottom="0.75" header="0.3" footer="0.3"/>
  <pageSetup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"/>
  <sheetViews>
    <sheetView workbookViewId="0">
      <pane ySplit="1" topLeftCell="A2" activePane="bottomLeft" state="frozen"/>
      <selection pane="bottomLeft"/>
    </sheetView>
  </sheetViews>
  <sheetFormatPr defaultRowHeight="18.75" x14ac:dyDescent="0.4"/>
  <cols>
    <col min="1" max="1" width="24" customWidth="1"/>
    <col min="2" max="4" width="12" customWidth="1"/>
    <col min="5" max="6" width="10" customWidth="1"/>
    <col min="7" max="7" width="14" customWidth="1"/>
  </cols>
  <sheetData>
    <row r="1" spans="1:7" s="1" customFormat="1" ht="27.95" customHeight="1" x14ac:dyDescent="0.4">
      <c r="A1" s="31" t="s">
        <v>21</v>
      </c>
      <c r="B1" s="31" t="s">
        <v>534</v>
      </c>
      <c r="C1" s="31" t="s">
        <v>535</v>
      </c>
      <c r="D1" s="31" t="s">
        <v>532</v>
      </c>
      <c r="E1" s="31" t="s">
        <v>533</v>
      </c>
      <c r="F1" s="31" t="s">
        <v>536</v>
      </c>
      <c r="G1" s="31" t="s">
        <v>537</v>
      </c>
    </row>
    <row r="2" spans="1:7" ht="21.95" customHeight="1" x14ac:dyDescent="0.4">
      <c r="A2" s="32" t="s">
        <v>31</v>
      </c>
      <c r="B2" s="32">
        <f>COUNTIF(進捗管理!C:C,A2)</f>
        <v>1</v>
      </c>
      <c r="C2" s="32">
        <f>COUNTIFS(進捗管理!C:C,A2,進捗管理!L:L,"完了")</f>
        <v>0</v>
      </c>
      <c r="D2" s="32">
        <f>COUNTIFS(進捗管理!C:C,A2,進捗管理!O:O,"完了")</f>
        <v>0</v>
      </c>
      <c r="E2" s="32">
        <f>COUNTIFS(進捗管理!C:C,A2,進捗管理!P:P,"出荷済")</f>
        <v>0</v>
      </c>
      <c r="F2" s="33">
        <f t="shared" ref="F2:F33" si="0">IF(B2=0,"",D2/B2)</f>
        <v>0</v>
      </c>
      <c r="G2" s="34" t="str">
        <f ca="1">IFERROR(MAXIFS(進捗管理!I:I,進捗管理!C:C,A2),"")</f>
        <v/>
      </c>
    </row>
    <row r="3" spans="1:7" ht="21.95" customHeight="1" x14ac:dyDescent="0.4">
      <c r="A3" s="35" t="s">
        <v>34</v>
      </c>
      <c r="B3" s="35">
        <f>COUNTIF(進捗管理!C:C,A3)</f>
        <v>1</v>
      </c>
      <c r="C3" s="35">
        <f>COUNTIFS(進捗管理!C:C,A3,進捗管理!L:L,"完了")</f>
        <v>0</v>
      </c>
      <c r="D3" s="35">
        <f>COUNTIFS(進捗管理!C:C,A3,進捗管理!O:O,"完了")</f>
        <v>0</v>
      </c>
      <c r="E3" s="35">
        <f>COUNTIFS(進捗管理!C:C,A3,進捗管理!P:P,"出荷済")</f>
        <v>0</v>
      </c>
      <c r="F3" s="36">
        <f t="shared" si="0"/>
        <v>0</v>
      </c>
      <c r="G3" s="37" t="str">
        <f ca="1">IFERROR(MAXIFS(進捗管理!I:I,進捗管理!C:C,A3),"")</f>
        <v/>
      </c>
    </row>
    <row r="4" spans="1:7" ht="21.95" customHeight="1" x14ac:dyDescent="0.4">
      <c r="A4" s="32" t="s">
        <v>36</v>
      </c>
      <c r="B4" s="32">
        <f>COUNTIF(進捗管理!C:C,A4)</f>
        <v>6</v>
      </c>
      <c r="C4" s="32">
        <f>COUNTIFS(進捗管理!C:C,A4,進捗管理!L:L,"完了")</f>
        <v>4</v>
      </c>
      <c r="D4" s="32">
        <f>COUNTIFS(進捗管理!C:C,A4,進捗管理!O:O,"完了")</f>
        <v>4</v>
      </c>
      <c r="E4" s="32">
        <f>COUNTIFS(進捗管理!C:C,A4,進捗管理!P:P,"出荷済")</f>
        <v>0</v>
      </c>
      <c r="F4" s="33">
        <f t="shared" si="0"/>
        <v>0.66666666666666663</v>
      </c>
      <c r="G4" s="34" t="str">
        <f ca="1">IFERROR(MAXIFS(進捗管理!I:I,進捗管理!C:C,A4),"")</f>
        <v/>
      </c>
    </row>
    <row r="5" spans="1:7" ht="21.95" customHeight="1" x14ac:dyDescent="0.4">
      <c r="A5" s="35" t="s">
        <v>40</v>
      </c>
      <c r="B5" s="35">
        <f>COUNTIF(進捗管理!C:C,A5)</f>
        <v>1</v>
      </c>
      <c r="C5" s="35">
        <f>COUNTIFS(進捗管理!C:C,A5,進捗管理!L:L,"完了")</f>
        <v>1</v>
      </c>
      <c r="D5" s="35">
        <f>COUNTIFS(進捗管理!C:C,A5,進捗管理!O:O,"完了")</f>
        <v>1</v>
      </c>
      <c r="E5" s="35">
        <f>COUNTIFS(進捗管理!C:C,A5,進捗管理!P:P,"出荷済")</f>
        <v>0</v>
      </c>
      <c r="F5" s="36">
        <f t="shared" si="0"/>
        <v>1</v>
      </c>
      <c r="G5" s="37" t="str">
        <f ca="1">IFERROR(MAXIFS(進捗管理!I:I,進捗管理!C:C,A5),"")</f>
        <v/>
      </c>
    </row>
    <row r="6" spans="1:7" ht="21.95" customHeight="1" x14ac:dyDescent="0.4">
      <c r="A6" s="32" t="s">
        <v>43</v>
      </c>
      <c r="B6" s="32">
        <f>COUNTIF(進捗管理!C:C,A6)</f>
        <v>1</v>
      </c>
      <c r="C6" s="32">
        <f>COUNTIFS(進捗管理!C:C,A6,進捗管理!L:L,"完了")</f>
        <v>1</v>
      </c>
      <c r="D6" s="32">
        <f>COUNTIFS(進捗管理!C:C,A6,進捗管理!O:O,"完了")</f>
        <v>1</v>
      </c>
      <c r="E6" s="32">
        <f>COUNTIFS(進捗管理!C:C,A6,進捗管理!P:P,"出荷済")</f>
        <v>0</v>
      </c>
      <c r="F6" s="33">
        <f t="shared" si="0"/>
        <v>1</v>
      </c>
      <c r="G6" s="34" t="str">
        <f ca="1">IFERROR(MAXIFS(進捗管理!I:I,進捗管理!C:C,A6),"")</f>
        <v/>
      </c>
    </row>
    <row r="7" spans="1:7" ht="21.95" customHeight="1" x14ac:dyDescent="0.4">
      <c r="A7" s="35" t="s">
        <v>45</v>
      </c>
      <c r="B7" s="35">
        <f>COUNTIF(進捗管理!C:C,A7)</f>
        <v>1</v>
      </c>
      <c r="C7" s="35">
        <f>COUNTIFS(進捗管理!C:C,A7,進捗管理!L:L,"完了")</f>
        <v>1</v>
      </c>
      <c r="D7" s="35">
        <f>COUNTIFS(進捗管理!C:C,A7,進捗管理!O:O,"完了")</f>
        <v>1</v>
      </c>
      <c r="E7" s="35">
        <f>COUNTIFS(進捗管理!C:C,A7,進捗管理!P:P,"出荷済")</f>
        <v>0</v>
      </c>
      <c r="F7" s="36">
        <f t="shared" si="0"/>
        <v>1</v>
      </c>
      <c r="G7" s="37" t="str">
        <f ca="1">IFERROR(MAXIFS(進捗管理!I:I,進捗管理!C:C,A7),"")</f>
        <v/>
      </c>
    </row>
    <row r="8" spans="1:7" ht="21.95" customHeight="1" x14ac:dyDescent="0.4">
      <c r="A8" s="32" t="s">
        <v>46</v>
      </c>
      <c r="B8" s="32">
        <f>COUNTIF(進捗管理!C:C,A8)</f>
        <v>2</v>
      </c>
      <c r="C8" s="32">
        <f>COUNTIFS(進捗管理!C:C,A8,進捗管理!L:L,"完了")</f>
        <v>1</v>
      </c>
      <c r="D8" s="32">
        <f>COUNTIFS(進捗管理!C:C,A8,進捗管理!O:O,"完了")</f>
        <v>1</v>
      </c>
      <c r="E8" s="32">
        <f>COUNTIFS(進捗管理!C:C,A8,進捗管理!P:P,"出荷済")</f>
        <v>1</v>
      </c>
      <c r="F8" s="33">
        <f t="shared" si="0"/>
        <v>0.5</v>
      </c>
      <c r="G8" s="34" t="str">
        <f ca="1">IFERROR(MAXIFS(進捗管理!I:I,進捗管理!C:C,A8),"")</f>
        <v/>
      </c>
    </row>
    <row r="9" spans="1:7" ht="21.95" customHeight="1" x14ac:dyDescent="0.4">
      <c r="A9" s="35" t="s">
        <v>49</v>
      </c>
      <c r="B9" s="35">
        <f>COUNTIF(進捗管理!C:C,A9)</f>
        <v>1</v>
      </c>
      <c r="C9" s="35">
        <f>COUNTIFS(進捗管理!C:C,A9,進捗管理!L:L,"完了")</f>
        <v>1</v>
      </c>
      <c r="D9" s="35">
        <f>COUNTIFS(進捗管理!C:C,A9,進捗管理!O:O,"完了")</f>
        <v>1</v>
      </c>
      <c r="E9" s="35">
        <f>COUNTIFS(進捗管理!C:C,A9,進捗管理!P:P,"出荷済")</f>
        <v>1</v>
      </c>
      <c r="F9" s="36">
        <f t="shared" si="0"/>
        <v>1</v>
      </c>
      <c r="G9" s="37" t="str">
        <f ca="1">IFERROR(MAXIFS(進捗管理!I:I,進捗管理!C:C,A9),"")</f>
        <v/>
      </c>
    </row>
    <row r="10" spans="1:7" ht="21.95" customHeight="1" x14ac:dyDescent="0.4">
      <c r="A10" s="32" t="s">
        <v>52</v>
      </c>
      <c r="B10" s="32">
        <f>COUNTIF(進捗管理!C:C,A10)</f>
        <v>2</v>
      </c>
      <c r="C10" s="32">
        <f>COUNTIFS(進捗管理!C:C,A10,進捗管理!L:L,"完了")</f>
        <v>2</v>
      </c>
      <c r="D10" s="32">
        <f>COUNTIFS(進捗管理!C:C,A10,進捗管理!O:O,"完了")</f>
        <v>2</v>
      </c>
      <c r="E10" s="32">
        <f>COUNTIFS(進捗管理!C:C,A10,進捗管理!P:P,"出荷済")</f>
        <v>1</v>
      </c>
      <c r="F10" s="33">
        <f t="shared" si="0"/>
        <v>1</v>
      </c>
      <c r="G10" s="34" t="str">
        <f ca="1">IFERROR(MAXIFS(進捗管理!I:I,進捗管理!C:C,A10),"")</f>
        <v/>
      </c>
    </row>
    <row r="11" spans="1:7" ht="21.95" customHeight="1" x14ac:dyDescent="0.4">
      <c r="A11" s="35" t="s">
        <v>55</v>
      </c>
      <c r="B11" s="35">
        <f>COUNTIF(進捗管理!C:C,A11)</f>
        <v>1</v>
      </c>
      <c r="C11" s="35">
        <f>COUNTIFS(進捗管理!C:C,A11,進捗管理!L:L,"完了")</f>
        <v>1</v>
      </c>
      <c r="D11" s="35">
        <f>COUNTIFS(進捗管理!C:C,A11,進捗管理!O:O,"完了")</f>
        <v>1</v>
      </c>
      <c r="E11" s="35">
        <f>COUNTIFS(進捗管理!C:C,A11,進捗管理!P:P,"出荷済")</f>
        <v>0</v>
      </c>
      <c r="F11" s="36">
        <f t="shared" si="0"/>
        <v>1</v>
      </c>
      <c r="G11" s="37" t="str">
        <f ca="1">IFERROR(MAXIFS(進捗管理!I:I,進捗管理!C:C,A11),"")</f>
        <v/>
      </c>
    </row>
    <row r="12" spans="1:7" ht="21.95" customHeight="1" x14ac:dyDescent="0.4">
      <c r="A12" s="32" t="s">
        <v>57</v>
      </c>
      <c r="B12" s="32">
        <f>COUNTIF(進捗管理!C:C,A12)</f>
        <v>1</v>
      </c>
      <c r="C12" s="32">
        <f>COUNTIFS(進捗管理!C:C,A12,進捗管理!L:L,"完了")</f>
        <v>0</v>
      </c>
      <c r="D12" s="32">
        <f>COUNTIFS(進捗管理!C:C,A12,進捗管理!O:O,"完了")</f>
        <v>0</v>
      </c>
      <c r="E12" s="32">
        <f>COUNTIFS(進捗管理!C:C,A12,進捗管理!P:P,"出荷済")</f>
        <v>0</v>
      </c>
      <c r="F12" s="33">
        <f t="shared" si="0"/>
        <v>0</v>
      </c>
      <c r="G12" s="34" t="str">
        <f ca="1">IFERROR(MAXIFS(進捗管理!I:I,進捗管理!C:C,A12),"")</f>
        <v/>
      </c>
    </row>
    <row r="13" spans="1:7" ht="21.95" customHeight="1" x14ac:dyDescent="0.4">
      <c r="A13" s="35" t="s">
        <v>60</v>
      </c>
      <c r="B13" s="35">
        <f>COUNTIF(進捗管理!C:C,A13)</f>
        <v>6</v>
      </c>
      <c r="C13" s="35">
        <f>COUNTIFS(進捗管理!C:C,A13,進捗管理!L:L,"完了")</f>
        <v>5</v>
      </c>
      <c r="D13" s="35">
        <f>COUNTIFS(進捗管理!C:C,A13,進捗管理!O:O,"完了")</f>
        <v>5</v>
      </c>
      <c r="E13" s="35">
        <f>COUNTIFS(進捗管理!C:C,A13,進捗管理!P:P,"出荷済")</f>
        <v>0</v>
      </c>
      <c r="F13" s="36">
        <f t="shared" si="0"/>
        <v>0.83333333333333337</v>
      </c>
      <c r="G13" s="37" t="str">
        <f ca="1">IFERROR(MAXIFS(進捗管理!I:I,進捗管理!C:C,A13),"")</f>
        <v/>
      </c>
    </row>
    <row r="14" spans="1:7" ht="21.95" customHeight="1" x14ac:dyDescent="0.4">
      <c r="A14" s="32" t="s">
        <v>68</v>
      </c>
      <c r="B14" s="32">
        <f>COUNTIF(進捗管理!C:C,A14)</f>
        <v>1</v>
      </c>
      <c r="C14" s="32">
        <f>COUNTIFS(進捗管理!C:C,A14,進捗管理!L:L,"完了")</f>
        <v>1</v>
      </c>
      <c r="D14" s="32">
        <f>COUNTIFS(進捗管理!C:C,A14,進捗管理!O:O,"完了")</f>
        <v>1</v>
      </c>
      <c r="E14" s="32">
        <f>COUNTIFS(進捗管理!C:C,A14,進捗管理!P:P,"出荷済")</f>
        <v>1</v>
      </c>
      <c r="F14" s="33">
        <f t="shared" si="0"/>
        <v>1</v>
      </c>
      <c r="G14" s="34" t="str">
        <f ca="1">IFERROR(MAXIFS(進捗管理!I:I,進捗管理!C:C,A14),"")</f>
        <v/>
      </c>
    </row>
    <row r="15" spans="1:7" ht="21.95" customHeight="1" x14ac:dyDescent="0.4">
      <c r="A15" s="35" t="s">
        <v>71</v>
      </c>
      <c r="B15" s="35">
        <f>COUNTIF(進捗管理!C:C,A15)</f>
        <v>3</v>
      </c>
      <c r="C15" s="35">
        <f>COUNTIFS(進捗管理!C:C,A15,進捗管理!L:L,"完了")</f>
        <v>0</v>
      </c>
      <c r="D15" s="35">
        <f>COUNTIFS(進捗管理!C:C,A15,進捗管理!O:O,"完了")</f>
        <v>0</v>
      </c>
      <c r="E15" s="35">
        <f>COUNTIFS(進捗管理!C:C,A15,進捗管理!P:P,"出荷済")</f>
        <v>0</v>
      </c>
      <c r="F15" s="36">
        <f t="shared" si="0"/>
        <v>0</v>
      </c>
      <c r="G15" s="37" t="str">
        <f ca="1">IFERROR(MAXIFS(進捗管理!I:I,進捗管理!C:C,A15),"")</f>
        <v/>
      </c>
    </row>
    <row r="16" spans="1:7" ht="21.95" customHeight="1" x14ac:dyDescent="0.4">
      <c r="A16" s="32" t="s">
        <v>75</v>
      </c>
      <c r="B16" s="32">
        <f>COUNTIF(進捗管理!C:C,A16)</f>
        <v>1</v>
      </c>
      <c r="C16" s="32">
        <f>COUNTIFS(進捗管理!C:C,A16,進捗管理!L:L,"完了")</f>
        <v>0</v>
      </c>
      <c r="D16" s="32">
        <f>COUNTIFS(進捗管理!C:C,A16,進捗管理!O:O,"完了")</f>
        <v>0</v>
      </c>
      <c r="E16" s="32">
        <f>COUNTIFS(進捗管理!C:C,A16,進捗管理!P:P,"出荷済")</f>
        <v>0</v>
      </c>
      <c r="F16" s="33">
        <f t="shared" si="0"/>
        <v>0</v>
      </c>
      <c r="G16" s="34" t="str">
        <f ca="1">IFERROR(MAXIFS(進捗管理!I:I,進捗管理!C:C,A16),"")</f>
        <v/>
      </c>
    </row>
    <row r="17" spans="1:7" ht="21.95" customHeight="1" x14ac:dyDescent="0.4">
      <c r="A17" s="35" t="s">
        <v>78</v>
      </c>
      <c r="B17" s="35">
        <f>COUNTIF(進捗管理!C:C,A17)</f>
        <v>1</v>
      </c>
      <c r="C17" s="35">
        <f>COUNTIFS(進捗管理!C:C,A17,進捗管理!L:L,"完了")</f>
        <v>0</v>
      </c>
      <c r="D17" s="35">
        <f>COUNTIFS(進捗管理!C:C,A17,進捗管理!O:O,"完了")</f>
        <v>0</v>
      </c>
      <c r="E17" s="35">
        <f>COUNTIFS(進捗管理!C:C,A17,進捗管理!P:P,"出荷済")</f>
        <v>0</v>
      </c>
      <c r="F17" s="36">
        <f t="shared" si="0"/>
        <v>0</v>
      </c>
      <c r="G17" s="37" t="str">
        <f ca="1">IFERROR(MAXIFS(進捗管理!I:I,進捗管理!C:C,A17),"")</f>
        <v/>
      </c>
    </row>
    <row r="18" spans="1:7" ht="21.95" customHeight="1" x14ac:dyDescent="0.4">
      <c r="A18" s="32" t="s">
        <v>80</v>
      </c>
      <c r="B18" s="32">
        <f>COUNTIF(進捗管理!C:C,A18)</f>
        <v>1</v>
      </c>
      <c r="C18" s="32">
        <f>COUNTIFS(進捗管理!C:C,A18,進捗管理!L:L,"完了")</f>
        <v>1</v>
      </c>
      <c r="D18" s="32">
        <f>COUNTIFS(進捗管理!C:C,A18,進捗管理!O:O,"完了")</f>
        <v>1</v>
      </c>
      <c r="E18" s="32">
        <f>COUNTIFS(進捗管理!C:C,A18,進捗管理!P:P,"出荷済")</f>
        <v>1</v>
      </c>
      <c r="F18" s="33">
        <f t="shared" si="0"/>
        <v>1</v>
      </c>
      <c r="G18" s="34" t="str">
        <f ca="1">IFERROR(MAXIFS(進捗管理!I:I,進捗管理!C:C,A18),"")</f>
        <v/>
      </c>
    </row>
    <row r="19" spans="1:7" ht="21.95" customHeight="1" x14ac:dyDescent="0.4">
      <c r="A19" s="35" t="s">
        <v>81</v>
      </c>
      <c r="B19" s="35">
        <f>COUNTIF(進捗管理!C:C,A19)</f>
        <v>1</v>
      </c>
      <c r="C19" s="35">
        <f>COUNTIFS(進捗管理!C:C,A19,進捗管理!L:L,"完了")</f>
        <v>1</v>
      </c>
      <c r="D19" s="35">
        <f>COUNTIFS(進捗管理!C:C,A19,進捗管理!O:O,"完了")</f>
        <v>1</v>
      </c>
      <c r="E19" s="35">
        <f>COUNTIFS(進捗管理!C:C,A19,進捗管理!P:P,"出荷済")</f>
        <v>1</v>
      </c>
      <c r="F19" s="36">
        <f t="shared" si="0"/>
        <v>1</v>
      </c>
      <c r="G19" s="37" t="str">
        <f ca="1">IFERROR(MAXIFS(進捗管理!I:I,進捗管理!C:C,A19),"")</f>
        <v/>
      </c>
    </row>
    <row r="20" spans="1:7" ht="21.95" customHeight="1" x14ac:dyDescent="0.4">
      <c r="A20" s="32" t="s">
        <v>82</v>
      </c>
      <c r="B20" s="32">
        <f>COUNTIF(進捗管理!C:C,A20)</f>
        <v>1</v>
      </c>
      <c r="C20" s="32">
        <f>COUNTIFS(進捗管理!C:C,A20,進捗管理!L:L,"完了")</f>
        <v>0</v>
      </c>
      <c r="D20" s="32">
        <f>COUNTIFS(進捗管理!C:C,A20,進捗管理!O:O,"完了")</f>
        <v>0</v>
      </c>
      <c r="E20" s="32">
        <f>COUNTIFS(進捗管理!C:C,A20,進捗管理!P:P,"出荷済")</f>
        <v>0</v>
      </c>
      <c r="F20" s="33">
        <f t="shared" si="0"/>
        <v>0</v>
      </c>
      <c r="G20" s="34" t="str">
        <f ca="1">IFERROR(MAXIFS(進捗管理!I:I,進捗管理!C:C,A20),"")</f>
        <v/>
      </c>
    </row>
    <row r="21" spans="1:7" ht="21.95" customHeight="1" x14ac:dyDescent="0.4">
      <c r="A21" s="35" t="s">
        <v>83</v>
      </c>
      <c r="B21" s="35">
        <f>COUNTIF(進捗管理!C:C,A21)</f>
        <v>1</v>
      </c>
      <c r="C21" s="35">
        <f>COUNTIFS(進捗管理!C:C,A21,進捗管理!L:L,"完了")</f>
        <v>0</v>
      </c>
      <c r="D21" s="35">
        <f>COUNTIFS(進捗管理!C:C,A21,進捗管理!O:O,"完了")</f>
        <v>0</v>
      </c>
      <c r="E21" s="35">
        <f>COUNTIFS(進捗管理!C:C,A21,進捗管理!P:P,"出荷済")</f>
        <v>0</v>
      </c>
      <c r="F21" s="36">
        <f t="shared" si="0"/>
        <v>0</v>
      </c>
      <c r="G21" s="37" t="str">
        <f ca="1">IFERROR(MAXIFS(進捗管理!I:I,進捗管理!C:C,A21),"")</f>
        <v/>
      </c>
    </row>
    <row r="22" spans="1:7" ht="21.95" customHeight="1" x14ac:dyDescent="0.4">
      <c r="A22" s="32" t="s">
        <v>84</v>
      </c>
      <c r="B22" s="32">
        <f>COUNTIF(進捗管理!C:C,A22)</f>
        <v>1</v>
      </c>
      <c r="C22" s="32">
        <f>COUNTIFS(進捗管理!C:C,A22,進捗管理!L:L,"完了")</f>
        <v>1</v>
      </c>
      <c r="D22" s="32">
        <f>COUNTIFS(進捗管理!C:C,A22,進捗管理!O:O,"完了")</f>
        <v>1</v>
      </c>
      <c r="E22" s="32">
        <f>COUNTIFS(進捗管理!C:C,A22,進捗管理!P:P,"出荷済")</f>
        <v>1</v>
      </c>
      <c r="F22" s="33">
        <f t="shared" si="0"/>
        <v>1</v>
      </c>
      <c r="G22" s="34" t="str">
        <f ca="1">IFERROR(MAXIFS(進捗管理!I:I,進捗管理!C:C,A22),"")</f>
        <v/>
      </c>
    </row>
    <row r="23" spans="1:7" ht="21.95" customHeight="1" x14ac:dyDescent="0.4">
      <c r="A23" s="35" t="s">
        <v>85</v>
      </c>
      <c r="B23" s="35">
        <f>COUNTIF(進捗管理!C:C,A23)</f>
        <v>3</v>
      </c>
      <c r="C23" s="35">
        <f>COUNTIFS(進捗管理!C:C,A23,進捗管理!L:L,"完了")</f>
        <v>3</v>
      </c>
      <c r="D23" s="35">
        <f>COUNTIFS(進捗管理!C:C,A23,進捗管理!O:O,"完了")</f>
        <v>3</v>
      </c>
      <c r="E23" s="35">
        <f>COUNTIFS(進捗管理!C:C,A23,進捗管理!P:P,"出荷済")</f>
        <v>0</v>
      </c>
      <c r="F23" s="36">
        <f t="shared" si="0"/>
        <v>1</v>
      </c>
      <c r="G23" s="37" t="str">
        <f ca="1">IFERROR(MAXIFS(進捗管理!I:I,進捗管理!C:C,A23),"")</f>
        <v/>
      </c>
    </row>
    <row r="24" spans="1:7" ht="21.95" customHeight="1" x14ac:dyDescent="0.4">
      <c r="A24" s="32" t="s">
        <v>87</v>
      </c>
      <c r="B24" s="32">
        <f>COUNTIF(進捗管理!C:C,A24)</f>
        <v>1</v>
      </c>
      <c r="C24" s="32">
        <f>COUNTIFS(進捗管理!C:C,A24,進捗管理!L:L,"完了")</f>
        <v>1</v>
      </c>
      <c r="D24" s="32">
        <f>COUNTIFS(進捗管理!C:C,A24,進捗管理!O:O,"完了")</f>
        <v>1</v>
      </c>
      <c r="E24" s="32">
        <f>COUNTIFS(進捗管理!C:C,A24,進捗管理!P:P,"出荷済")</f>
        <v>1</v>
      </c>
      <c r="F24" s="33">
        <f t="shared" si="0"/>
        <v>1</v>
      </c>
      <c r="G24" s="34" t="str">
        <f ca="1">IFERROR(MAXIFS(進捗管理!I:I,進捗管理!C:C,A24),"")</f>
        <v/>
      </c>
    </row>
    <row r="25" spans="1:7" ht="21.95" customHeight="1" x14ac:dyDescent="0.4">
      <c r="A25" s="35" t="s">
        <v>89</v>
      </c>
      <c r="B25" s="35">
        <f>COUNTIF(進捗管理!C:C,A25)</f>
        <v>3</v>
      </c>
      <c r="C25" s="35">
        <f>COUNTIFS(進捗管理!C:C,A25,進捗管理!L:L,"完了")</f>
        <v>3</v>
      </c>
      <c r="D25" s="35">
        <f>COUNTIFS(進捗管理!C:C,A25,進捗管理!O:O,"完了")</f>
        <v>3</v>
      </c>
      <c r="E25" s="35">
        <f>COUNTIFS(進捗管理!C:C,A25,進捗管理!P:P,"出荷済")</f>
        <v>1</v>
      </c>
      <c r="F25" s="36">
        <f t="shared" si="0"/>
        <v>1</v>
      </c>
      <c r="G25" s="37" t="str">
        <f ca="1">IFERROR(MAXIFS(進捗管理!I:I,進捗管理!C:C,A25),"")</f>
        <v/>
      </c>
    </row>
    <row r="26" spans="1:7" ht="21.95" customHeight="1" x14ac:dyDescent="0.4">
      <c r="A26" s="32" t="s">
        <v>91</v>
      </c>
      <c r="B26" s="32">
        <f>COUNTIF(進捗管理!C:C,A26)</f>
        <v>1</v>
      </c>
      <c r="C26" s="32">
        <f>COUNTIFS(進捗管理!C:C,A26,進捗管理!L:L,"完了")</f>
        <v>1</v>
      </c>
      <c r="D26" s="32">
        <f>COUNTIFS(進捗管理!C:C,A26,進捗管理!O:O,"完了")</f>
        <v>1</v>
      </c>
      <c r="E26" s="32">
        <f>COUNTIFS(進捗管理!C:C,A26,進捗管理!P:P,"出荷済")</f>
        <v>1</v>
      </c>
      <c r="F26" s="33">
        <f t="shared" si="0"/>
        <v>1</v>
      </c>
      <c r="G26" s="34" t="str">
        <f ca="1">IFERROR(MAXIFS(進捗管理!I:I,進捗管理!C:C,A26),"")</f>
        <v/>
      </c>
    </row>
    <row r="27" spans="1:7" ht="21.95" customHeight="1" x14ac:dyDescent="0.4">
      <c r="A27" s="35" t="s">
        <v>92</v>
      </c>
      <c r="B27" s="35">
        <f>COUNTIF(進捗管理!C:C,A27)</f>
        <v>3</v>
      </c>
      <c r="C27" s="35">
        <f>COUNTIFS(進捗管理!C:C,A27,進捗管理!L:L,"完了")</f>
        <v>3</v>
      </c>
      <c r="D27" s="35">
        <f>COUNTIFS(進捗管理!C:C,A27,進捗管理!O:O,"完了")</f>
        <v>3</v>
      </c>
      <c r="E27" s="35">
        <f>COUNTIFS(進捗管理!C:C,A27,進捗管理!P:P,"出荷済")</f>
        <v>0</v>
      </c>
      <c r="F27" s="36">
        <f t="shared" si="0"/>
        <v>1</v>
      </c>
      <c r="G27" s="37" t="str">
        <f ca="1">IFERROR(MAXIFS(進捗管理!I:I,進捗管理!C:C,A27),"")</f>
        <v/>
      </c>
    </row>
    <row r="28" spans="1:7" ht="21.95" customHeight="1" x14ac:dyDescent="0.4">
      <c r="A28" s="32" t="s">
        <v>93</v>
      </c>
      <c r="B28" s="32">
        <f>COUNTIF(進捗管理!C:C,A28)</f>
        <v>3</v>
      </c>
      <c r="C28" s="32">
        <f>COUNTIFS(進捗管理!C:C,A28,進捗管理!L:L,"完了")</f>
        <v>3</v>
      </c>
      <c r="D28" s="32">
        <f>COUNTIFS(進捗管理!C:C,A28,進捗管理!O:O,"完了")</f>
        <v>3</v>
      </c>
      <c r="E28" s="32">
        <f>COUNTIFS(進捗管理!C:C,A28,進捗管理!P:P,"出荷済")</f>
        <v>0</v>
      </c>
      <c r="F28" s="33">
        <f t="shared" si="0"/>
        <v>1</v>
      </c>
      <c r="G28" s="34" t="str">
        <f ca="1">IFERROR(MAXIFS(進捗管理!I:I,進捗管理!C:C,A28),"")</f>
        <v/>
      </c>
    </row>
    <row r="29" spans="1:7" ht="21.95" customHeight="1" x14ac:dyDescent="0.4">
      <c r="A29" s="35" t="s">
        <v>94</v>
      </c>
      <c r="B29" s="35">
        <f>COUNTIF(進捗管理!C:C,A29)</f>
        <v>2</v>
      </c>
      <c r="C29" s="35">
        <f>COUNTIFS(進捗管理!C:C,A29,進捗管理!L:L,"完了")</f>
        <v>2</v>
      </c>
      <c r="D29" s="35">
        <f>COUNTIFS(進捗管理!C:C,A29,進捗管理!O:O,"完了")</f>
        <v>2</v>
      </c>
      <c r="E29" s="35">
        <f>COUNTIFS(進捗管理!C:C,A29,進捗管理!P:P,"出荷済")</f>
        <v>0</v>
      </c>
      <c r="F29" s="36">
        <f t="shared" si="0"/>
        <v>1</v>
      </c>
      <c r="G29" s="37" t="str">
        <f ca="1">IFERROR(MAXIFS(進捗管理!I:I,進捗管理!C:C,A29),"")</f>
        <v/>
      </c>
    </row>
    <row r="30" spans="1:7" ht="21.95" customHeight="1" x14ac:dyDescent="0.4">
      <c r="A30" s="32" t="s">
        <v>97</v>
      </c>
      <c r="B30" s="32">
        <f>COUNTIF(進捗管理!C:C,A30)</f>
        <v>1</v>
      </c>
      <c r="C30" s="32">
        <f>COUNTIFS(進捗管理!C:C,A30,進捗管理!L:L,"完了")</f>
        <v>0</v>
      </c>
      <c r="D30" s="32">
        <f>COUNTIFS(進捗管理!C:C,A30,進捗管理!O:O,"完了")</f>
        <v>0</v>
      </c>
      <c r="E30" s="32">
        <f>COUNTIFS(進捗管理!C:C,A30,進捗管理!P:P,"出荷済")</f>
        <v>0</v>
      </c>
      <c r="F30" s="33">
        <f t="shared" si="0"/>
        <v>0</v>
      </c>
      <c r="G30" s="34" t="str">
        <f ca="1">IFERROR(MAXIFS(進捗管理!I:I,進捗管理!C:C,A30),"")</f>
        <v/>
      </c>
    </row>
    <row r="31" spans="1:7" ht="21.95" customHeight="1" x14ac:dyDescent="0.4">
      <c r="A31" s="35" t="s">
        <v>100</v>
      </c>
      <c r="B31" s="35">
        <f>COUNTIF(進捗管理!C:C,A31)</f>
        <v>2</v>
      </c>
      <c r="C31" s="35">
        <f>COUNTIFS(進捗管理!C:C,A31,進捗管理!L:L,"完了")</f>
        <v>2</v>
      </c>
      <c r="D31" s="35">
        <f>COUNTIFS(進捗管理!C:C,A31,進捗管理!O:O,"完了")</f>
        <v>2</v>
      </c>
      <c r="E31" s="35">
        <f>COUNTIFS(進捗管理!C:C,A31,進捗管理!P:P,"出荷済")</f>
        <v>2</v>
      </c>
      <c r="F31" s="36">
        <f t="shared" si="0"/>
        <v>1</v>
      </c>
      <c r="G31" s="37" t="str">
        <f ca="1">IFERROR(MAXIFS(進捗管理!I:I,進捗管理!C:C,A31),"")</f>
        <v/>
      </c>
    </row>
    <row r="32" spans="1:7" ht="21.95" customHeight="1" x14ac:dyDescent="0.4">
      <c r="A32" s="32" t="s">
        <v>103</v>
      </c>
      <c r="B32" s="32">
        <f>COUNTIF(進捗管理!C:C,A32)</f>
        <v>2</v>
      </c>
      <c r="C32" s="32">
        <f>COUNTIFS(進捗管理!C:C,A32,進捗管理!L:L,"完了")</f>
        <v>2</v>
      </c>
      <c r="D32" s="32">
        <f>COUNTIFS(進捗管理!C:C,A32,進捗管理!O:O,"完了")</f>
        <v>2</v>
      </c>
      <c r="E32" s="32">
        <f>COUNTIFS(進捗管理!C:C,A32,進捗管理!P:P,"出荷済")</f>
        <v>2</v>
      </c>
      <c r="F32" s="33">
        <f t="shared" si="0"/>
        <v>1</v>
      </c>
      <c r="G32" s="34" t="str">
        <f ca="1">IFERROR(MAXIFS(進捗管理!I:I,進捗管理!C:C,A32),"")</f>
        <v/>
      </c>
    </row>
    <row r="33" spans="1:7" ht="21.95" customHeight="1" x14ac:dyDescent="0.4">
      <c r="A33" s="35" t="s">
        <v>104</v>
      </c>
      <c r="B33" s="35">
        <f>COUNTIF(進捗管理!C:C,A33)</f>
        <v>2</v>
      </c>
      <c r="C33" s="35">
        <f>COUNTIFS(進捗管理!C:C,A33,進捗管理!L:L,"完了")</f>
        <v>2</v>
      </c>
      <c r="D33" s="35">
        <f>COUNTIFS(進捗管理!C:C,A33,進捗管理!O:O,"完了")</f>
        <v>2</v>
      </c>
      <c r="E33" s="35">
        <f>COUNTIFS(進捗管理!C:C,A33,進捗管理!P:P,"出荷済")</f>
        <v>2</v>
      </c>
      <c r="F33" s="36">
        <f t="shared" si="0"/>
        <v>1</v>
      </c>
      <c r="G33" s="37" t="str">
        <f ca="1">IFERROR(MAXIFS(進捗管理!I:I,進捗管理!C:C,A33),"")</f>
        <v/>
      </c>
    </row>
    <row r="34" spans="1:7" ht="21.95" customHeight="1" x14ac:dyDescent="0.4">
      <c r="A34" s="32" t="s">
        <v>108</v>
      </c>
      <c r="B34" s="32">
        <f>COUNTIF(進捗管理!C:C,A34)</f>
        <v>1</v>
      </c>
      <c r="C34" s="32">
        <f>COUNTIFS(進捗管理!C:C,A34,進捗管理!L:L,"完了")</f>
        <v>0</v>
      </c>
      <c r="D34" s="32">
        <f>COUNTIFS(進捗管理!C:C,A34,進捗管理!O:O,"完了")</f>
        <v>0</v>
      </c>
      <c r="E34" s="32">
        <f>COUNTIFS(進捗管理!C:C,A34,進捗管理!P:P,"出荷済")</f>
        <v>0</v>
      </c>
      <c r="F34" s="33">
        <f t="shared" ref="F34:F65" si="1">IF(B34=0,"",D34/B34)</f>
        <v>0</v>
      </c>
      <c r="G34" s="34" t="str">
        <f ca="1">IFERROR(MAXIFS(進捗管理!I:I,進捗管理!C:C,A34),"")</f>
        <v/>
      </c>
    </row>
    <row r="35" spans="1:7" ht="21.95" customHeight="1" x14ac:dyDescent="0.4">
      <c r="A35" s="35" t="s">
        <v>109</v>
      </c>
      <c r="B35" s="35">
        <f>COUNTIF(進捗管理!C:C,A35)</f>
        <v>1</v>
      </c>
      <c r="C35" s="35">
        <f>COUNTIFS(進捗管理!C:C,A35,進捗管理!L:L,"完了")</f>
        <v>0</v>
      </c>
      <c r="D35" s="35">
        <f>COUNTIFS(進捗管理!C:C,A35,進捗管理!O:O,"完了")</f>
        <v>0</v>
      </c>
      <c r="E35" s="35">
        <f>COUNTIFS(進捗管理!C:C,A35,進捗管理!P:P,"出荷済")</f>
        <v>0</v>
      </c>
      <c r="F35" s="36">
        <f t="shared" si="1"/>
        <v>0</v>
      </c>
      <c r="G35" s="37" t="str">
        <f ca="1">IFERROR(MAXIFS(進捗管理!I:I,進捗管理!C:C,A35),"")</f>
        <v/>
      </c>
    </row>
    <row r="36" spans="1:7" ht="21.95" customHeight="1" x14ac:dyDescent="0.4">
      <c r="A36" s="32" t="s">
        <v>112</v>
      </c>
      <c r="B36" s="32">
        <f>COUNTIF(進捗管理!C:C,A36)</f>
        <v>4</v>
      </c>
      <c r="C36" s="32">
        <f>COUNTIFS(進捗管理!C:C,A36,進捗管理!L:L,"完了")</f>
        <v>3</v>
      </c>
      <c r="D36" s="32">
        <f>COUNTIFS(進捗管理!C:C,A36,進捗管理!O:O,"完了")</f>
        <v>3</v>
      </c>
      <c r="E36" s="32">
        <f>COUNTIFS(進捗管理!C:C,A36,進捗管理!P:P,"出荷済")</f>
        <v>3</v>
      </c>
      <c r="F36" s="33">
        <f t="shared" si="1"/>
        <v>0.75</v>
      </c>
      <c r="G36" s="34" t="str">
        <f ca="1">IFERROR(MAXIFS(進捗管理!I:I,進捗管理!C:C,A36),"")</f>
        <v/>
      </c>
    </row>
    <row r="37" spans="1:7" ht="21.95" customHeight="1" x14ac:dyDescent="0.4">
      <c r="A37" s="35" t="s">
        <v>116</v>
      </c>
      <c r="B37" s="35">
        <f>COUNTIF(進捗管理!C:C,A37)</f>
        <v>2</v>
      </c>
      <c r="C37" s="35">
        <f>COUNTIFS(進捗管理!C:C,A37,進捗管理!L:L,"完了")</f>
        <v>1</v>
      </c>
      <c r="D37" s="35">
        <f>COUNTIFS(進捗管理!C:C,A37,進捗管理!O:O,"完了")</f>
        <v>1</v>
      </c>
      <c r="E37" s="35">
        <f>COUNTIFS(進捗管理!C:C,A37,進捗管理!P:P,"出荷済")</f>
        <v>0</v>
      </c>
      <c r="F37" s="36">
        <f t="shared" si="1"/>
        <v>0.5</v>
      </c>
      <c r="G37" s="37" t="str">
        <f ca="1">IFERROR(MAXIFS(進捗管理!I:I,進捗管理!C:C,A37),"")</f>
        <v/>
      </c>
    </row>
    <row r="38" spans="1:7" ht="21.95" customHeight="1" x14ac:dyDescent="0.4">
      <c r="A38" s="32" t="s">
        <v>119</v>
      </c>
      <c r="B38" s="32">
        <f>COUNTIF(進捗管理!C:C,A38)</f>
        <v>2</v>
      </c>
      <c r="C38" s="32">
        <f>COUNTIFS(進捗管理!C:C,A38,進捗管理!L:L,"完了")</f>
        <v>1</v>
      </c>
      <c r="D38" s="32">
        <f>COUNTIFS(進捗管理!C:C,A38,進捗管理!O:O,"完了")</f>
        <v>1</v>
      </c>
      <c r="E38" s="32">
        <f>COUNTIFS(進捗管理!C:C,A38,進捗管理!P:P,"出荷済")</f>
        <v>0</v>
      </c>
      <c r="F38" s="33">
        <f t="shared" si="1"/>
        <v>0.5</v>
      </c>
      <c r="G38" s="34" t="str">
        <f ca="1">IFERROR(MAXIFS(進捗管理!I:I,進捗管理!C:C,A38),"")</f>
        <v/>
      </c>
    </row>
    <row r="39" spans="1:7" ht="21.95" customHeight="1" x14ac:dyDescent="0.4">
      <c r="A39" s="35" t="s">
        <v>120</v>
      </c>
      <c r="B39" s="35">
        <f>COUNTIF(進捗管理!C:C,A39)</f>
        <v>1</v>
      </c>
      <c r="C39" s="35">
        <f>COUNTIFS(進捗管理!C:C,A39,進捗管理!L:L,"完了")</f>
        <v>1</v>
      </c>
      <c r="D39" s="35">
        <f>COUNTIFS(進捗管理!C:C,A39,進捗管理!O:O,"完了")</f>
        <v>1</v>
      </c>
      <c r="E39" s="35">
        <f>COUNTIFS(進捗管理!C:C,A39,進捗管理!P:P,"出荷済")</f>
        <v>1</v>
      </c>
      <c r="F39" s="36">
        <f t="shared" si="1"/>
        <v>1</v>
      </c>
      <c r="G39" s="37" t="str">
        <f ca="1">IFERROR(MAXIFS(進捗管理!I:I,進捗管理!C:C,A39),"")</f>
        <v/>
      </c>
    </row>
    <row r="40" spans="1:7" ht="21.95" customHeight="1" x14ac:dyDescent="0.4">
      <c r="A40" s="32" t="s">
        <v>121</v>
      </c>
      <c r="B40" s="32">
        <f>COUNTIF(進捗管理!C:C,A40)</f>
        <v>1</v>
      </c>
      <c r="C40" s="32">
        <f>COUNTIFS(進捗管理!C:C,A40,進捗管理!L:L,"完了")</f>
        <v>1</v>
      </c>
      <c r="D40" s="32">
        <f>COUNTIFS(進捗管理!C:C,A40,進捗管理!O:O,"完了")</f>
        <v>1</v>
      </c>
      <c r="E40" s="32">
        <f>COUNTIFS(進捗管理!C:C,A40,進捗管理!P:P,"出荷済")</f>
        <v>1</v>
      </c>
      <c r="F40" s="33">
        <f t="shared" si="1"/>
        <v>1</v>
      </c>
      <c r="G40" s="34" t="str">
        <f ca="1">IFERROR(MAXIFS(進捗管理!I:I,進捗管理!C:C,A40),"")</f>
        <v/>
      </c>
    </row>
    <row r="41" spans="1:7" ht="21.95" customHeight="1" x14ac:dyDescent="0.4">
      <c r="A41" s="35" t="s">
        <v>123</v>
      </c>
      <c r="B41" s="35">
        <f>COUNTIF(進捗管理!C:C,A41)</f>
        <v>4</v>
      </c>
      <c r="C41" s="35">
        <f>COUNTIFS(進捗管理!C:C,A41,進捗管理!L:L,"完了")</f>
        <v>4</v>
      </c>
      <c r="D41" s="35">
        <f>COUNTIFS(進捗管理!C:C,A41,進捗管理!O:O,"完了")</f>
        <v>4</v>
      </c>
      <c r="E41" s="35">
        <f>COUNTIFS(進捗管理!C:C,A41,進捗管理!P:P,"出荷済")</f>
        <v>2</v>
      </c>
      <c r="F41" s="36">
        <f t="shared" si="1"/>
        <v>1</v>
      </c>
      <c r="G41" s="37" t="str">
        <f ca="1">IFERROR(MAXIFS(進捗管理!I:I,進捗管理!C:C,A41),"")</f>
        <v/>
      </c>
    </row>
    <row r="42" spans="1:7" ht="21.95" customHeight="1" x14ac:dyDescent="0.4">
      <c r="A42" s="32" t="s">
        <v>128</v>
      </c>
      <c r="B42" s="32">
        <f>COUNTIF(進捗管理!C:C,A42)</f>
        <v>6</v>
      </c>
      <c r="C42" s="32">
        <f>COUNTIFS(進捗管理!C:C,A42,進捗管理!L:L,"完了")</f>
        <v>6</v>
      </c>
      <c r="D42" s="32">
        <f>COUNTIFS(進捗管理!C:C,A42,進捗管理!O:O,"完了")</f>
        <v>6</v>
      </c>
      <c r="E42" s="32">
        <f>COUNTIFS(進捗管理!C:C,A42,進捗管理!P:P,"出荷済")</f>
        <v>4</v>
      </c>
      <c r="F42" s="33">
        <f t="shared" si="1"/>
        <v>1</v>
      </c>
      <c r="G42" s="34" t="str">
        <f ca="1">IFERROR(MAXIFS(進捗管理!I:I,進捗管理!C:C,A42),"")</f>
        <v/>
      </c>
    </row>
    <row r="43" spans="1:7" ht="21.95" customHeight="1" x14ac:dyDescent="0.4">
      <c r="A43" s="35" t="s">
        <v>134</v>
      </c>
      <c r="B43" s="35">
        <f>COUNTIF(進捗管理!C:C,A43)</f>
        <v>1</v>
      </c>
      <c r="C43" s="35">
        <f>COUNTIFS(進捗管理!C:C,A43,進捗管理!L:L,"完了")</f>
        <v>1</v>
      </c>
      <c r="D43" s="35">
        <f>COUNTIFS(進捗管理!C:C,A43,進捗管理!O:O,"完了")</f>
        <v>1</v>
      </c>
      <c r="E43" s="35">
        <f>COUNTIFS(進捗管理!C:C,A43,進捗管理!P:P,"出荷済")</f>
        <v>0</v>
      </c>
      <c r="F43" s="36">
        <f t="shared" si="1"/>
        <v>1</v>
      </c>
      <c r="G43" s="37" t="str">
        <f ca="1">IFERROR(MAXIFS(進捗管理!I:I,進捗管理!C:C,A43),"")</f>
        <v/>
      </c>
    </row>
    <row r="44" spans="1:7" ht="21.95" customHeight="1" x14ac:dyDescent="0.4">
      <c r="A44" s="32" t="s">
        <v>136</v>
      </c>
      <c r="B44" s="32">
        <f>COUNTIF(進捗管理!C:C,A44)</f>
        <v>1</v>
      </c>
      <c r="C44" s="32">
        <f>COUNTIFS(進捗管理!C:C,A44,進捗管理!L:L,"完了")</f>
        <v>1</v>
      </c>
      <c r="D44" s="32">
        <f>COUNTIFS(進捗管理!C:C,A44,進捗管理!O:O,"完了")</f>
        <v>1</v>
      </c>
      <c r="E44" s="32">
        <f>COUNTIFS(進捗管理!C:C,A44,進捗管理!P:P,"出荷済")</f>
        <v>1</v>
      </c>
      <c r="F44" s="33">
        <f t="shared" si="1"/>
        <v>1</v>
      </c>
      <c r="G44" s="34" t="str">
        <f ca="1">IFERROR(MAXIFS(進捗管理!I:I,進捗管理!C:C,A44),"")</f>
        <v/>
      </c>
    </row>
    <row r="45" spans="1:7" ht="21.95" customHeight="1" x14ac:dyDescent="0.4">
      <c r="A45" s="35" t="s">
        <v>138</v>
      </c>
      <c r="B45" s="35">
        <f>COUNTIF(進捗管理!C:C,A45)</f>
        <v>1</v>
      </c>
      <c r="C45" s="35">
        <f>COUNTIFS(進捗管理!C:C,A45,進捗管理!L:L,"完了")</f>
        <v>1</v>
      </c>
      <c r="D45" s="35">
        <f>COUNTIFS(進捗管理!C:C,A45,進捗管理!O:O,"完了")</f>
        <v>1</v>
      </c>
      <c r="E45" s="35">
        <f>COUNTIFS(進捗管理!C:C,A45,進捗管理!P:P,"出荷済")</f>
        <v>1</v>
      </c>
      <c r="F45" s="36">
        <f t="shared" si="1"/>
        <v>1</v>
      </c>
      <c r="G45" s="37" t="str">
        <f ca="1">IFERROR(MAXIFS(進捗管理!I:I,進捗管理!C:C,A45),"")</f>
        <v/>
      </c>
    </row>
    <row r="46" spans="1:7" ht="21.95" customHeight="1" x14ac:dyDescent="0.4">
      <c r="A46" s="32" t="s">
        <v>141</v>
      </c>
      <c r="B46" s="32">
        <f>COUNTIF(進捗管理!C:C,A46)</f>
        <v>1</v>
      </c>
      <c r="C46" s="32">
        <f>COUNTIFS(進捗管理!C:C,A46,進捗管理!L:L,"完了")</f>
        <v>1</v>
      </c>
      <c r="D46" s="32">
        <f>COUNTIFS(進捗管理!C:C,A46,進捗管理!O:O,"完了")</f>
        <v>1</v>
      </c>
      <c r="E46" s="32">
        <f>COUNTIFS(進捗管理!C:C,A46,進捗管理!P:P,"出荷済")</f>
        <v>1</v>
      </c>
      <c r="F46" s="33">
        <f t="shared" si="1"/>
        <v>1</v>
      </c>
      <c r="G46" s="34" t="str">
        <f ca="1">IFERROR(MAXIFS(進捗管理!I:I,進捗管理!C:C,A46),"")</f>
        <v/>
      </c>
    </row>
    <row r="47" spans="1:7" ht="21.95" customHeight="1" x14ac:dyDescent="0.4">
      <c r="A47" s="35" t="s">
        <v>144</v>
      </c>
      <c r="B47" s="35">
        <f>COUNTIF(進捗管理!C:C,A47)</f>
        <v>4</v>
      </c>
      <c r="C47" s="35">
        <f>COUNTIFS(進捗管理!C:C,A47,進捗管理!L:L,"完了")</f>
        <v>2</v>
      </c>
      <c r="D47" s="35">
        <f>COUNTIFS(進捗管理!C:C,A47,進捗管理!O:O,"完了")</f>
        <v>2</v>
      </c>
      <c r="E47" s="35">
        <f>COUNTIFS(進捗管理!C:C,A47,進捗管理!P:P,"出荷済")</f>
        <v>2</v>
      </c>
      <c r="F47" s="36">
        <f t="shared" si="1"/>
        <v>0.5</v>
      </c>
      <c r="G47" s="37" t="str">
        <f ca="1">IFERROR(MAXIFS(進捗管理!I:I,進捗管理!C:C,A47),"")</f>
        <v/>
      </c>
    </row>
    <row r="48" spans="1:7" ht="21.95" customHeight="1" x14ac:dyDescent="0.4">
      <c r="A48" s="32" t="s">
        <v>147</v>
      </c>
      <c r="B48" s="32">
        <f>COUNTIF(進捗管理!C:C,A48)</f>
        <v>2</v>
      </c>
      <c r="C48" s="32">
        <f>COUNTIFS(進捗管理!C:C,A48,進捗管理!L:L,"完了")</f>
        <v>2</v>
      </c>
      <c r="D48" s="32">
        <f>COUNTIFS(進捗管理!C:C,A48,進捗管理!O:O,"完了")</f>
        <v>2</v>
      </c>
      <c r="E48" s="32">
        <f>COUNTIFS(進捗管理!C:C,A48,進捗管理!P:P,"出荷済")</f>
        <v>2</v>
      </c>
      <c r="F48" s="33">
        <f t="shared" si="1"/>
        <v>1</v>
      </c>
      <c r="G48" s="34" t="str">
        <f ca="1">IFERROR(MAXIFS(進捗管理!I:I,進捗管理!C:C,A48),"")</f>
        <v/>
      </c>
    </row>
    <row r="49" spans="1:7" ht="21.95" customHeight="1" x14ac:dyDescent="0.4">
      <c r="A49" s="35" t="s">
        <v>148</v>
      </c>
      <c r="B49" s="35">
        <f>COUNTIF(進捗管理!C:C,A49)</f>
        <v>3</v>
      </c>
      <c r="C49" s="35">
        <f>COUNTIFS(進捗管理!C:C,A49,進捗管理!L:L,"完了")</f>
        <v>3</v>
      </c>
      <c r="D49" s="35">
        <f>COUNTIFS(進捗管理!C:C,A49,進捗管理!O:O,"完了")</f>
        <v>3</v>
      </c>
      <c r="E49" s="35">
        <f>COUNTIFS(進捗管理!C:C,A49,進捗管理!P:P,"出荷済")</f>
        <v>2</v>
      </c>
      <c r="F49" s="36">
        <f t="shared" si="1"/>
        <v>1</v>
      </c>
      <c r="G49" s="37" t="str">
        <f ca="1">IFERROR(MAXIFS(進捗管理!I:I,進捗管理!C:C,A49),"")</f>
        <v/>
      </c>
    </row>
    <row r="50" spans="1:7" ht="21.95" customHeight="1" x14ac:dyDescent="0.4">
      <c r="A50" s="32" t="s">
        <v>151</v>
      </c>
      <c r="B50" s="32">
        <f>COUNTIF(進捗管理!C:C,A50)</f>
        <v>2</v>
      </c>
      <c r="C50" s="32">
        <f>COUNTIFS(進捗管理!C:C,A50,進捗管理!L:L,"完了")</f>
        <v>2</v>
      </c>
      <c r="D50" s="32">
        <f>COUNTIFS(進捗管理!C:C,A50,進捗管理!O:O,"完了")</f>
        <v>2</v>
      </c>
      <c r="E50" s="32">
        <f>COUNTIFS(進捗管理!C:C,A50,進捗管理!P:P,"出荷済")</f>
        <v>1</v>
      </c>
      <c r="F50" s="33">
        <f t="shared" si="1"/>
        <v>1</v>
      </c>
      <c r="G50" s="34" t="str">
        <f ca="1">IFERROR(MAXIFS(進捗管理!I:I,進捗管理!C:C,A50),"")</f>
        <v/>
      </c>
    </row>
    <row r="51" spans="1:7" ht="21.95" customHeight="1" x14ac:dyDescent="0.4">
      <c r="A51" s="35" t="s">
        <v>155</v>
      </c>
      <c r="B51" s="35">
        <f>COUNTIF(進捗管理!C:C,A51)</f>
        <v>3</v>
      </c>
      <c r="C51" s="35">
        <f>COUNTIFS(進捗管理!C:C,A51,進捗管理!L:L,"完了")</f>
        <v>2</v>
      </c>
      <c r="D51" s="35">
        <f>COUNTIFS(進捗管理!C:C,A51,進捗管理!O:O,"完了")</f>
        <v>2</v>
      </c>
      <c r="E51" s="35">
        <f>COUNTIFS(進捗管理!C:C,A51,進捗管理!P:P,"出荷済")</f>
        <v>1</v>
      </c>
      <c r="F51" s="36">
        <f t="shared" si="1"/>
        <v>0.66666666666666663</v>
      </c>
      <c r="G51" s="37" t="str">
        <f ca="1">IFERROR(MAXIFS(進捗管理!I:I,進捗管理!C:C,A51),"")</f>
        <v/>
      </c>
    </row>
    <row r="52" spans="1:7" ht="21.95" customHeight="1" x14ac:dyDescent="0.4">
      <c r="A52" s="32" t="s">
        <v>157</v>
      </c>
      <c r="B52" s="32">
        <f>COUNTIF(進捗管理!C:C,A52)</f>
        <v>3</v>
      </c>
      <c r="C52" s="32">
        <f>COUNTIFS(進捗管理!C:C,A52,進捗管理!L:L,"完了")</f>
        <v>1</v>
      </c>
      <c r="D52" s="32">
        <f>COUNTIFS(進捗管理!C:C,A52,進捗管理!O:O,"完了")</f>
        <v>1</v>
      </c>
      <c r="E52" s="32">
        <f>COUNTIFS(進捗管理!C:C,A52,進捗管理!P:P,"出荷済")</f>
        <v>1</v>
      </c>
      <c r="F52" s="33">
        <f t="shared" si="1"/>
        <v>0.33333333333333331</v>
      </c>
      <c r="G52" s="34" t="str">
        <f ca="1">IFERROR(MAXIFS(進捗管理!I:I,進捗管理!C:C,A52),"")</f>
        <v/>
      </c>
    </row>
    <row r="53" spans="1:7" ht="21.95" customHeight="1" x14ac:dyDescent="0.4">
      <c r="A53" s="35" t="s">
        <v>158</v>
      </c>
      <c r="B53" s="35">
        <f>COUNTIF(進捗管理!C:C,A53)</f>
        <v>1</v>
      </c>
      <c r="C53" s="35">
        <f>COUNTIFS(進捗管理!C:C,A53,進捗管理!L:L,"完了")</f>
        <v>0</v>
      </c>
      <c r="D53" s="35">
        <f>COUNTIFS(進捗管理!C:C,A53,進捗管理!O:O,"完了")</f>
        <v>0</v>
      </c>
      <c r="E53" s="35">
        <f>COUNTIFS(進捗管理!C:C,A53,進捗管理!P:P,"出荷済")</f>
        <v>0</v>
      </c>
      <c r="F53" s="36">
        <f t="shared" si="1"/>
        <v>0</v>
      </c>
      <c r="G53" s="37" t="str">
        <f ca="1">IFERROR(MAXIFS(進捗管理!I:I,進捗管理!C:C,A53),"")</f>
        <v/>
      </c>
    </row>
    <row r="54" spans="1:7" ht="21.95" customHeight="1" x14ac:dyDescent="0.4">
      <c r="A54" s="32" t="s">
        <v>161</v>
      </c>
      <c r="B54" s="32">
        <f>COUNTIF(進捗管理!C:C,A54)</f>
        <v>2</v>
      </c>
      <c r="C54" s="32">
        <f>COUNTIFS(進捗管理!C:C,A54,進捗管理!L:L,"完了")</f>
        <v>0</v>
      </c>
      <c r="D54" s="32">
        <f>COUNTIFS(進捗管理!C:C,A54,進捗管理!O:O,"完了")</f>
        <v>0</v>
      </c>
      <c r="E54" s="32">
        <f>COUNTIFS(進捗管理!C:C,A54,進捗管理!P:P,"出荷済")</f>
        <v>0</v>
      </c>
      <c r="F54" s="33">
        <f t="shared" si="1"/>
        <v>0</v>
      </c>
      <c r="G54" s="34" t="str">
        <f ca="1">IFERROR(MAXIFS(進捗管理!I:I,進捗管理!C:C,A54),"")</f>
        <v/>
      </c>
    </row>
    <row r="55" spans="1:7" ht="21.95" customHeight="1" x14ac:dyDescent="0.4">
      <c r="A55" s="35" t="s">
        <v>163</v>
      </c>
      <c r="B55" s="35">
        <f>COUNTIF(進捗管理!C:C,A55)</f>
        <v>1</v>
      </c>
      <c r="C55" s="35">
        <f>COUNTIFS(進捗管理!C:C,A55,進捗管理!L:L,"完了")</f>
        <v>0</v>
      </c>
      <c r="D55" s="35">
        <f>COUNTIFS(進捗管理!C:C,A55,進捗管理!O:O,"完了")</f>
        <v>0</v>
      </c>
      <c r="E55" s="35">
        <f>COUNTIFS(進捗管理!C:C,A55,進捗管理!P:P,"出荷済")</f>
        <v>0</v>
      </c>
      <c r="F55" s="36">
        <f t="shared" si="1"/>
        <v>0</v>
      </c>
      <c r="G55" s="37" t="str">
        <f ca="1">IFERROR(MAXIFS(進捗管理!I:I,進捗管理!C:C,A55),"")</f>
        <v/>
      </c>
    </row>
    <row r="56" spans="1:7" ht="21.95" customHeight="1" x14ac:dyDescent="0.4">
      <c r="A56" s="32" t="s">
        <v>166</v>
      </c>
      <c r="B56" s="32">
        <f>COUNTIF(進捗管理!C:C,A56)</f>
        <v>1</v>
      </c>
      <c r="C56" s="32">
        <f>COUNTIFS(進捗管理!C:C,A56,進捗管理!L:L,"完了")</f>
        <v>0</v>
      </c>
      <c r="D56" s="32">
        <f>COUNTIFS(進捗管理!C:C,A56,進捗管理!O:O,"完了")</f>
        <v>0</v>
      </c>
      <c r="E56" s="32">
        <f>COUNTIFS(進捗管理!C:C,A56,進捗管理!P:P,"出荷済")</f>
        <v>0</v>
      </c>
      <c r="F56" s="33">
        <f t="shared" si="1"/>
        <v>0</v>
      </c>
      <c r="G56" s="34" t="str">
        <f ca="1">IFERROR(MAXIFS(進捗管理!I:I,進捗管理!C:C,A56),"")</f>
        <v/>
      </c>
    </row>
    <row r="57" spans="1:7" ht="21.95" customHeight="1" x14ac:dyDescent="0.4">
      <c r="A57" s="35" t="s">
        <v>167</v>
      </c>
      <c r="B57" s="35">
        <f>COUNTIF(進捗管理!C:C,A57)</f>
        <v>5</v>
      </c>
      <c r="C57" s="35">
        <f>COUNTIFS(進捗管理!C:C,A57,進捗管理!L:L,"完了")</f>
        <v>4</v>
      </c>
      <c r="D57" s="35">
        <f>COUNTIFS(進捗管理!C:C,A57,進捗管理!O:O,"完了")</f>
        <v>4</v>
      </c>
      <c r="E57" s="35">
        <f>COUNTIFS(進捗管理!C:C,A57,進捗管理!P:P,"出荷済")</f>
        <v>1</v>
      </c>
      <c r="F57" s="36">
        <f t="shared" si="1"/>
        <v>0.8</v>
      </c>
      <c r="G57" s="37" t="str">
        <f ca="1">IFERROR(MAXIFS(進捗管理!I:I,進捗管理!C:C,A57),"")</f>
        <v/>
      </c>
    </row>
    <row r="58" spans="1:7" ht="21.95" customHeight="1" x14ac:dyDescent="0.4">
      <c r="A58" s="32" t="s">
        <v>172</v>
      </c>
      <c r="B58" s="32">
        <f>COUNTIF(進捗管理!C:C,A58)</f>
        <v>1</v>
      </c>
      <c r="C58" s="32">
        <f>COUNTIFS(進捗管理!C:C,A58,進捗管理!L:L,"完了")</f>
        <v>1</v>
      </c>
      <c r="D58" s="32">
        <f>COUNTIFS(進捗管理!C:C,A58,進捗管理!O:O,"完了")</f>
        <v>1</v>
      </c>
      <c r="E58" s="32">
        <f>COUNTIFS(進捗管理!C:C,A58,進捗管理!P:P,"出荷済")</f>
        <v>1</v>
      </c>
      <c r="F58" s="33">
        <f t="shared" si="1"/>
        <v>1</v>
      </c>
      <c r="G58" s="34" t="str">
        <f ca="1">IFERROR(MAXIFS(進捗管理!I:I,進捗管理!C:C,A58),"")</f>
        <v/>
      </c>
    </row>
    <row r="59" spans="1:7" ht="21.95" customHeight="1" x14ac:dyDescent="0.4">
      <c r="A59" s="35" t="s">
        <v>174</v>
      </c>
      <c r="B59" s="35">
        <f>COUNTIF(進捗管理!C:C,A59)</f>
        <v>5</v>
      </c>
      <c r="C59" s="35">
        <f>COUNTIFS(進捗管理!C:C,A59,進捗管理!L:L,"完了")</f>
        <v>3</v>
      </c>
      <c r="D59" s="35">
        <f>COUNTIFS(進捗管理!C:C,A59,進捗管理!O:O,"完了")</f>
        <v>3</v>
      </c>
      <c r="E59" s="35">
        <f>COUNTIFS(進捗管理!C:C,A59,進捗管理!P:P,"出荷済")</f>
        <v>1</v>
      </c>
      <c r="F59" s="36">
        <f t="shared" si="1"/>
        <v>0.6</v>
      </c>
      <c r="G59" s="37" t="str">
        <f ca="1">IFERROR(MAXIFS(進捗管理!I:I,進捗管理!C:C,A59),"")</f>
        <v/>
      </c>
    </row>
    <row r="60" spans="1:7" ht="21.95" customHeight="1" x14ac:dyDescent="0.4">
      <c r="A60" s="32" t="s">
        <v>176</v>
      </c>
      <c r="B60" s="32">
        <f>COUNTIF(進捗管理!C:C,A60)</f>
        <v>9</v>
      </c>
      <c r="C60" s="32">
        <f>COUNTIFS(進捗管理!C:C,A60,進捗管理!L:L,"完了")</f>
        <v>8</v>
      </c>
      <c r="D60" s="32">
        <f>COUNTIFS(進捗管理!C:C,A60,進捗管理!O:O,"完了")</f>
        <v>8</v>
      </c>
      <c r="E60" s="32">
        <f>COUNTIFS(進捗管理!C:C,A60,進捗管理!P:P,"出荷済")</f>
        <v>8</v>
      </c>
      <c r="F60" s="33">
        <f t="shared" si="1"/>
        <v>0.88888888888888884</v>
      </c>
      <c r="G60" s="34" t="str">
        <f ca="1">IFERROR(MAXIFS(進捗管理!I:I,進捗管理!C:C,A60),"")</f>
        <v/>
      </c>
    </row>
    <row r="61" spans="1:7" ht="21.95" customHeight="1" x14ac:dyDescent="0.4">
      <c r="A61" s="35" t="s">
        <v>183</v>
      </c>
      <c r="B61" s="35">
        <f>COUNTIF(進捗管理!C:C,A61)</f>
        <v>4</v>
      </c>
      <c r="C61" s="35">
        <f>COUNTIFS(進捗管理!C:C,A61,進捗管理!L:L,"完了")</f>
        <v>4</v>
      </c>
      <c r="D61" s="35">
        <f>COUNTIFS(進捗管理!C:C,A61,進捗管理!O:O,"完了")</f>
        <v>4</v>
      </c>
      <c r="E61" s="35">
        <f>COUNTIFS(進捗管理!C:C,A61,進捗管理!P:P,"出荷済")</f>
        <v>2</v>
      </c>
      <c r="F61" s="36">
        <f t="shared" si="1"/>
        <v>1</v>
      </c>
      <c r="G61" s="37" t="str">
        <f ca="1">IFERROR(MAXIFS(進捗管理!I:I,進捗管理!C:C,A61),"")</f>
        <v/>
      </c>
    </row>
    <row r="62" spans="1:7" ht="21.95" customHeight="1" x14ac:dyDescent="0.4">
      <c r="A62" s="32" t="s">
        <v>185</v>
      </c>
      <c r="B62" s="32">
        <f>COUNTIF(進捗管理!C:C,A62)</f>
        <v>1</v>
      </c>
      <c r="C62" s="32">
        <f>COUNTIFS(進捗管理!C:C,A62,進捗管理!L:L,"完了")</f>
        <v>1</v>
      </c>
      <c r="D62" s="32">
        <f>COUNTIFS(進捗管理!C:C,A62,進捗管理!O:O,"完了")</f>
        <v>1</v>
      </c>
      <c r="E62" s="32">
        <f>COUNTIFS(進捗管理!C:C,A62,進捗管理!P:P,"出荷済")</f>
        <v>1</v>
      </c>
      <c r="F62" s="33">
        <f t="shared" si="1"/>
        <v>1</v>
      </c>
      <c r="G62" s="34" t="str">
        <f ca="1">IFERROR(MAXIFS(進捗管理!I:I,進捗管理!C:C,A62),"")</f>
        <v/>
      </c>
    </row>
    <row r="63" spans="1:7" ht="21.95" customHeight="1" x14ac:dyDescent="0.4">
      <c r="A63" s="35" t="s">
        <v>187</v>
      </c>
      <c r="B63" s="35">
        <f>COUNTIF(進捗管理!C:C,A63)</f>
        <v>1</v>
      </c>
      <c r="C63" s="35">
        <f>COUNTIFS(進捗管理!C:C,A63,進捗管理!L:L,"完了")</f>
        <v>0</v>
      </c>
      <c r="D63" s="35">
        <f>COUNTIFS(進捗管理!C:C,A63,進捗管理!O:O,"完了")</f>
        <v>0</v>
      </c>
      <c r="E63" s="35">
        <f>COUNTIFS(進捗管理!C:C,A63,進捗管理!P:P,"出荷済")</f>
        <v>0</v>
      </c>
      <c r="F63" s="36">
        <f t="shared" si="1"/>
        <v>0</v>
      </c>
      <c r="G63" s="37" t="str">
        <f ca="1">IFERROR(MAXIFS(進捗管理!I:I,進捗管理!C:C,A63),"")</f>
        <v/>
      </c>
    </row>
    <row r="64" spans="1:7" ht="21.95" customHeight="1" x14ac:dyDescent="0.4">
      <c r="A64" s="32" t="s">
        <v>190</v>
      </c>
      <c r="B64" s="32">
        <f>COUNTIF(進捗管理!C:C,A64)</f>
        <v>1</v>
      </c>
      <c r="C64" s="32">
        <f>COUNTIFS(進捗管理!C:C,A64,進捗管理!L:L,"完了")</f>
        <v>1</v>
      </c>
      <c r="D64" s="32">
        <f>COUNTIFS(進捗管理!C:C,A64,進捗管理!O:O,"完了")</f>
        <v>1</v>
      </c>
      <c r="E64" s="32">
        <f>COUNTIFS(進捗管理!C:C,A64,進捗管理!P:P,"出荷済")</f>
        <v>1</v>
      </c>
      <c r="F64" s="33">
        <f t="shared" si="1"/>
        <v>1</v>
      </c>
      <c r="G64" s="34" t="str">
        <f ca="1">IFERROR(MAXIFS(進捗管理!I:I,進捗管理!C:C,A64),"")</f>
        <v/>
      </c>
    </row>
    <row r="65" spans="1:7" ht="21.95" customHeight="1" x14ac:dyDescent="0.4">
      <c r="A65" s="35" t="s">
        <v>192</v>
      </c>
      <c r="B65" s="35">
        <f>COUNTIF(進捗管理!C:C,A65)</f>
        <v>1</v>
      </c>
      <c r="C65" s="35">
        <f>COUNTIFS(進捗管理!C:C,A65,進捗管理!L:L,"完了")</f>
        <v>1</v>
      </c>
      <c r="D65" s="35">
        <f>COUNTIFS(進捗管理!C:C,A65,進捗管理!O:O,"完了")</f>
        <v>1</v>
      </c>
      <c r="E65" s="35">
        <f>COUNTIFS(進捗管理!C:C,A65,進捗管理!P:P,"出荷済")</f>
        <v>1</v>
      </c>
      <c r="F65" s="36">
        <f t="shared" si="1"/>
        <v>1</v>
      </c>
      <c r="G65" s="37" t="str">
        <f ca="1">IFERROR(MAXIFS(進捗管理!I:I,進捗管理!C:C,A65),"")</f>
        <v/>
      </c>
    </row>
    <row r="66" spans="1:7" ht="21.95" customHeight="1" x14ac:dyDescent="0.4">
      <c r="A66" s="32" t="s">
        <v>194</v>
      </c>
      <c r="B66" s="32">
        <f>COUNTIF(進捗管理!C:C,A66)</f>
        <v>1</v>
      </c>
      <c r="C66" s="32">
        <f>COUNTIFS(進捗管理!C:C,A66,進捗管理!L:L,"完了")</f>
        <v>0</v>
      </c>
      <c r="D66" s="32">
        <f>COUNTIFS(進捗管理!C:C,A66,進捗管理!O:O,"完了")</f>
        <v>0</v>
      </c>
      <c r="E66" s="32">
        <f>COUNTIFS(進捗管理!C:C,A66,進捗管理!P:P,"出荷済")</f>
        <v>0</v>
      </c>
      <c r="F66" s="33">
        <f t="shared" ref="F66:F97" si="2">IF(B66=0,"",D66/B66)</f>
        <v>0</v>
      </c>
      <c r="G66" s="34" t="str">
        <f ca="1">IFERROR(MAXIFS(進捗管理!I:I,進捗管理!C:C,A66),"")</f>
        <v/>
      </c>
    </row>
    <row r="67" spans="1:7" ht="21.95" customHeight="1" x14ac:dyDescent="0.4">
      <c r="A67" s="35" t="s">
        <v>196</v>
      </c>
      <c r="B67" s="35">
        <f>COUNTIF(進捗管理!C:C,A67)</f>
        <v>1</v>
      </c>
      <c r="C67" s="35">
        <f>COUNTIFS(進捗管理!C:C,A67,進捗管理!L:L,"完了")</f>
        <v>1</v>
      </c>
      <c r="D67" s="35">
        <f>COUNTIFS(進捗管理!C:C,A67,進捗管理!O:O,"完了")</f>
        <v>1</v>
      </c>
      <c r="E67" s="35">
        <f>COUNTIFS(進捗管理!C:C,A67,進捗管理!P:P,"出荷済")</f>
        <v>1</v>
      </c>
      <c r="F67" s="36">
        <f t="shared" si="2"/>
        <v>1</v>
      </c>
      <c r="G67" s="37" t="str">
        <f ca="1">IFERROR(MAXIFS(進捗管理!I:I,進捗管理!C:C,A67),"")</f>
        <v/>
      </c>
    </row>
    <row r="68" spans="1:7" ht="21.95" customHeight="1" x14ac:dyDescent="0.4">
      <c r="A68" s="32" t="s">
        <v>198</v>
      </c>
      <c r="B68" s="32">
        <f>COUNTIF(進捗管理!C:C,A68)</f>
        <v>1</v>
      </c>
      <c r="C68" s="32">
        <f>COUNTIFS(進捗管理!C:C,A68,進捗管理!L:L,"完了")</f>
        <v>1</v>
      </c>
      <c r="D68" s="32">
        <f>COUNTIFS(進捗管理!C:C,A68,進捗管理!O:O,"完了")</f>
        <v>1</v>
      </c>
      <c r="E68" s="32">
        <f>COUNTIFS(進捗管理!C:C,A68,進捗管理!P:P,"出荷済")</f>
        <v>0</v>
      </c>
      <c r="F68" s="33">
        <f t="shared" si="2"/>
        <v>1</v>
      </c>
      <c r="G68" s="34" t="str">
        <f ca="1">IFERROR(MAXIFS(進捗管理!I:I,進捗管理!C:C,A68),"")</f>
        <v/>
      </c>
    </row>
    <row r="69" spans="1:7" ht="21.95" customHeight="1" x14ac:dyDescent="0.4">
      <c r="A69" s="35" t="s">
        <v>200</v>
      </c>
      <c r="B69" s="35">
        <f>COUNTIF(進捗管理!C:C,A69)</f>
        <v>2</v>
      </c>
      <c r="C69" s="35">
        <f>COUNTIFS(進捗管理!C:C,A69,進捗管理!L:L,"完了")</f>
        <v>1</v>
      </c>
      <c r="D69" s="35">
        <f>COUNTIFS(進捗管理!C:C,A69,進捗管理!O:O,"完了")</f>
        <v>1</v>
      </c>
      <c r="E69" s="35">
        <f>COUNTIFS(進捗管理!C:C,A69,進捗管理!P:P,"出荷済")</f>
        <v>1</v>
      </c>
      <c r="F69" s="36">
        <f t="shared" si="2"/>
        <v>0.5</v>
      </c>
      <c r="G69" s="37" t="str">
        <f ca="1">IFERROR(MAXIFS(進捗管理!I:I,進捗管理!C:C,A69),"")</f>
        <v/>
      </c>
    </row>
    <row r="70" spans="1:7" ht="21.95" customHeight="1" x14ac:dyDescent="0.4">
      <c r="A70" s="32" t="s">
        <v>202</v>
      </c>
      <c r="B70" s="32">
        <f>COUNTIF(進捗管理!C:C,A70)</f>
        <v>1</v>
      </c>
      <c r="C70" s="32">
        <f>COUNTIFS(進捗管理!C:C,A70,進捗管理!L:L,"完了")</f>
        <v>1</v>
      </c>
      <c r="D70" s="32">
        <f>COUNTIFS(進捗管理!C:C,A70,進捗管理!O:O,"完了")</f>
        <v>1</v>
      </c>
      <c r="E70" s="32">
        <f>COUNTIFS(進捗管理!C:C,A70,進捗管理!P:P,"出荷済")</f>
        <v>1</v>
      </c>
      <c r="F70" s="33">
        <f t="shared" si="2"/>
        <v>1</v>
      </c>
      <c r="G70" s="34" t="str">
        <f ca="1">IFERROR(MAXIFS(進捗管理!I:I,進捗管理!C:C,A70),"")</f>
        <v/>
      </c>
    </row>
    <row r="71" spans="1:7" ht="21.95" customHeight="1" x14ac:dyDescent="0.4">
      <c r="A71" s="35" t="s">
        <v>203</v>
      </c>
      <c r="B71" s="35">
        <f>COUNTIF(進捗管理!C:C,A71)</f>
        <v>1</v>
      </c>
      <c r="C71" s="35">
        <f>COUNTIFS(進捗管理!C:C,A71,進捗管理!L:L,"完了")</f>
        <v>1</v>
      </c>
      <c r="D71" s="35">
        <f>COUNTIFS(進捗管理!C:C,A71,進捗管理!O:O,"完了")</f>
        <v>1</v>
      </c>
      <c r="E71" s="35">
        <f>COUNTIFS(進捗管理!C:C,A71,進捗管理!P:P,"出荷済")</f>
        <v>1</v>
      </c>
      <c r="F71" s="36">
        <f t="shared" si="2"/>
        <v>1</v>
      </c>
      <c r="G71" s="37" t="str">
        <f ca="1">IFERROR(MAXIFS(進捗管理!I:I,進捗管理!C:C,A71),"")</f>
        <v/>
      </c>
    </row>
    <row r="72" spans="1:7" ht="21.95" customHeight="1" x14ac:dyDescent="0.4">
      <c r="A72" s="32" t="s">
        <v>204</v>
      </c>
      <c r="B72" s="32">
        <f>COUNTIF(進捗管理!C:C,A72)</f>
        <v>1</v>
      </c>
      <c r="C72" s="32">
        <f>COUNTIFS(進捗管理!C:C,A72,進捗管理!L:L,"完了")</f>
        <v>1</v>
      </c>
      <c r="D72" s="32">
        <f>COUNTIFS(進捗管理!C:C,A72,進捗管理!O:O,"完了")</f>
        <v>1</v>
      </c>
      <c r="E72" s="32">
        <f>COUNTIFS(進捗管理!C:C,A72,進捗管理!P:P,"出荷済")</f>
        <v>0</v>
      </c>
      <c r="F72" s="33">
        <f t="shared" si="2"/>
        <v>1</v>
      </c>
      <c r="G72" s="34" t="str">
        <f ca="1">IFERROR(MAXIFS(進捗管理!I:I,進捗管理!C:C,A72),"")</f>
        <v/>
      </c>
    </row>
    <row r="73" spans="1:7" ht="21.95" customHeight="1" x14ac:dyDescent="0.4">
      <c r="A73" s="35" t="s">
        <v>205</v>
      </c>
      <c r="B73" s="35">
        <f>COUNTIF(進捗管理!C:C,A73)</f>
        <v>1</v>
      </c>
      <c r="C73" s="35">
        <f>COUNTIFS(進捗管理!C:C,A73,進捗管理!L:L,"完了")</f>
        <v>1</v>
      </c>
      <c r="D73" s="35">
        <f>COUNTIFS(進捗管理!C:C,A73,進捗管理!O:O,"完了")</f>
        <v>1</v>
      </c>
      <c r="E73" s="35">
        <f>COUNTIFS(進捗管理!C:C,A73,進捗管理!P:P,"出荷済")</f>
        <v>0</v>
      </c>
      <c r="F73" s="36">
        <f t="shared" si="2"/>
        <v>1</v>
      </c>
      <c r="G73" s="37" t="str">
        <f ca="1">IFERROR(MAXIFS(進捗管理!I:I,進捗管理!C:C,A73),"")</f>
        <v/>
      </c>
    </row>
    <row r="74" spans="1:7" ht="21.95" customHeight="1" x14ac:dyDescent="0.4">
      <c r="A74" s="32" t="s">
        <v>206</v>
      </c>
      <c r="B74" s="32">
        <f>COUNTIF(進捗管理!C:C,A74)</f>
        <v>1</v>
      </c>
      <c r="C74" s="32">
        <f>COUNTIFS(進捗管理!C:C,A74,進捗管理!L:L,"完了")</f>
        <v>1</v>
      </c>
      <c r="D74" s="32">
        <f>COUNTIFS(進捗管理!C:C,A74,進捗管理!O:O,"完了")</f>
        <v>1</v>
      </c>
      <c r="E74" s="32">
        <f>COUNTIFS(進捗管理!C:C,A74,進捗管理!P:P,"出荷済")</f>
        <v>0</v>
      </c>
      <c r="F74" s="33">
        <f t="shared" si="2"/>
        <v>1</v>
      </c>
      <c r="G74" s="34" t="str">
        <f ca="1">IFERROR(MAXIFS(進捗管理!I:I,進捗管理!C:C,A74),"")</f>
        <v/>
      </c>
    </row>
    <row r="75" spans="1:7" ht="21.95" customHeight="1" x14ac:dyDescent="0.4">
      <c r="A75" s="35" t="s">
        <v>207</v>
      </c>
      <c r="B75" s="35">
        <f>COUNTIF(進捗管理!C:C,A75)</f>
        <v>1</v>
      </c>
      <c r="C75" s="35">
        <f>COUNTIFS(進捗管理!C:C,A75,進捗管理!L:L,"完了")</f>
        <v>1</v>
      </c>
      <c r="D75" s="35">
        <f>COUNTIFS(進捗管理!C:C,A75,進捗管理!O:O,"完了")</f>
        <v>1</v>
      </c>
      <c r="E75" s="35">
        <f>COUNTIFS(進捗管理!C:C,A75,進捗管理!P:P,"出荷済")</f>
        <v>1</v>
      </c>
      <c r="F75" s="36">
        <f t="shared" si="2"/>
        <v>1</v>
      </c>
      <c r="G75" s="37" t="str">
        <f ca="1">IFERROR(MAXIFS(進捗管理!I:I,進捗管理!C:C,A75),"")</f>
        <v/>
      </c>
    </row>
    <row r="76" spans="1:7" ht="21.95" customHeight="1" x14ac:dyDescent="0.4">
      <c r="A76" s="32" t="s">
        <v>210</v>
      </c>
      <c r="B76" s="32">
        <f>COUNTIF(進捗管理!C:C,A76)</f>
        <v>6</v>
      </c>
      <c r="C76" s="32">
        <f>COUNTIFS(進捗管理!C:C,A76,進捗管理!L:L,"完了")</f>
        <v>4</v>
      </c>
      <c r="D76" s="32">
        <f>COUNTIFS(進捗管理!C:C,A76,進捗管理!O:O,"完了")</f>
        <v>4</v>
      </c>
      <c r="E76" s="32">
        <f>COUNTIFS(進捗管理!C:C,A76,進捗管理!P:P,"出荷済")</f>
        <v>2</v>
      </c>
      <c r="F76" s="33">
        <f t="shared" si="2"/>
        <v>0.66666666666666663</v>
      </c>
      <c r="G76" s="34" t="str">
        <f ca="1">IFERROR(MAXIFS(進捗管理!I:I,進捗管理!C:C,A76),"")</f>
        <v/>
      </c>
    </row>
    <row r="77" spans="1:7" ht="21.95" customHeight="1" x14ac:dyDescent="0.4">
      <c r="A77" s="35" t="s">
        <v>215</v>
      </c>
      <c r="B77" s="35">
        <f>COUNTIF(進捗管理!C:C,A77)</f>
        <v>1</v>
      </c>
      <c r="C77" s="35">
        <f>COUNTIFS(進捗管理!C:C,A77,進捗管理!L:L,"完了")</f>
        <v>0</v>
      </c>
      <c r="D77" s="35">
        <f>COUNTIFS(進捗管理!C:C,A77,進捗管理!O:O,"完了")</f>
        <v>0</v>
      </c>
      <c r="E77" s="35">
        <f>COUNTIFS(進捗管理!C:C,A77,進捗管理!P:P,"出荷済")</f>
        <v>0</v>
      </c>
      <c r="F77" s="36">
        <f t="shared" si="2"/>
        <v>0</v>
      </c>
      <c r="G77" s="37" t="str">
        <f ca="1">IFERROR(MAXIFS(進捗管理!I:I,進捗管理!C:C,A77),"")</f>
        <v/>
      </c>
    </row>
    <row r="78" spans="1:7" ht="21.95" customHeight="1" x14ac:dyDescent="0.4">
      <c r="A78" s="32" t="s">
        <v>217</v>
      </c>
      <c r="B78" s="32">
        <f>COUNTIF(進捗管理!C:C,A78)</f>
        <v>2</v>
      </c>
      <c r="C78" s="32">
        <f>COUNTIFS(進捗管理!C:C,A78,進捗管理!L:L,"完了")</f>
        <v>1</v>
      </c>
      <c r="D78" s="32">
        <f>COUNTIFS(進捗管理!C:C,A78,進捗管理!O:O,"完了")</f>
        <v>1</v>
      </c>
      <c r="E78" s="32">
        <f>COUNTIFS(進捗管理!C:C,A78,進捗管理!P:P,"出荷済")</f>
        <v>1</v>
      </c>
      <c r="F78" s="33">
        <f t="shared" si="2"/>
        <v>0.5</v>
      </c>
      <c r="G78" s="34" t="str">
        <f ca="1">IFERROR(MAXIFS(進捗管理!I:I,進捗管理!C:C,A78),"")</f>
        <v/>
      </c>
    </row>
    <row r="79" spans="1:7" ht="21.95" customHeight="1" x14ac:dyDescent="0.4">
      <c r="A79" s="35" t="s">
        <v>219</v>
      </c>
      <c r="B79" s="35">
        <f>COUNTIF(進捗管理!C:C,A79)</f>
        <v>1</v>
      </c>
      <c r="C79" s="35">
        <f>COUNTIFS(進捗管理!C:C,A79,進捗管理!L:L,"完了")</f>
        <v>0</v>
      </c>
      <c r="D79" s="35">
        <f>COUNTIFS(進捗管理!C:C,A79,進捗管理!O:O,"完了")</f>
        <v>0</v>
      </c>
      <c r="E79" s="35">
        <f>COUNTIFS(進捗管理!C:C,A79,進捗管理!P:P,"出荷済")</f>
        <v>0</v>
      </c>
      <c r="F79" s="36">
        <f t="shared" si="2"/>
        <v>0</v>
      </c>
      <c r="G79" s="37" t="str">
        <f ca="1">IFERROR(MAXIFS(進捗管理!I:I,進捗管理!C:C,A79),"")</f>
        <v/>
      </c>
    </row>
    <row r="80" spans="1:7" ht="21.95" customHeight="1" x14ac:dyDescent="0.4">
      <c r="A80" s="32" t="s">
        <v>222</v>
      </c>
      <c r="B80" s="32">
        <f>COUNTIF(進捗管理!C:C,A80)</f>
        <v>1</v>
      </c>
      <c r="C80" s="32">
        <f>COUNTIFS(進捗管理!C:C,A80,進捗管理!L:L,"完了")</f>
        <v>0</v>
      </c>
      <c r="D80" s="32">
        <f>COUNTIFS(進捗管理!C:C,A80,進捗管理!O:O,"完了")</f>
        <v>0</v>
      </c>
      <c r="E80" s="32">
        <f>COUNTIFS(進捗管理!C:C,A80,進捗管理!P:P,"出荷済")</f>
        <v>0</v>
      </c>
      <c r="F80" s="33">
        <f t="shared" si="2"/>
        <v>0</v>
      </c>
      <c r="G80" s="34" t="str">
        <f ca="1">IFERROR(MAXIFS(進捗管理!I:I,進捗管理!C:C,A80),"")</f>
        <v/>
      </c>
    </row>
    <row r="81" spans="1:7" ht="21.95" customHeight="1" x14ac:dyDescent="0.4">
      <c r="A81" s="35" t="s">
        <v>223</v>
      </c>
      <c r="B81" s="35">
        <f>COUNTIF(進捗管理!C:C,A81)</f>
        <v>1</v>
      </c>
      <c r="C81" s="35">
        <f>COUNTIFS(進捗管理!C:C,A81,進捗管理!L:L,"完了")</f>
        <v>1</v>
      </c>
      <c r="D81" s="35">
        <f>COUNTIFS(進捗管理!C:C,A81,進捗管理!O:O,"完了")</f>
        <v>1</v>
      </c>
      <c r="E81" s="35">
        <f>COUNTIFS(進捗管理!C:C,A81,進捗管理!P:P,"出荷済")</f>
        <v>1</v>
      </c>
      <c r="F81" s="36">
        <f t="shared" si="2"/>
        <v>1</v>
      </c>
      <c r="G81" s="37" t="str">
        <f ca="1">IFERROR(MAXIFS(進捗管理!I:I,進捗管理!C:C,A81),"")</f>
        <v/>
      </c>
    </row>
    <row r="82" spans="1:7" ht="21.95" customHeight="1" x14ac:dyDescent="0.4">
      <c r="A82" s="32" t="s">
        <v>224</v>
      </c>
      <c r="B82" s="32">
        <f>COUNTIF(進捗管理!C:C,A82)</f>
        <v>1</v>
      </c>
      <c r="C82" s="32">
        <f>COUNTIFS(進捗管理!C:C,A82,進捗管理!L:L,"完了")</f>
        <v>0</v>
      </c>
      <c r="D82" s="32">
        <f>COUNTIFS(進捗管理!C:C,A82,進捗管理!O:O,"完了")</f>
        <v>0</v>
      </c>
      <c r="E82" s="32">
        <f>COUNTIFS(進捗管理!C:C,A82,進捗管理!P:P,"出荷済")</f>
        <v>0</v>
      </c>
      <c r="F82" s="33">
        <f t="shared" si="2"/>
        <v>0</v>
      </c>
      <c r="G82" s="34" t="str">
        <f ca="1">IFERROR(MAXIFS(進捗管理!I:I,進捗管理!C:C,A82),"")</f>
        <v/>
      </c>
    </row>
    <row r="83" spans="1:7" ht="21.95" customHeight="1" x14ac:dyDescent="0.4">
      <c r="A83" s="35" t="s">
        <v>225</v>
      </c>
      <c r="B83" s="35">
        <f>COUNTIF(進捗管理!C:C,A83)</f>
        <v>1</v>
      </c>
      <c r="C83" s="35">
        <f>COUNTIFS(進捗管理!C:C,A83,進捗管理!L:L,"完了")</f>
        <v>1</v>
      </c>
      <c r="D83" s="35">
        <f>COUNTIFS(進捗管理!C:C,A83,進捗管理!O:O,"完了")</f>
        <v>1</v>
      </c>
      <c r="E83" s="35">
        <f>COUNTIFS(進捗管理!C:C,A83,進捗管理!P:P,"出荷済")</f>
        <v>1</v>
      </c>
      <c r="F83" s="36">
        <f t="shared" si="2"/>
        <v>1</v>
      </c>
      <c r="G83" s="37" t="str">
        <f ca="1">IFERROR(MAXIFS(進捗管理!I:I,進捗管理!C:C,A83),"")</f>
        <v/>
      </c>
    </row>
    <row r="84" spans="1:7" ht="21.95" customHeight="1" x14ac:dyDescent="0.4">
      <c r="A84" s="32" t="s">
        <v>227</v>
      </c>
      <c r="B84" s="32">
        <f>COUNTIF(進捗管理!C:C,A84)</f>
        <v>1</v>
      </c>
      <c r="C84" s="32">
        <f>COUNTIFS(進捗管理!C:C,A84,進捗管理!L:L,"完了")</f>
        <v>0</v>
      </c>
      <c r="D84" s="32">
        <f>COUNTIFS(進捗管理!C:C,A84,進捗管理!O:O,"完了")</f>
        <v>0</v>
      </c>
      <c r="E84" s="32">
        <f>COUNTIFS(進捗管理!C:C,A84,進捗管理!P:P,"出荷済")</f>
        <v>0</v>
      </c>
      <c r="F84" s="33">
        <f t="shared" si="2"/>
        <v>0</v>
      </c>
      <c r="G84" s="34" t="str">
        <f ca="1">IFERROR(MAXIFS(進捗管理!I:I,進捗管理!C:C,A84),"")</f>
        <v/>
      </c>
    </row>
    <row r="85" spans="1:7" ht="21.95" customHeight="1" x14ac:dyDescent="0.4">
      <c r="A85" s="35" t="s">
        <v>229</v>
      </c>
      <c r="B85" s="35">
        <f>COUNTIF(進捗管理!C:C,A85)</f>
        <v>1</v>
      </c>
      <c r="C85" s="35">
        <f>COUNTIFS(進捗管理!C:C,A85,進捗管理!L:L,"完了")</f>
        <v>1</v>
      </c>
      <c r="D85" s="35">
        <f>COUNTIFS(進捗管理!C:C,A85,進捗管理!O:O,"完了")</f>
        <v>1</v>
      </c>
      <c r="E85" s="35">
        <f>COUNTIFS(進捗管理!C:C,A85,進捗管理!P:P,"出荷済")</f>
        <v>0</v>
      </c>
      <c r="F85" s="36">
        <f t="shared" si="2"/>
        <v>1</v>
      </c>
      <c r="G85" s="37" t="str">
        <f ca="1">IFERROR(MAXIFS(進捗管理!I:I,進捗管理!C:C,A85),"")</f>
        <v/>
      </c>
    </row>
    <row r="86" spans="1:7" ht="21.95" customHeight="1" x14ac:dyDescent="0.4">
      <c r="A86" s="32" t="s">
        <v>230</v>
      </c>
      <c r="B86" s="32">
        <f>COUNTIF(進捗管理!C:C,A86)</f>
        <v>2</v>
      </c>
      <c r="C86" s="32">
        <f>COUNTIFS(進捗管理!C:C,A86,進捗管理!L:L,"完了")</f>
        <v>1</v>
      </c>
      <c r="D86" s="32">
        <f>COUNTIFS(進捗管理!C:C,A86,進捗管理!O:O,"完了")</f>
        <v>1</v>
      </c>
      <c r="E86" s="32">
        <f>COUNTIFS(進捗管理!C:C,A86,進捗管理!P:P,"出荷済")</f>
        <v>1</v>
      </c>
      <c r="F86" s="33">
        <f t="shared" si="2"/>
        <v>0.5</v>
      </c>
      <c r="G86" s="34" t="str">
        <f ca="1">IFERROR(MAXIFS(進捗管理!I:I,進捗管理!C:C,A86),"")</f>
        <v/>
      </c>
    </row>
    <row r="87" spans="1:7" ht="21.95" customHeight="1" x14ac:dyDescent="0.4">
      <c r="A87" s="35" t="s">
        <v>233</v>
      </c>
      <c r="B87" s="35">
        <f>COUNTIF(進捗管理!C:C,A87)</f>
        <v>1</v>
      </c>
      <c r="C87" s="35">
        <f>COUNTIFS(進捗管理!C:C,A87,進捗管理!L:L,"完了")</f>
        <v>1</v>
      </c>
      <c r="D87" s="35">
        <f>COUNTIFS(進捗管理!C:C,A87,進捗管理!O:O,"完了")</f>
        <v>1</v>
      </c>
      <c r="E87" s="35">
        <f>COUNTIFS(進捗管理!C:C,A87,進捗管理!P:P,"出荷済")</f>
        <v>1</v>
      </c>
      <c r="F87" s="36">
        <f t="shared" si="2"/>
        <v>1</v>
      </c>
      <c r="G87" s="37" t="str">
        <f ca="1">IFERROR(MAXIFS(進捗管理!I:I,進捗管理!C:C,A87),"")</f>
        <v/>
      </c>
    </row>
    <row r="88" spans="1:7" ht="21.95" customHeight="1" x14ac:dyDescent="0.4">
      <c r="A88" s="32" t="s">
        <v>234</v>
      </c>
      <c r="B88" s="32">
        <f>COUNTIF(進捗管理!C:C,A88)</f>
        <v>1</v>
      </c>
      <c r="C88" s="32">
        <f>COUNTIFS(進捗管理!C:C,A88,進捗管理!L:L,"完了")</f>
        <v>1</v>
      </c>
      <c r="D88" s="32">
        <f>COUNTIFS(進捗管理!C:C,A88,進捗管理!O:O,"完了")</f>
        <v>1</v>
      </c>
      <c r="E88" s="32">
        <f>COUNTIFS(進捗管理!C:C,A88,進捗管理!P:P,"出荷済")</f>
        <v>1</v>
      </c>
      <c r="F88" s="33">
        <f t="shared" si="2"/>
        <v>1</v>
      </c>
      <c r="G88" s="34" t="str">
        <f ca="1">IFERROR(MAXIFS(進捗管理!I:I,進捗管理!C:C,A88),"")</f>
        <v/>
      </c>
    </row>
    <row r="89" spans="1:7" ht="21.95" customHeight="1" x14ac:dyDescent="0.4">
      <c r="A89" s="35" t="s">
        <v>235</v>
      </c>
      <c r="B89" s="35">
        <f>COUNTIF(進捗管理!C:C,A89)</f>
        <v>1</v>
      </c>
      <c r="C89" s="35">
        <f>COUNTIFS(進捗管理!C:C,A89,進捗管理!L:L,"完了")</f>
        <v>1</v>
      </c>
      <c r="D89" s="35">
        <f>COUNTIFS(進捗管理!C:C,A89,進捗管理!O:O,"完了")</f>
        <v>1</v>
      </c>
      <c r="E89" s="35">
        <f>COUNTIFS(進捗管理!C:C,A89,進捗管理!P:P,"出荷済")</f>
        <v>1</v>
      </c>
      <c r="F89" s="36">
        <f t="shared" si="2"/>
        <v>1</v>
      </c>
      <c r="G89" s="37" t="str">
        <f ca="1">IFERROR(MAXIFS(進捗管理!I:I,進捗管理!C:C,A89),"")</f>
        <v/>
      </c>
    </row>
    <row r="90" spans="1:7" ht="21.95" customHeight="1" x14ac:dyDescent="0.4">
      <c r="A90" s="32" t="s">
        <v>237</v>
      </c>
      <c r="B90" s="32">
        <f>COUNTIF(進捗管理!C:C,A90)</f>
        <v>1</v>
      </c>
      <c r="C90" s="32">
        <f>COUNTIFS(進捗管理!C:C,A90,進捗管理!L:L,"完了")</f>
        <v>1</v>
      </c>
      <c r="D90" s="32">
        <f>COUNTIFS(進捗管理!C:C,A90,進捗管理!O:O,"完了")</f>
        <v>1</v>
      </c>
      <c r="E90" s="32">
        <f>COUNTIFS(進捗管理!C:C,A90,進捗管理!P:P,"出荷済")</f>
        <v>0</v>
      </c>
      <c r="F90" s="33">
        <f t="shared" si="2"/>
        <v>1</v>
      </c>
      <c r="G90" s="34" t="str">
        <f ca="1">IFERROR(MAXIFS(進捗管理!I:I,進捗管理!C:C,A90),"")</f>
        <v/>
      </c>
    </row>
    <row r="91" spans="1:7" ht="21.95" customHeight="1" x14ac:dyDescent="0.4">
      <c r="A91" s="35" t="s">
        <v>239</v>
      </c>
      <c r="B91" s="35">
        <f>COUNTIF(進捗管理!C:C,A91)</f>
        <v>1</v>
      </c>
      <c r="C91" s="35">
        <f>COUNTIFS(進捗管理!C:C,A91,進捗管理!L:L,"完了")</f>
        <v>0</v>
      </c>
      <c r="D91" s="35">
        <f>COUNTIFS(進捗管理!C:C,A91,進捗管理!O:O,"完了")</f>
        <v>0</v>
      </c>
      <c r="E91" s="35">
        <f>COUNTIFS(進捗管理!C:C,A91,進捗管理!P:P,"出荷済")</f>
        <v>0</v>
      </c>
      <c r="F91" s="36">
        <f t="shared" si="2"/>
        <v>0</v>
      </c>
      <c r="G91" s="37" t="str">
        <f ca="1">IFERROR(MAXIFS(進捗管理!I:I,進捗管理!C:C,A91),"")</f>
        <v/>
      </c>
    </row>
    <row r="92" spans="1:7" ht="21.95" customHeight="1" x14ac:dyDescent="0.4">
      <c r="A92" s="32" t="s">
        <v>240</v>
      </c>
      <c r="B92" s="32">
        <f>COUNTIF(進捗管理!C:C,A92)</f>
        <v>1</v>
      </c>
      <c r="C92" s="32">
        <f>COUNTIFS(進捗管理!C:C,A92,進捗管理!L:L,"完了")</f>
        <v>0</v>
      </c>
      <c r="D92" s="32">
        <f>COUNTIFS(進捗管理!C:C,A92,進捗管理!O:O,"完了")</f>
        <v>0</v>
      </c>
      <c r="E92" s="32">
        <f>COUNTIFS(進捗管理!C:C,A92,進捗管理!P:P,"出荷済")</f>
        <v>0</v>
      </c>
      <c r="F92" s="33">
        <f t="shared" si="2"/>
        <v>0</v>
      </c>
      <c r="G92" s="34" t="str">
        <f ca="1">IFERROR(MAXIFS(進捗管理!I:I,進捗管理!C:C,A92),"")</f>
        <v/>
      </c>
    </row>
    <row r="93" spans="1:7" ht="21.95" customHeight="1" x14ac:dyDescent="0.4">
      <c r="A93" s="35" t="s">
        <v>243</v>
      </c>
      <c r="B93" s="35">
        <f>COUNTIF(進捗管理!C:C,A93)</f>
        <v>1</v>
      </c>
      <c r="C93" s="35">
        <f>COUNTIFS(進捗管理!C:C,A93,進捗管理!L:L,"完了")</f>
        <v>0</v>
      </c>
      <c r="D93" s="35">
        <f>COUNTIFS(進捗管理!C:C,A93,進捗管理!O:O,"完了")</f>
        <v>0</v>
      </c>
      <c r="E93" s="35">
        <f>COUNTIFS(進捗管理!C:C,A93,進捗管理!P:P,"出荷済")</f>
        <v>0</v>
      </c>
      <c r="F93" s="36">
        <f t="shared" si="2"/>
        <v>0</v>
      </c>
      <c r="G93" s="37" t="str">
        <f ca="1">IFERROR(MAXIFS(進捗管理!I:I,進捗管理!C:C,A93),"")</f>
        <v/>
      </c>
    </row>
    <row r="94" spans="1:7" ht="21.95" customHeight="1" x14ac:dyDescent="0.4">
      <c r="A94" s="32" t="s">
        <v>244</v>
      </c>
      <c r="B94" s="32">
        <f>COUNTIF(進捗管理!C:C,A94)</f>
        <v>2</v>
      </c>
      <c r="C94" s="32">
        <f>COUNTIFS(進捗管理!C:C,A94,進捗管理!L:L,"完了")</f>
        <v>2</v>
      </c>
      <c r="D94" s="32">
        <f>COUNTIFS(進捗管理!C:C,A94,進捗管理!O:O,"完了")</f>
        <v>2</v>
      </c>
      <c r="E94" s="32">
        <f>COUNTIFS(進捗管理!C:C,A94,進捗管理!P:P,"出荷済")</f>
        <v>1</v>
      </c>
      <c r="F94" s="33">
        <f t="shared" si="2"/>
        <v>1</v>
      </c>
      <c r="G94" s="34" t="str">
        <f ca="1">IFERROR(MAXIFS(進捗管理!I:I,進捗管理!C:C,A94),"")</f>
        <v/>
      </c>
    </row>
    <row r="95" spans="1:7" ht="21.95" customHeight="1" x14ac:dyDescent="0.4">
      <c r="A95" s="35" t="s">
        <v>246</v>
      </c>
      <c r="B95" s="35">
        <f>COUNTIF(進捗管理!C:C,A95)</f>
        <v>2</v>
      </c>
      <c r="C95" s="35">
        <f>COUNTIFS(進捗管理!C:C,A95,進捗管理!L:L,"完了")</f>
        <v>2</v>
      </c>
      <c r="D95" s="35">
        <f>COUNTIFS(進捗管理!C:C,A95,進捗管理!O:O,"完了")</f>
        <v>2</v>
      </c>
      <c r="E95" s="35">
        <f>COUNTIFS(進捗管理!C:C,A95,進捗管理!P:P,"出荷済")</f>
        <v>1</v>
      </c>
      <c r="F95" s="36">
        <f t="shared" si="2"/>
        <v>1</v>
      </c>
      <c r="G95" s="37" t="str">
        <f ca="1">IFERROR(MAXIFS(進捗管理!I:I,進捗管理!C:C,A95),"")</f>
        <v/>
      </c>
    </row>
    <row r="96" spans="1:7" ht="21.95" customHeight="1" x14ac:dyDescent="0.4">
      <c r="A96" s="32" t="s">
        <v>248</v>
      </c>
      <c r="B96" s="32">
        <f>COUNTIF(進捗管理!C:C,A96)</f>
        <v>4</v>
      </c>
      <c r="C96" s="32">
        <f>COUNTIFS(進捗管理!C:C,A96,進捗管理!L:L,"完了")</f>
        <v>3</v>
      </c>
      <c r="D96" s="32">
        <f>COUNTIFS(進捗管理!C:C,A96,進捗管理!O:O,"完了")</f>
        <v>3</v>
      </c>
      <c r="E96" s="32">
        <f>COUNTIFS(進捗管理!C:C,A96,進捗管理!P:P,"出荷済")</f>
        <v>2</v>
      </c>
      <c r="F96" s="33">
        <f t="shared" si="2"/>
        <v>0.75</v>
      </c>
      <c r="G96" s="34" t="str">
        <f ca="1">IFERROR(MAXIFS(進捗管理!I:I,進捗管理!C:C,A96),"")</f>
        <v/>
      </c>
    </row>
    <row r="97" spans="1:7" ht="21.95" customHeight="1" x14ac:dyDescent="0.4">
      <c r="A97" s="35" t="s">
        <v>254</v>
      </c>
      <c r="B97" s="35">
        <f>COUNTIF(進捗管理!C:C,A97)</f>
        <v>1</v>
      </c>
      <c r="C97" s="35">
        <f>COUNTIFS(進捗管理!C:C,A97,進捗管理!L:L,"完了")</f>
        <v>0</v>
      </c>
      <c r="D97" s="35">
        <f>COUNTIFS(進捗管理!C:C,A97,進捗管理!O:O,"完了")</f>
        <v>0</v>
      </c>
      <c r="E97" s="35">
        <f>COUNTIFS(進捗管理!C:C,A97,進捗管理!P:P,"出荷済")</f>
        <v>0</v>
      </c>
      <c r="F97" s="36">
        <f t="shared" si="2"/>
        <v>0</v>
      </c>
      <c r="G97" s="37" t="str">
        <f ca="1">IFERROR(MAXIFS(進捗管理!I:I,進捗管理!C:C,A97),"")</f>
        <v/>
      </c>
    </row>
    <row r="98" spans="1:7" ht="21.95" customHeight="1" x14ac:dyDescent="0.4">
      <c r="A98" s="32" t="s">
        <v>256</v>
      </c>
      <c r="B98" s="32">
        <f>COUNTIF(進捗管理!C:C,A98)</f>
        <v>3</v>
      </c>
      <c r="C98" s="32">
        <f>COUNTIFS(進捗管理!C:C,A98,進捗管理!L:L,"完了")</f>
        <v>3</v>
      </c>
      <c r="D98" s="32">
        <f>COUNTIFS(進捗管理!C:C,A98,進捗管理!O:O,"完了")</f>
        <v>3</v>
      </c>
      <c r="E98" s="32">
        <f>COUNTIFS(進捗管理!C:C,A98,進捗管理!P:P,"出荷済")</f>
        <v>3</v>
      </c>
      <c r="F98" s="33">
        <f t="shared" ref="F98:F129" si="3">IF(B98=0,"",D98/B98)</f>
        <v>1</v>
      </c>
      <c r="G98" s="34" t="str">
        <f ca="1">IFERROR(MAXIFS(進捗管理!I:I,進捗管理!C:C,A98),"")</f>
        <v/>
      </c>
    </row>
    <row r="99" spans="1:7" ht="21.95" customHeight="1" x14ac:dyDescent="0.4">
      <c r="A99" s="35" t="s">
        <v>262</v>
      </c>
      <c r="B99" s="35">
        <f>COUNTIF(進捗管理!C:C,A99)</f>
        <v>2</v>
      </c>
      <c r="C99" s="35">
        <f>COUNTIFS(進捗管理!C:C,A99,進捗管理!L:L,"完了")</f>
        <v>1</v>
      </c>
      <c r="D99" s="35">
        <f>COUNTIFS(進捗管理!C:C,A99,進捗管理!O:O,"完了")</f>
        <v>1</v>
      </c>
      <c r="E99" s="35">
        <f>COUNTIFS(進捗管理!C:C,A99,進捗管理!P:P,"出荷済")</f>
        <v>1</v>
      </c>
      <c r="F99" s="36">
        <f t="shared" si="3"/>
        <v>0.5</v>
      </c>
      <c r="G99" s="37" t="str">
        <f ca="1">IFERROR(MAXIFS(進捗管理!I:I,進捗管理!C:C,A99),"")</f>
        <v/>
      </c>
    </row>
    <row r="100" spans="1:7" ht="21.95" customHeight="1" x14ac:dyDescent="0.4">
      <c r="A100" s="32" t="s">
        <v>265</v>
      </c>
      <c r="B100" s="32">
        <f>COUNTIF(進捗管理!C:C,A100)</f>
        <v>2</v>
      </c>
      <c r="C100" s="32">
        <f>COUNTIFS(進捗管理!C:C,A100,進捗管理!L:L,"完了")</f>
        <v>1</v>
      </c>
      <c r="D100" s="32">
        <f>COUNTIFS(進捗管理!C:C,A100,進捗管理!O:O,"完了")</f>
        <v>1</v>
      </c>
      <c r="E100" s="32">
        <f>COUNTIFS(進捗管理!C:C,A100,進捗管理!P:P,"出荷済")</f>
        <v>0</v>
      </c>
      <c r="F100" s="33">
        <f t="shared" si="3"/>
        <v>0.5</v>
      </c>
      <c r="G100" s="34" t="str">
        <f ca="1">IFERROR(MAXIFS(進捗管理!I:I,進捗管理!C:C,A100),"")</f>
        <v/>
      </c>
    </row>
    <row r="101" spans="1:7" ht="21.95" customHeight="1" x14ac:dyDescent="0.4">
      <c r="A101" s="35" t="s">
        <v>269</v>
      </c>
      <c r="B101" s="35">
        <f>COUNTIF(進捗管理!C:C,A101)</f>
        <v>2</v>
      </c>
      <c r="C101" s="35">
        <f>COUNTIFS(進捗管理!C:C,A101,進捗管理!L:L,"完了")</f>
        <v>2</v>
      </c>
      <c r="D101" s="35">
        <f>COUNTIFS(進捗管理!C:C,A101,進捗管理!O:O,"完了")</f>
        <v>2</v>
      </c>
      <c r="E101" s="35">
        <f>COUNTIFS(進捗管理!C:C,A101,進捗管理!P:P,"出荷済")</f>
        <v>2</v>
      </c>
      <c r="F101" s="36">
        <f t="shared" si="3"/>
        <v>1</v>
      </c>
      <c r="G101" s="37" t="str">
        <f ca="1">IFERROR(MAXIFS(進捗管理!I:I,進捗管理!C:C,A101),"")</f>
        <v/>
      </c>
    </row>
    <row r="102" spans="1:7" ht="21.95" customHeight="1" x14ac:dyDescent="0.4">
      <c r="A102" s="32" t="s">
        <v>272</v>
      </c>
      <c r="B102" s="32">
        <f>COUNTIF(進捗管理!C:C,A102)</f>
        <v>1</v>
      </c>
      <c r="C102" s="32">
        <f>COUNTIFS(進捗管理!C:C,A102,進捗管理!L:L,"完了")</f>
        <v>0</v>
      </c>
      <c r="D102" s="32">
        <f>COUNTIFS(進捗管理!C:C,A102,進捗管理!O:O,"完了")</f>
        <v>0</v>
      </c>
      <c r="E102" s="32">
        <f>COUNTIFS(進捗管理!C:C,A102,進捗管理!P:P,"出荷済")</f>
        <v>0</v>
      </c>
      <c r="F102" s="33">
        <f t="shared" si="3"/>
        <v>0</v>
      </c>
      <c r="G102" s="34" t="str">
        <f ca="1">IFERROR(MAXIFS(進捗管理!I:I,進捗管理!C:C,A102),"")</f>
        <v/>
      </c>
    </row>
    <row r="103" spans="1:7" ht="21.95" customHeight="1" x14ac:dyDescent="0.4">
      <c r="A103" s="35" t="s">
        <v>275</v>
      </c>
      <c r="B103" s="35">
        <f>COUNTIF(進捗管理!C:C,A103)</f>
        <v>1</v>
      </c>
      <c r="C103" s="35">
        <f>COUNTIFS(進捗管理!C:C,A103,進捗管理!L:L,"完了")</f>
        <v>1</v>
      </c>
      <c r="D103" s="35">
        <f>COUNTIFS(進捗管理!C:C,A103,進捗管理!O:O,"完了")</f>
        <v>1</v>
      </c>
      <c r="E103" s="35">
        <f>COUNTIFS(進捗管理!C:C,A103,進捗管理!P:P,"出荷済")</f>
        <v>1</v>
      </c>
      <c r="F103" s="36">
        <f t="shared" si="3"/>
        <v>1</v>
      </c>
      <c r="G103" s="37" t="str">
        <f ca="1">IFERROR(MAXIFS(進捗管理!I:I,進捗管理!C:C,A103),"")</f>
        <v/>
      </c>
    </row>
    <row r="104" spans="1:7" ht="21.95" customHeight="1" x14ac:dyDescent="0.4">
      <c r="A104" s="32" t="s">
        <v>277</v>
      </c>
      <c r="B104" s="32">
        <f>COUNTIF(進捗管理!C:C,A104)</f>
        <v>1</v>
      </c>
      <c r="C104" s="32">
        <f>COUNTIFS(進捗管理!C:C,A104,進捗管理!L:L,"完了")</f>
        <v>1</v>
      </c>
      <c r="D104" s="32">
        <f>COUNTIFS(進捗管理!C:C,A104,進捗管理!O:O,"完了")</f>
        <v>1</v>
      </c>
      <c r="E104" s="32">
        <f>COUNTIFS(進捗管理!C:C,A104,進捗管理!P:P,"出荷済")</f>
        <v>1</v>
      </c>
      <c r="F104" s="33">
        <f t="shared" si="3"/>
        <v>1</v>
      </c>
      <c r="G104" s="34" t="str">
        <f ca="1">IFERROR(MAXIFS(進捗管理!I:I,進捗管理!C:C,A104),"")</f>
        <v/>
      </c>
    </row>
    <row r="105" spans="1:7" ht="21.95" customHeight="1" x14ac:dyDescent="0.4">
      <c r="A105" s="35" t="s">
        <v>279</v>
      </c>
      <c r="B105" s="35">
        <f>COUNTIF(進捗管理!C:C,A105)</f>
        <v>1</v>
      </c>
      <c r="C105" s="35">
        <f>COUNTIFS(進捗管理!C:C,A105,進捗管理!L:L,"完了")</f>
        <v>1</v>
      </c>
      <c r="D105" s="35">
        <f>COUNTIFS(進捗管理!C:C,A105,進捗管理!O:O,"完了")</f>
        <v>1</v>
      </c>
      <c r="E105" s="35">
        <f>COUNTIFS(進捗管理!C:C,A105,進捗管理!P:P,"出荷済")</f>
        <v>1</v>
      </c>
      <c r="F105" s="36">
        <f t="shared" si="3"/>
        <v>1</v>
      </c>
      <c r="G105" s="37" t="str">
        <f ca="1">IFERROR(MAXIFS(進捗管理!I:I,進捗管理!C:C,A105),"")</f>
        <v/>
      </c>
    </row>
    <row r="106" spans="1:7" ht="21.95" customHeight="1" x14ac:dyDescent="0.4">
      <c r="A106" s="32" t="s">
        <v>281</v>
      </c>
      <c r="B106" s="32">
        <f>COUNTIF(進捗管理!C:C,A106)</f>
        <v>1</v>
      </c>
      <c r="C106" s="32">
        <f>COUNTIFS(進捗管理!C:C,A106,進捗管理!L:L,"完了")</f>
        <v>1</v>
      </c>
      <c r="D106" s="32">
        <f>COUNTIFS(進捗管理!C:C,A106,進捗管理!O:O,"完了")</f>
        <v>1</v>
      </c>
      <c r="E106" s="32">
        <f>COUNTIFS(進捗管理!C:C,A106,進捗管理!P:P,"出荷済")</f>
        <v>1</v>
      </c>
      <c r="F106" s="33">
        <f t="shared" si="3"/>
        <v>1</v>
      </c>
      <c r="G106" s="34" t="str">
        <f ca="1">IFERROR(MAXIFS(進捗管理!I:I,進捗管理!C:C,A106),"")</f>
        <v/>
      </c>
    </row>
    <row r="107" spans="1:7" ht="21.95" customHeight="1" x14ac:dyDescent="0.4">
      <c r="A107" s="35" t="s">
        <v>283</v>
      </c>
      <c r="B107" s="35">
        <f>COUNTIF(進捗管理!C:C,A107)</f>
        <v>5</v>
      </c>
      <c r="C107" s="35">
        <f>COUNTIFS(進捗管理!C:C,A107,進捗管理!L:L,"完了")</f>
        <v>4</v>
      </c>
      <c r="D107" s="35">
        <f>COUNTIFS(進捗管理!C:C,A107,進捗管理!O:O,"完了")</f>
        <v>4</v>
      </c>
      <c r="E107" s="35">
        <f>COUNTIFS(進捗管理!C:C,A107,進捗管理!P:P,"出荷済")</f>
        <v>2</v>
      </c>
      <c r="F107" s="36">
        <f t="shared" si="3"/>
        <v>0.8</v>
      </c>
      <c r="G107" s="37" t="str">
        <f ca="1">IFERROR(MAXIFS(進捗管理!I:I,進捗管理!C:C,A107),"")</f>
        <v/>
      </c>
    </row>
    <row r="108" spans="1:7" ht="21.95" customHeight="1" x14ac:dyDescent="0.4">
      <c r="A108" s="32" t="s">
        <v>289</v>
      </c>
      <c r="B108" s="32">
        <f>COUNTIF(進捗管理!C:C,A108)</f>
        <v>1</v>
      </c>
      <c r="C108" s="32">
        <f>COUNTIFS(進捗管理!C:C,A108,進捗管理!L:L,"完了")</f>
        <v>1</v>
      </c>
      <c r="D108" s="32">
        <f>COUNTIFS(進捗管理!C:C,A108,進捗管理!O:O,"完了")</f>
        <v>1</v>
      </c>
      <c r="E108" s="32">
        <f>COUNTIFS(進捗管理!C:C,A108,進捗管理!P:P,"出荷済")</f>
        <v>1</v>
      </c>
      <c r="F108" s="33">
        <f t="shared" si="3"/>
        <v>1</v>
      </c>
      <c r="G108" s="34" t="str">
        <f ca="1">IFERROR(MAXIFS(進捗管理!I:I,進捗管理!C:C,A108),"")</f>
        <v/>
      </c>
    </row>
    <row r="109" spans="1:7" ht="21.95" customHeight="1" x14ac:dyDescent="0.4">
      <c r="A109" s="35" t="s">
        <v>291</v>
      </c>
      <c r="B109" s="35">
        <f>COUNTIF(進捗管理!C:C,A109)</f>
        <v>1</v>
      </c>
      <c r="C109" s="35">
        <f>COUNTIFS(進捗管理!C:C,A109,進捗管理!L:L,"完了")</f>
        <v>0</v>
      </c>
      <c r="D109" s="35">
        <f>COUNTIFS(進捗管理!C:C,A109,進捗管理!O:O,"完了")</f>
        <v>0</v>
      </c>
      <c r="E109" s="35">
        <f>COUNTIFS(進捗管理!C:C,A109,進捗管理!P:P,"出荷済")</f>
        <v>0</v>
      </c>
      <c r="F109" s="36">
        <f t="shared" si="3"/>
        <v>0</v>
      </c>
      <c r="G109" s="37" t="str">
        <f ca="1">IFERROR(MAXIFS(進捗管理!I:I,進捗管理!C:C,A109),"")</f>
        <v/>
      </c>
    </row>
    <row r="110" spans="1:7" ht="21.95" customHeight="1" x14ac:dyDescent="0.4">
      <c r="A110" s="32" t="s">
        <v>294</v>
      </c>
      <c r="B110" s="32">
        <f>COUNTIF(進捗管理!C:C,A110)</f>
        <v>2</v>
      </c>
      <c r="C110" s="32">
        <f>COUNTIFS(進捗管理!C:C,A110,進捗管理!L:L,"完了")</f>
        <v>2</v>
      </c>
      <c r="D110" s="32">
        <f>COUNTIFS(進捗管理!C:C,A110,進捗管理!O:O,"完了")</f>
        <v>2</v>
      </c>
      <c r="E110" s="32">
        <f>COUNTIFS(進捗管理!C:C,A110,進捗管理!P:P,"出荷済")</f>
        <v>2</v>
      </c>
      <c r="F110" s="33">
        <f t="shared" si="3"/>
        <v>1</v>
      </c>
      <c r="G110" s="34" t="str">
        <f ca="1">IFERROR(MAXIFS(進捗管理!I:I,進捗管理!C:C,A110),"")</f>
        <v/>
      </c>
    </row>
    <row r="111" spans="1:7" ht="21.95" customHeight="1" x14ac:dyDescent="0.4">
      <c r="A111" s="35" t="s">
        <v>296</v>
      </c>
      <c r="B111" s="35">
        <f>COUNTIF(進捗管理!C:C,A111)</f>
        <v>3</v>
      </c>
      <c r="C111" s="35">
        <f>COUNTIFS(進捗管理!C:C,A111,進捗管理!L:L,"完了")</f>
        <v>3</v>
      </c>
      <c r="D111" s="35">
        <f>COUNTIFS(進捗管理!C:C,A111,進捗管理!O:O,"完了")</f>
        <v>3</v>
      </c>
      <c r="E111" s="35">
        <f>COUNTIFS(進捗管理!C:C,A111,進捗管理!P:P,"出荷済")</f>
        <v>3</v>
      </c>
      <c r="F111" s="36">
        <f t="shared" si="3"/>
        <v>1</v>
      </c>
      <c r="G111" s="37" t="str">
        <f ca="1">IFERROR(MAXIFS(進捗管理!I:I,進捗管理!C:C,A111),"")</f>
        <v/>
      </c>
    </row>
    <row r="112" spans="1:7" ht="21.95" customHeight="1" x14ac:dyDescent="0.4">
      <c r="A112" s="32" t="s">
        <v>300</v>
      </c>
      <c r="B112" s="32">
        <f>COUNTIF(進捗管理!C:C,A112)</f>
        <v>1</v>
      </c>
      <c r="C112" s="32">
        <f>COUNTIFS(進捗管理!C:C,A112,進捗管理!L:L,"完了")</f>
        <v>1</v>
      </c>
      <c r="D112" s="32">
        <f>COUNTIFS(進捗管理!C:C,A112,進捗管理!O:O,"完了")</f>
        <v>1</v>
      </c>
      <c r="E112" s="32">
        <f>COUNTIFS(進捗管理!C:C,A112,進捗管理!P:P,"出荷済")</f>
        <v>1</v>
      </c>
      <c r="F112" s="33">
        <f t="shared" si="3"/>
        <v>1</v>
      </c>
      <c r="G112" s="34" t="str">
        <f ca="1">IFERROR(MAXIFS(進捗管理!I:I,進捗管理!C:C,A112),"")</f>
        <v/>
      </c>
    </row>
    <row r="113" spans="1:7" ht="21.95" customHeight="1" x14ac:dyDescent="0.4">
      <c r="A113" s="35" t="s">
        <v>302</v>
      </c>
      <c r="B113" s="35">
        <f>COUNTIF(進捗管理!C:C,A113)</f>
        <v>1</v>
      </c>
      <c r="C113" s="35">
        <f>COUNTIFS(進捗管理!C:C,A113,進捗管理!L:L,"完了")</f>
        <v>1</v>
      </c>
      <c r="D113" s="35">
        <f>COUNTIFS(進捗管理!C:C,A113,進捗管理!O:O,"完了")</f>
        <v>1</v>
      </c>
      <c r="E113" s="35">
        <f>COUNTIFS(進捗管理!C:C,A113,進捗管理!P:P,"出荷済")</f>
        <v>1</v>
      </c>
      <c r="F113" s="36">
        <f t="shared" si="3"/>
        <v>1</v>
      </c>
      <c r="G113" s="37" t="str">
        <f ca="1">IFERROR(MAXIFS(進捗管理!I:I,進捗管理!C:C,A113),"")</f>
        <v/>
      </c>
    </row>
    <row r="114" spans="1:7" ht="21.95" customHeight="1" x14ac:dyDescent="0.4">
      <c r="A114" s="32" t="s">
        <v>304</v>
      </c>
      <c r="B114" s="32">
        <f>COUNTIF(進捗管理!C:C,A114)</f>
        <v>1</v>
      </c>
      <c r="C114" s="32">
        <f>COUNTIFS(進捗管理!C:C,A114,進捗管理!L:L,"完了")</f>
        <v>1</v>
      </c>
      <c r="D114" s="32">
        <f>COUNTIFS(進捗管理!C:C,A114,進捗管理!O:O,"完了")</f>
        <v>1</v>
      </c>
      <c r="E114" s="32">
        <f>COUNTIFS(進捗管理!C:C,A114,進捗管理!P:P,"出荷済")</f>
        <v>1</v>
      </c>
      <c r="F114" s="33">
        <f t="shared" si="3"/>
        <v>1</v>
      </c>
      <c r="G114" s="34" t="str">
        <f ca="1">IFERROR(MAXIFS(進捗管理!I:I,進捗管理!C:C,A114),"")</f>
        <v/>
      </c>
    </row>
    <row r="115" spans="1:7" ht="21.95" customHeight="1" x14ac:dyDescent="0.4">
      <c r="A115" s="35" t="s">
        <v>305</v>
      </c>
      <c r="B115" s="35">
        <f>COUNTIF(進捗管理!C:C,A115)</f>
        <v>1</v>
      </c>
      <c r="C115" s="35">
        <f>COUNTIFS(進捗管理!C:C,A115,進捗管理!L:L,"完了")</f>
        <v>1</v>
      </c>
      <c r="D115" s="35">
        <f>COUNTIFS(進捗管理!C:C,A115,進捗管理!O:O,"完了")</f>
        <v>1</v>
      </c>
      <c r="E115" s="35">
        <f>COUNTIFS(進捗管理!C:C,A115,進捗管理!P:P,"出荷済")</f>
        <v>1</v>
      </c>
      <c r="F115" s="36">
        <f t="shared" si="3"/>
        <v>1</v>
      </c>
      <c r="G115" s="37" t="str">
        <f ca="1">IFERROR(MAXIFS(進捗管理!I:I,進捗管理!C:C,A115),"")</f>
        <v/>
      </c>
    </row>
    <row r="116" spans="1:7" ht="21.95" customHeight="1" x14ac:dyDescent="0.4">
      <c r="A116" s="32" t="s">
        <v>306</v>
      </c>
      <c r="B116" s="32">
        <f>COUNTIF(進捗管理!C:C,A116)</f>
        <v>1</v>
      </c>
      <c r="C116" s="32">
        <f>COUNTIFS(進捗管理!C:C,A116,進捗管理!L:L,"完了")</f>
        <v>1</v>
      </c>
      <c r="D116" s="32">
        <f>COUNTIFS(進捗管理!C:C,A116,進捗管理!O:O,"完了")</f>
        <v>1</v>
      </c>
      <c r="E116" s="32">
        <f>COUNTIFS(進捗管理!C:C,A116,進捗管理!P:P,"出荷済")</f>
        <v>1</v>
      </c>
      <c r="F116" s="33">
        <f t="shared" si="3"/>
        <v>1</v>
      </c>
      <c r="G116" s="34" t="str">
        <f ca="1">IFERROR(MAXIFS(進捗管理!I:I,進捗管理!C:C,A116),"")</f>
        <v/>
      </c>
    </row>
    <row r="117" spans="1:7" ht="21.95" customHeight="1" x14ac:dyDescent="0.4">
      <c r="A117" s="35" t="s">
        <v>309</v>
      </c>
      <c r="B117" s="35">
        <f>COUNTIF(進捗管理!C:C,A117)</f>
        <v>1</v>
      </c>
      <c r="C117" s="35">
        <f>COUNTIFS(進捗管理!C:C,A117,進捗管理!L:L,"完了")</f>
        <v>1</v>
      </c>
      <c r="D117" s="35">
        <f>COUNTIFS(進捗管理!C:C,A117,進捗管理!O:O,"完了")</f>
        <v>1</v>
      </c>
      <c r="E117" s="35">
        <f>COUNTIFS(進捗管理!C:C,A117,進捗管理!P:P,"出荷済")</f>
        <v>0</v>
      </c>
      <c r="F117" s="36">
        <f t="shared" si="3"/>
        <v>1</v>
      </c>
      <c r="G117" s="37" t="str">
        <f ca="1">IFERROR(MAXIFS(進捗管理!I:I,進捗管理!C:C,A117),"")</f>
        <v/>
      </c>
    </row>
    <row r="118" spans="1:7" ht="21.95" customHeight="1" x14ac:dyDescent="0.4">
      <c r="A118" s="32" t="s">
        <v>310</v>
      </c>
      <c r="B118" s="32">
        <f>COUNTIF(進捗管理!C:C,A118)</f>
        <v>2</v>
      </c>
      <c r="C118" s="32">
        <f>COUNTIFS(進捗管理!C:C,A118,進捗管理!L:L,"完了")</f>
        <v>2</v>
      </c>
      <c r="D118" s="32">
        <f>COUNTIFS(進捗管理!C:C,A118,進捗管理!O:O,"完了")</f>
        <v>2</v>
      </c>
      <c r="E118" s="32">
        <f>COUNTIFS(進捗管理!C:C,A118,進捗管理!P:P,"出荷済")</f>
        <v>1</v>
      </c>
      <c r="F118" s="33">
        <f t="shared" si="3"/>
        <v>1</v>
      </c>
      <c r="G118" s="34" t="str">
        <f ca="1">IFERROR(MAXIFS(進捗管理!I:I,進捗管理!C:C,A118),"")</f>
        <v/>
      </c>
    </row>
    <row r="119" spans="1:7" ht="21.95" customHeight="1" x14ac:dyDescent="0.4">
      <c r="A119" s="35" t="s">
        <v>311</v>
      </c>
      <c r="B119" s="35">
        <f>COUNTIF(進捗管理!C:C,A119)</f>
        <v>1</v>
      </c>
      <c r="C119" s="35">
        <f>COUNTIFS(進捗管理!C:C,A119,進捗管理!L:L,"完了")</f>
        <v>1</v>
      </c>
      <c r="D119" s="35">
        <f>COUNTIFS(進捗管理!C:C,A119,進捗管理!O:O,"完了")</f>
        <v>1</v>
      </c>
      <c r="E119" s="35">
        <f>COUNTIFS(進捗管理!C:C,A119,進捗管理!P:P,"出荷済")</f>
        <v>1</v>
      </c>
      <c r="F119" s="36">
        <f t="shared" si="3"/>
        <v>1</v>
      </c>
      <c r="G119" s="37" t="str">
        <f ca="1">IFERROR(MAXIFS(進捗管理!I:I,進捗管理!C:C,A119),"")</f>
        <v/>
      </c>
    </row>
    <row r="120" spans="1:7" ht="21.95" customHeight="1" x14ac:dyDescent="0.4">
      <c r="A120" s="32" t="s">
        <v>314</v>
      </c>
      <c r="B120" s="32">
        <f>COUNTIF(進捗管理!C:C,A120)</f>
        <v>1</v>
      </c>
      <c r="C120" s="32">
        <f>COUNTIFS(進捗管理!C:C,A120,進捗管理!L:L,"完了")</f>
        <v>1</v>
      </c>
      <c r="D120" s="32">
        <f>COUNTIFS(進捗管理!C:C,A120,進捗管理!O:O,"完了")</f>
        <v>1</v>
      </c>
      <c r="E120" s="32">
        <f>COUNTIFS(進捗管理!C:C,A120,進捗管理!P:P,"出荷済")</f>
        <v>1</v>
      </c>
      <c r="F120" s="33">
        <f t="shared" si="3"/>
        <v>1</v>
      </c>
      <c r="G120" s="34" t="str">
        <f ca="1">IFERROR(MAXIFS(進捗管理!I:I,進捗管理!C:C,A120),"")</f>
        <v/>
      </c>
    </row>
    <row r="121" spans="1:7" ht="21.95" customHeight="1" x14ac:dyDescent="0.4">
      <c r="A121" s="35" t="s">
        <v>317</v>
      </c>
      <c r="B121" s="35">
        <f>COUNTIF(進捗管理!C:C,A121)</f>
        <v>1</v>
      </c>
      <c r="C121" s="35">
        <f>COUNTIFS(進捗管理!C:C,A121,進捗管理!L:L,"完了")</f>
        <v>0</v>
      </c>
      <c r="D121" s="35">
        <f>COUNTIFS(進捗管理!C:C,A121,進捗管理!O:O,"完了")</f>
        <v>0</v>
      </c>
      <c r="E121" s="35">
        <f>COUNTIFS(進捗管理!C:C,A121,進捗管理!P:P,"出荷済")</f>
        <v>0</v>
      </c>
      <c r="F121" s="36">
        <f t="shared" si="3"/>
        <v>0</v>
      </c>
      <c r="G121" s="37" t="str">
        <f ca="1">IFERROR(MAXIFS(進捗管理!I:I,進捗管理!C:C,A121),"")</f>
        <v/>
      </c>
    </row>
    <row r="122" spans="1:7" ht="21.95" customHeight="1" x14ac:dyDescent="0.4">
      <c r="A122" s="32" t="s">
        <v>319</v>
      </c>
      <c r="B122" s="32">
        <f>COUNTIF(進捗管理!C:C,A122)</f>
        <v>3</v>
      </c>
      <c r="C122" s="32">
        <f>COUNTIFS(進捗管理!C:C,A122,進捗管理!L:L,"完了")</f>
        <v>1</v>
      </c>
      <c r="D122" s="32">
        <f>COUNTIFS(進捗管理!C:C,A122,進捗管理!O:O,"完了")</f>
        <v>1</v>
      </c>
      <c r="E122" s="32">
        <f>COUNTIFS(進捗管理!C:C,A122,進捗管理!P:P,"出荷済")</f>
        <v>0</v>
      </c>
      <c r="F122" s="33">
        <f t="shared" si="3"/>
        <v>0.33333333333333331</v>
      </c>
      <c r="G122" s="34" t="str">
        <f ca="1">IFERROR(MAXIFS(進捗管理!I:I,進捗管理!C:C,A122),"")</f>
        <v/>
      </c>
    </row>
    <row r="123" spans="1:7" ht="21.95" customHeight="1" x14ac:dyDescent="0.4">
      <c r="A123" s="35" t="s">
        <v>322</v>
      </c>
      <c r="B123" s="35">
        <f>COUNTIF(進捗管理!C:C,A123)</f>
        <v>1</v>
      </c>
      <c r="C123" s="35">
        <f>COUNTIFS(進捗管理!C:C,A123,進捗管理!L:L,"完了")</f>
        <v>1</v>
      </c>
      <c r="D123" s="35">
        <f>COUNTIFS(進捗管理!C:C,A123,進捗管理!O:O,"完了")</f>
        <v>1</v>
      </c>
      <c r="E123" s="35">
        <f>COUNTIFS(進捗管理!C:C,A123,進捗管理!P:P,"出荷済")</f>
        <v>1</v>
      </c>
      <c r="F123" s="36">
        <f t="shared" si="3"/>
        <v>1</v>
      </c>
      <c r="G123" s="37" t="str">
        <f ca="1">IFERROR(MAXIFS(進捗管理!I:I,進捗管理!C:C,A123),"")</f>
        <v/>
      </c>
    </row>
    <row r="124" spans="1:7" ht="21.95" customHeight="1" x14ac:dyDescent="0.4">
      <c r="A124" s="32" t="s">
        <v>324</v>
      </c>
      <c r="B124" s="32">
        <f>COUNTIF(進捗管理!C:C,A124)</f>
        <v>1</v>
      </c>
      <c r="C124" s="32">
        <f>COUNTIFS(進捗管理!C:C,A124,進捗管理!L:L,"完了")</f>
        <v>1</v>
      </c>
      <c r="D124" s="32">
        <f>COUNTIFS(進捗管理!C:C,A124,進捗管理!O:O,"完了")</f>
        <v>1</v>
      </c>
      <c r="E124" s="32">
        <f>COUNTIFS(進捗管理!C:C,A124,進捗管理!P:P,"出荷済")</f>
        <v>0</v>
      </c>
      <c r="F124" s="33">
        <f t="shared" si="3"/>
        <v>1</v>
      </c>
      <c r="G124" s="34" t="str">
        <f ca="1">IFERROR(MAXIFS(進捗管理!I:I,進捗管理!C:C,A124),"")</f>
        <v/>
      </c>
    </row>
    <row r="125" spans="1:7" ht="21.95" customHeight="1" x14ac:dyDescent="0.4">
      <c r="A125" s="35" t="s">
        <v>325</v>
      </c>
      <c r="B125" s="35">
        <f>COUNTIF(進捗管理!C:C,A125)</f>
        <v>1</v>
      </c>
      <c r="C125" s="35">
        <f>COUNTIFS(進捗管理!C:C,A125,進捗管理!L:L,"完了")</f>
        <v>1</v>
      </c>
      <c r="D125" s="35">
        <f>COUNTIFS(進捗管理!C:C,A125,進捗管理!O:O,"完了")</f>
        <v>1</v>
      </c>
      <c r="E125" s="35">
        <f>COUNTIFS(進捗管理!C:C,A125,進捗管理!P:P,"出荷済")</f>
        <v>1</v>
      </c>
      <c r="F125" s="36">
        <f t="shared" si="3"/>
        <v>1</v>
      </c>
      <c r="G125" s="37" t="str">
        <f ca="1">IFERROR(MAXIFS(進捗管理!I:I,進捗管理!C:C,A125),"")</f>
        <v/>
      </c>
    </row>
    <row r="126" spans="1:7" ht="21.95" customHeight="1" x14ac:dyDescent="0.4">
      <c r="A126" s="32" t="s">
        <v>326</v>
      </c>
      <c r="B126" s="32">
        <f>COUNTIF(進捗管理!C:C,A126)</f>
        <v>1</v>
      </c>
      <c r="C126" s="32">
        <f>COUNTIFS(進捗管理!C:C,A126,進捗管理!L:L,"完了")</f>
        <v>1</v>
      </c>
      <c r="D126" s="32">
        <f>COUNTIFS(進捗管理!C:C,A126,進捗管理!O:O,"完了")</f>
        <v>1</v>
      </c>
      <c r="E126" s="32">
        <f>COUNTIFS(進捗管理!C:C,A126,進捗管理!P:P,"出荷済")</f>
        <v>0</v>
      </c>
      <c r="F126" s="33">
        <f t="shared" si="3"/>
        <v>1</v>
      </c>
      <c r="G126" s="34" t="str">
        <f ca="1">IFERROR(MAXIFS(進捗管理!I:I,進捗管理!C:C,A126),"")</f>
        <v/>
      </c>
    </row>
    <row r="127" spans="1:7" ht="21.95" customHeight="1" x14ac:dyDescent="0.4">
      <c r="A127" s="35" t="s">
        <v>328</v>
      </c>
      <c r="B127" s="35">
        <f>COUNTIF(進捗管理!C:C,A127)</f>
        <v>2</v>
      </c>
      <c r="C127" s="35">
        <f>COUNTIFS(進捗管理!C:C,A127,進捗管理!L:L,"完了")</f>
        <v>2</v>
      </c>
      <c r="D127" s="35">
        <f>COUNTIFS(進捗管理!C:C,A127,進捗管理!O:O,"完了")</f>
        <v>2</v>
      </c>
      <c r="E127" s="35">
        <f>COUNTIFS(進捗管理!C:C,A127,進捗管理!P:P,"出荷済")</f>
        <v>2</v>
      </c>
      <c r="F127" s="36">
        <f t="shared" si="3"/>
        <v>1</v>
      </c>
      <c r="G127" s="37" t="str">
        <f ca="1">IFERROR(MAXIFS(進捗管理!I:I,進捗管理!C:C,A127),"")</f>
        <v/>
      </c>
    </row>
    <row r="128" spans="1:7" ht="21.95" customHeight="1" x14ac:dyDescent="0.4">
      <c r="A128" s="32" t="s">
        <v>330</v>
      </c>
      <c r="B128" s="32">
        <f>COUNTIF(進捗管理!C:C,A128)</f>
        <v>2</v>
      </c>
      <c r="C128" s="32">
        <f>COUNTIFS(進捗管理!C:C,A128,進捗管理!L:L,"完了")</f>
        <v>2</v>
      </c>
      <c r="D128" s="32">
        <f>COUNTIFS(進捗管理!C:C,A128,進捗管理!O:O,"完了")</f>
        <v>2</v>
      </c>
      <c r="E128" s="32">
        <f>COUNTIFS(進捗管理!C:C,A128,進捗管理!P:P,"出荷済")</f>
        <v>2</v>
      </c>
      <c r="F128" s="33">
        <f t="shared" si="3"/>
        <v>1</v>
      </c>
      <c r="G128" s="34" t="str">
        <f ca="1">IFERROR(MAXIFS(進捗管理!I:I,進捗管理!C:C,A128),"")</f>
        <v/>
      </c>
    </row>
    <row r="129" spans="1:7" ht="21.95" customHeight="1" x14ac:dyDescent="0.4">
      <c r="A129" s="35" t="s">
        <v>334</v>
      </c>
      <c r="B129" s="35">
        <f>COUNTIF(進捗管理!C:C,A129)</f>
        <v>3</v>
      </c>
      <c r="C129" s="35">
        <f>COUNTIFS(進捗管理!C:C,A129,進捗管理!L:L,"完了")</f>
        <v>2</v>
      </c>
      <c r="D129" s="35">
        <f>COUNTIFS(進捗管理!C:C,A129,進捗管理!O:O,"完了")</f>
        <v>2</v>
      </c>
      <c r="E129" s="35">
        <f>COUNTIFS(進捗管理!C:C,A129,進捗管理!P:P,"出荷済")</f>
        <v>1</v>
      </c>
      <c r="F129" s="36">
        <f t="shared" si="3"/>
        <v>0.66666666666666663</v>
      </c>
      <c r="G129" s="37" t="str">
        <f ca="1">IFERROR(MAXIFS(進捗管理!I:I,進捗管理!C:C,A129),"")</f>
        <v/>
      </c>
    </row>
    <row r="130" spans="1:7" ht="21.95" customHeight="1" x14ac:dyDescent="0.4">
      <c r="A130" s="32" t="s">
        <v>336</v>
      </c>
      <c r="B130" s="32">
        <f>COUNTIF(進捗管理!C:C,A130)</f>
        <v>1</v>
      </c>
      <c r="C130" s="32">
        <f>COUNTIFS(進捗管理!C:C,A130,進捗管理!L:L,"完了")</f>
        <v>1</v>
      </c>
      <c r="D130" s="32">
        <f>COUNTIFS(進捗管理!C:C,A130,進捗管理!O:O,"完了")</f>
        <v>1</v>
      </c>
      <c r="E130" s="32">
        <f>COUNTIFS(進捗管理!C:C,A130,進捗管理!P:P,"出荷済")</f>
        <v>0</v>
      </c>
      <c r="F130" s="33">
        <f t="shared" ref="F130:F161" si="4">IF(B130=0,"",D130/B130)</f>
        <v>1</v>
      </c>
      <c r="G130" s="34" t="str">
        <f ca="1">IFERROR(MAXIFS(進捗管理!I:I,進捗管理!C:C,A130),"")</f>
        <v/>
      </c>
    </row>
    <row r="131" spans="1:7" ht="21.95" customHeight="1" x14ac:dyDescent="0.4">
      <c r="A131" s="35" t="s">
        <v>338</v>
      </c>
      <c r="B131" s="35">
        <f>COUNTIF(進捗管理!C:C,A131)</f>
        <v>1</v>
      </c>
      <c r="C131" s="35">
        <f>COUNTIFS(進捗管理!C:C,A131,進捗管理!L:L,"完了")</f>
        <v>1</v>
      </c>
      <c r="D131" s="35">
        <f>COUNTIFS(進捗管理!C:C,A131,進捗管理!O:O,"完了")</f>
        <v>1</v>
      </c>
      <c r="E131" s="35">
        <f>COUNTIFS(進捗管理!C:C,A131,進捗管理!P:P,"出荷済")</f>
        <v>0</v>
      </c>
      <c r="F131" s="36">
        <f t="shared" si="4"/>
        <v>1</v>
      </c>
      <c r="G131" s="37" t="str">
        <f ca="1">IFERROR(MAXIFS(進捗管理!I:I,進捗管理!C:C,A131),"")</f>
        <v/>
      </c>
    </row>
    <row r="132" spans="1:7" ht="21.95" customHeight="1" x14ac:dyDescent="0.4">
      <c r="A132" s="32" t="s">
        <v>339</v>
      </c>
      <c r="B132" s="32">
        <f>COUNTIF(進捗管理!C:C,A132)</f>
        <v>1</v>
      </c>
      <c r="C132" s="32">
        <f>COUNTIFS(進捗管理!C:C,A132,進捗管理!L:L,"完了")</f>
        <v>1</v>
      </c>
      <c r="D132" s="32">
        <f>COUNTIFS(進捗管理!C:C,A132,進捗管理!O:O,"完了")</f>
        <v>1</v>
      </c>
      <c r="E132" s="32">
        <f>COUNTIFS(進捗管理!C:C,A132,進捗管理!P:P,"出荷済")</f>
        <v>1</v>
      </c>
      <c r="F132" s="33">
        <f t="shared" si="4"/>
        <v>1</v>
      </c>
      <c r="G132" s="34" t="str">
        <f ca="1">IFERROR(MAXIFS(進捗管理!I:I,進捗管理!C:C,A132),"")</f>
        <v/>
      </c>
    </row>
    <row r="133" spans="1:7" ht="21.95" customHeight="1" x14ac:dyDescent="0.4">
      <c r="A133" s="35" t="s">
        <v>341</v>
      </c>
      <c r="B133" s="35">
        <f>COUNTIF(進捗管理!C:C,A133)</f>
        <v>4</v>
      </c>
      <c r="C133" s="35">
        <f>COUNTIFS(進捗管理!C:C,A133,進捗管理!L:L,"完了")</f>
        <v>3</v>
      </c>
      <c r="D133" s="35">
        <f>COUNTIFS(進捗管理!C:C,A133,進捗管理!O:O,"完了")</f>
        <v>3</v>
      </c>
      <c r="E133" s="35">
        <f>COUNTIFS(進捗管理!C:C,A133,進捗管理!P:P,"出荷済")</f>
        <v>1</v>
      </c>
      <c r="F133" s="36">
        <f t="shared" si="4"/>
        <v>0.75</v>
      </c>
      <c r="G133" s="37" t="str">
        <f ca="1">IFERROR(MAXIFS(進捗管理!I:I,進捗管理!C:C,A133),"")</f>
        <v/>
      </c>
    </row>
    <row r="134" spans="1:7" ht="21.95" customHeight="1" x14ac:dyDescent="0.4">
      <c r="A134" s="32" t="s">
        <v>348</v>
      </c>
      <c r="B134" s="32">
        <f>COUNTIF(進捗管理!C:C,A134)</f>
        <v>1</v>
      </c>
      <c r="C134" s="32">
        <f>COUNTIFS(進捗管理!C:C,A134,進捗管理!L:L,"完了")</f>
        <v>0</v>
      </c>
      <c r="D134" s="32">
        <f>COUNTIFS(進捗管理!C:C,A134,進捗管理!O:O,"完了")</f>
        <v>0</v>
      </c>
      <c r="E134" s="32">
        <f>COUNTIFS(進捗管理!C:C,A134,進捗管理!P:P,"出荷済")</f>
        <v>0</v>
      </c>
      <c r="F134" s="33">
        <f t="shared" si="4"/>
        <v>0</v>
      </c>
      <c r="G134" s="34" t="str">
        <f ca="1">IFERROR(MAXIFS(進捗管理!I:I,進捗管理!C:C,A134),"")</f>
        <v/>
      </c>
    </row>
    <row r="135" spans="1:7" ht="21.95" customHeight="1" x14ac:dyDescent="0.4">
      <c r="A135" s="35" t="s">
        <v>350</v>
      </c>
      <c r="B135" s="35">
        <f>COUNTIF(進捗管理!C:C,A135)</f>
        <v>1</v>
      </c>
      <c r="C135" s="35">
        <f>COUNTIFS(進捗管理!C:C,A135,進捗管理!L:L,"完了")</f>
        <v>1</v>
      </c>
      <c r="D135" s="35">
        <f>COUNTIFS(進捗管理!C:C,A135,進捗管理!O:O,"完了")</f>
        <v>1</v>
      </c>
      <c r="E135" s="35">
        <f>COUNTIFS(進捗管理!C:C,A135,進捗管理!P:P,"出荷済")</f>
        <v>1</v>
      </c>
      <c r="F135" s="36">
        <f t="shared" si="4"/>
        <v>1</v>
      </c>
      <c r="G135" s="37" t="str">
        <f ca="1">IFERROR(MAXIFS(進捗管理!I:I,進捗管理!C:C,A135),"")</f>
        <v/>
      </c>
    </row>
    <row r="136" spans="1:7" ht="21.95" customHeight="1" x14ac:dyDescent="0.4">
      <c r="A136" s="32" t="s">
        <v>352</v>
      </c>
      <c r="B136" s="32">
        <f>COUNTIF(進捗管理!C:C,A136)</f>
        <v>1</v>
      </c>
      <c r="C136" s="32">
        <f>COUNTIFS(進捗管理!C:C,A136,進捗管理!L:L,"完了")</f>
        <v>0</v>
      </c>
      <c r="D136" s="32">
        <f>COUNTIFS(進捗管理!C:C,A136,進捗管理!O:O,"完了")</f>
        <v>0</v>
      </c>
      <c r="E136" s="32">
        <f>COUNTIFS(進捗管理!C:C,A136,進捗管理!P:P,"出荷済")</f>
        <v>0</v>
      </c>
      <c r="F136" s="33">
        <f t="shared" si="4"/>
        <v>0</v>
      </c>
      <c r="G136" s="34" t="str">
        <f ca="1">IFERROR(MAXIFS(進捗管理!I:I,進捗管理!C:C,A136),"")</f>
        <v/>
      </c>
    </row>
    <row r="137" spans="1:7" ht="21.95" customHeight="1" x14ac:dyDescent="0.4">
      <c r="A137" s="35" t="s">
        <v>354</v>
      </c>
      <c r="B137" s="35">
        <f>COUNTIF(進捗管理!C:C,A137)</f>
        <v>1</v>
      </c>
      <c r="C137" s="35">
        <f>COUNTIFS(進捗管理!C:C,A137,進捗管理!L:L,"完了")</f>
        <v>1</v>
      </c>
      <c r="D137" s="35">
        <f>COUNTIFS(進捗管理!C:C,A137,進捗管理!O:O,"完了")</f>
        <v>1</v>
      </c>
      <c r="E137" s="35">
        <f>COUNTIFS(進捗管理!C:C,A137,進捗管理!P:P,"出荷済")</f>
        <v>1</v>
      </c>
      <c r="F137" s="36">
        <f t="shared" si="4"/>
        <v>1</v>
      </c>
      <c r="G137" s="37" t="str">
        <f ca="1">IFERROR(MAXIFS(進捗管理!I:I,進捗管理!C:C,A137),"")</f>
        <v/>
      </c>
    </row>
    <row r="138" spans="1:7" ht="21.95" customHeight="1" x14ac:dyDescent="0.4">
      <c r="A138" s="32" t="s">
        <v>356</v>
      </c>
      <c r="B138" s="32">
        <f>COUNTIF(進捗管理!C:C,A138)</f>
        <v>1</v>
      </c>
      <c r="C138" s="32">
        <f>COUNTIFS(進捗管理!C:C,A138,進捗管理!L:L,"完了")</f>
        <v>1</v>
      </c>
      <c r="D138" s="32">
        <f>COUNTIFS(進捗管理!C:C,A138,進捗管理!O:O,"完了")</f>
        <v>1</v>
      </c>
      <c r="E138" s="32">
        <f>COUNTIFS(進捗管理!C:C,A138,進捗管理!P:P,"出荷済")</f>
        <v>1</v>
      </c>
      <c r="F138" s="33">
        <f t="shared" si="4"/>
        <v>1</v>
      </c>
      <c r="G138" s="34" t="str">
        <f ca="1">IFERROR(MAXIFS(進捗管理!I:I,進捗管理!C:C,A138),"")</f>
        <v/>
      </c>
    </row>
    <row r="139" spans="1:7" ht="21.95" customHeight="1" x14ac:dyDescent="0.4">
      <c r="A139" s="35" t="s">
        <v>359</v>
      </c>
      <c r="B139" s="35">
        <f>COUNTIF(進捗管理!C:C,A139)</f>
        <v>4</v>
      </c>
      <c r="C139" s="35">
        <f>COUNTIFS(進捗管理!C:C,A139,進捗管理!L:L,"完了")</f>
        <v>2</v>
      </c>
      <c r="D139" s="35">
        <f>COUNTIFS(進捗管理!C:C,A139,進捗管理!O:O,"完了")</f>
        <v>2</v>
      </c>
      <c r="E139" s="35">
        <f>COUNTIFS(進捗管理!C:C,A139,進捗管理!P:P,"出荷済")</f>
        <v>0</v>
      </c>
      <c r="F139" s="36">
        <f t="shared" si="4"/>
        <v>0.5</v>
      </c>
      <c r="G139" s="37" t="str">
        <f ca="1">IFERROR(MAXIFS(進捗管理!I:I,進捗管理!C:C,A139),"")</f>
        <v/>
      </c>
    </row>
    <row r="140" spans="1:7" ht="21.95" customHeight="1" x14ac:dyDescent="0.4">
      <c r="A140" s="32" t="s">
        <v>361</v>
      </c>
      <c r="B140" s="32">
        <f>COUNTIF(進捗管理!C:C,A140)</f>
        <v>1</v>
      </c>
      <c r="C140" s="32">
        <f>COUNTIFS(進捗管理!C:C,A140,進捗管理!L:L,"完了")</f>
        <v>1</v>
      </c>
      <c r="D140" s="32">
        <f>COUNTIFS(進捗管理!C:C,A140,進捗管理!O:O,"完了")</f>
        <v>1</v>
      </c>
      <c r="E140" s="32">
        <f>COUNTIFS(進捗管理!C:C,A140,進捗管理!P:P,"出荷済")</f>
        <v>0</v>
      </c>
      <c r="F140" s="33">
        <f t="shared" si="4"/>
        <v>1</v>
      </c>
      <c r="G140" s="34" t="str">
        <f ca="1">IFERROR(MAXIFS(進捗管理!I:I,進捗管理!C:C,A140),"")</f>
        <v/>
      </c>
    </row>
    <row r="141" spans="1:7" ht="21.95" customHeight="1" x14ac:dyDescent="0.4">
      <c r="A141" s="35" t="s">
        <v>362</v>
      </c>
      <c r="B141" s="35">
        <f>COUNTIF(進捗管理!C:C,A141)</f>
        <v>1</v>
      </c>
      <c r="C141" s="35">
        <f>COUNTIFS(進捗管理!C:C,A141,進捗管理!L:L,"完了")</f>
        <v>0</v>
      </c>
      <c r="D141" s="35">
        <f>COUNTIFS(進捗管理!C:C,A141,進捗管理!O:O,"完了")</f>
        <v>0</v>
      </c>
      <c r="E141" s="35">
        <f>COUNTIFS(進捗管理!C:C,A141,進捗管理!P:P,"出荷済")</f>
        <v>0</v>
      </c>
      <c r="F141" s="36">
        <f t="shared" si="4"/>
        <v>0</v>
      </c>
      <c r="G141" s="37" t="str">
        <f ca="1">IFERROR(MAXIFS(進捗管理!I:I,進捗管理!C:C,A141),"")</f>
        <v/>
      </c>
    </row>
    <row r="142" spans="1:7" ht="21.95" customHeight="1" x14ac:dyDescent="0.4">
      <c r="A142" s="32" t="s">
        <v>364</v>
      </c>
      <c r="B142" s="32">
        <f>COUNTIF(進捗管理!C:C,A142)</f>
        <v>1</v>
      </c>
      <c r="C142" s="32">
        <f>COUNTIFS(進捗管理!C:C,A142,進捗管理!L:L,"完了")</f>
        <v>1</v>
      </c>
      <c r="D142" s="32">
        <f>COUNTIFS(進捗管理!C:C,A142,進捗管理!O:O,"完了")</f>
        <v>1</v>
      </c>
      <c r="E142" s="32">
        <f>COUNTIFS(進捗管理!C:C,A142,進捗管理!P:P,"出荷済")</f>
        <v>1</v>
      </c>
      <c r="F142" s="33">
        <f t="shared" si="4"/>
        <v>1</v>
      </c>
      <c r="G142" s="34" t="str">
        <f ca="1">IFERROR(MAXIFS(進捗管理!I:I,進捗管理!C:C,A142),"")</f>
        <v/>
      </c>
    </row>
    <row r="143" spans="1:7" ht="21.95" customHeight="1" x14ac:dyDescent="0.4">
      <c r="A143" s="35" t="s">
        <v>367</v>
      </c>
      <c r="B143" s="35">
        <f>COUNTIF(進捗管理!C:C,A143)</f>
        <v>1</v>
      </c>
      <c r="C143" s="35">
        <f>COUNTIFS(進捗管理!C:C,A143,進捗管理!L:L,"完了")</f>
        <v>1</v>
      </c>
      <c r="D143" s="35">
        <f>COUNTIFS(進捗管理!C:C,A143,進捗管理!O:O,"完了")</f>
        <v>1</v>
      </c>
      <c r="E143" s="35">
        <f>COUNTIFS(進捗管理!C:C,A143,進捗管理!P:P,"出荷済")</f>
        <v>1</v>
      </c>
      <c r="F143" s="36">
        <f t="shared" si="4"/>
        <v>1</v>
      </c>
      <c r="G143" s="37" t="str">
        <f ca="1">IFERROR(MAXIFS(進捗管理!I:I,進捗管理!C:C,A143),"")</f>
        <v/>
      </c>
    </row>
    <row r="144" spans="1:7" ht="21.95" customHeight="1" x14ac:dyDescent="0.4">
      <c r="A144" s="32" t="s">
        <v>369</v>
      </c>
      <c r="B144" s="32">
        <f>COUNTIF(進捗管理!C:C,A144)</f>
        <v>1</v>
      </c>
      <c r="C144" s="32">
        <f>COUNTIFS(進捗管理!C:C,A144,進捗管理!L:L,"完了")</f>
        <v>1</v>
      </c>
      <c r="D144" s="32">
        <f>COUNTIFS(進捗管理!C:C,A144,進捗管理!O:O,"完了")</f>
        <v>1</v>
      </c>
      <c r="E144" s="32">
        <f>COUNTIFS(進捗管理!C:C,A144,進捗管理!P:P,"出荷済")</f>
        <v>1</v>
      </c>
      <c r="F144" s="33">
        <f t="shared" si="4"/>
        <v>1</v>
      </c>
      <c r="G144" s="34" t="str">
        <f ca="1">IFERROR(MAXIFS(進捗管理!I:I,進捗管理!C:C,A144),"")</f>
        <v/>
      </c>
    </row>
    <row r="145" spans="1:7" ht="21.95" customHeight="1" x14ac:dyDescent="0.4">
      <c r="A145" s="35" t="s">
        <v>371</v>
      </c>
      <c r="B145" s="35">
        <f>COUNTIF(進捗管理!C:C,A145)</f>
        <v>1</v>
      </c>
      <c r="C145" s="35">
        <f>COUNTIFS(進捗管理!C:C,A145,進捗管理!L:L,"完了")</f>
        <v>1</v>
      </c>
      <c r="D145" s="35">
        <f>COUNTIFS(進捗管理!C:C,A145,進捗管理!O:O,"完了")</f>
        <v>1</v>
      </c>
      <c r="E145" s="35">
        <f>COUNTIFS(進捗管理!C:C,A145,進捗管理!P:P,"出荷済")</f>
        <v>1</v>
      </c>
      <c r="F145" s="36">
        <f t="shared" si="4"/>
        <v>1</v>
      </c>
      <c r="G145" s="37" t="str">
        <f ca="1">IFERROR(MAXIFS(進捗管理!I:I,進捗管理!C:C,A145),"")</f>
        <v/>
      </c>
    </row>
    <row r="146" spans="1:7" ht="21.95" customHeight="1" x14ac:dyDescent="0.4">
      <c r="A146" s="32" t="s">
        <v>372</v>
      </c>
      <c r="B146" s="32">
        <f>COUNTIF(進捗管理!C:C,A146)</f>
        <v>1</v>
      </c>
      <c r="C146" s="32">
        <f>COUNTIFS(進捗管理!C:C,A146,進捗管理!L:L,"完了")</f>
        <v>1</v>
      </c>
      <c r="D146" s="32">
        <f>COUNTIFS(進捗管理!C:C,A146,進捗管理!O:O,"完了")</f>
        <v>1</v>
      </c>
      <c r="E146" s="32">
        <f>COUNTIFS(進捗管理!C:C,A146,進捗管理!P:P,"出荷済")</f>
        <v>1</v>
      </c>
      <c r="F146" s="33">
        <f t="shared" si="4"/>
        <v>1</v>
      </c>
      <c r="G146" s="34" t="str">
        <f ca="1">IFERROR(MAXIFS(進捗管理!I:I,進捗管理!C:C,A146),"")</f>
        <v/>
      </c>
    </row>
    <row r="147" spans="1:7" ht="21.95" customHeight="1" x14ac:dyDescent="0.4">
      <c r="A147" s="35" t="s">
        <v>373</v>
      </c>
      <c r="B147" s="35">
        <f>COUNTIF(進捗管理!C:C,A147)</f>
        <v>1</v>
      </c>
      <c r="C147" s="35">
        <f>COUNTIFS(進捗管理!C:C,A147,進捗管理!L:L,"完了")</f>
        <v>1</v>
      </c>
      <c r="D147" s="35">
        <f>COUNTIFS(進捗管理!C:C,A147,進捗管理!O:O,"完了")</f>
        <v>1</v>
      </c>
      <c r="E147" s="35">
        <f>COUNTIFS(進捗管理!C:C,A147,進捗管理!P:P,"出荷済")</f>
        <v>1</v>
      </c>
      <c r="F147" s="36">
        <f t="shared" si="4"/>
        <v>1</v>
      </c>
      <c r="G147" s="37" t="str">
        <f ca="1">IFERROR(MAXIFS(進捗管理!I:I,進捗管理!C:C,A147),"")</f>
        <v/>
      </c>
    </row>
    <row r="148" spans="1:7" ht="21.95" customHeight="1" x14ac:dyDescent="0.4">
      <c r="A148" s="32" t="s">
        <v>374</v>
      </c>
      <c r="B148" s="32">
        <f>COUNTIF(進捗管理!C:C,A148)</f>
        <v>1</v>
      </c>
      <c r="C148" s="32">
        <f>COUNTIFS(進捗管理!C:C,A148,進捗管理!L:L,"完了")</f>
        <v>0</v>
      </c>
      <c r="D148" s="32">
        <f>COUNTIFS(進捗管理!C:C,A148,進捗管理!O:O,"完了")</f>
        <v>0</v>
      </c>
      <c r="E148" s="32">
        <f>COUNTIFS(進捗管理!C:C,A148,進捗管理!P:P,"出荷済")</f>
        <v>0</v>
      </c>
      <c r="F148" s="33">
        <f t="shared" si="4"/>
        <v>0</v>
      </c>
      <c r="G148" s="34" t="str">
        <f ca="1">IFERROR(MAXIFS(進捗管理!I:I,進捗管理!C:C,A148),"")</f>
        <v/>
      </c>
    </row>
    <row r="149" spans="1:7" ht="21.95" customHeight="1" x14ac:dyDescent="0.4">
      <c r="A149" s="35" t="s">
        <v>376</v>
      </c>
      <c r="B149" s="35">
        <f>COUNTIF(進捗管理!C:C,A149)</f>
        <v>1</v>
      </c>
      <c r="C149" s="35">
        <f>COUNTIFS(進捗管理!C:C,A149,進捗管理!L:L,"完了")</f>
        <v>1</v>
      </c>
      <c r="D149" s="35">
        <f>COUNTIFS(進捗管理!C:C,A149,進捗管理!O:O,"完了")</f>
        <v>1</v>
      </c>
      <c r="E149" s="35">
        <f>COUNTIFS(進捗管理!C:C,A149,進捗管理!P:P,"出荷済")</f>
        <v>1</v>
      </c>
      <c r="F149" s="36">
        <f t="shared" si="4"/>
        <v>1</v>
      </c>
      <c r="G149" s="37" t="str">
        <f ca="1">IFERROR(MAXIFS(進捗管理!I:I,進捗管理!C:C,A149),"")</f>
        <v/>
      </c>
    </row>
    <row r="150" spans="1:7" ht="21.95" customHeight="1" x14ac:dyDescent="0.4">
      <c r="A150" s="32" t="s">
        <v>377</v>
      </c>
      <c r="B150" s="32">
        <f>COUNTIF(進捗管理!C:C,A150)</f>
        <v>1</v>
      </c>
      <c r="C150" s="32">
        <f>COUNTIFS(進捗管理!C:C,A150,進捗管理!L:L,"完了")</f>
        <v>1</v>
      </c>
      <c r="D150" s="32">
        <f>COUNTIFS(進捗管理!C:C,A150,進捗管理!O:O,"完了")</f>
        <v>1</v>
      </c>
      <c r="E150" s="32">
        <f>COUNTIFS(進捗管理!C:C,A150,進捗管理!P:P,"出荷済")</f>
        <v>1</v>
      </c>
      <c r="F150" s="33">
        <f t="shared" si="4"/>
        <v>1</v>
      </c>
      <c r="G150" s="34" t="str">
        <f ca="1">IFERROR(MAXIFS(進捗管理!I:I,進捗管理!C:C,A150),"")</f>
        <v/>
      </c>
    </row>
    <row r="151" spans="1:7" ht="21.95" customHeight="1" x14ac:dyDescent="0.4">
      <c r="A151" s="35" t="s">
        <v>379</v>
      </c>
      <c r="B151" s="35">
        <f>COUNTIF(進捗管理!C:C,A151)</f>
        <v>1</v>
      </c>
      <c r="C151" s="35">
        <f>COUNTIFS(進捗管理!C:C,A151,進捗管理!L:L,"完了")</f>
        <v>1</v>
      </c>
      <c r="D151" s="35">
        <f>COUNTIFS(進捗管理!C:C,A151,進捗管理!O:O,"完了")</f>
        <v>1</v>
      </c>
      <c r="E151" s="35">
        <f>COUNTIFS(進捗管理!C:C,A151,進捗管理!P:P,"出荷済")</f>
        <v>1</v>
      </c>
      <c r="F151" s="36">
        <f t="shared" si="4"/>
        <v>1</v>
      </c>
      <c r="G151" s="37" t="str">
        <f ca="1">IFERROR(MAXIFS(進捗管理!I:I,進捗管理!C:C,A151),"")</f>
        <v/>
      </c>
    </row>
    <row r="152" spans="1:7" ht="21.95" customHeight="1" x14ac:dyDescent="0.4">
      <c r="A152" s="32" t="s">
        <v>380</v>
      </c>
      <c r="B152" s="32">
        <f>COUNTIF(進捗管理!C:C,A152)</f>
        <v>1</v>
      </c>
      <c r="C152" s="32">
        <f>COUNTIFS(進捗管理!C:C,A152,進捗管理!L:L,"完了")</f>
        <v>0</v>
      </c>
      <c r="D152" s="32">
        <f>COUNTIFS(進捗管理!C:C,A152,進捗管理!O:O,"完了")</f>
        <v>0</v>
      </c>
      <c r="E152" s="32">
        <f>COUNTIFS(進捗管理!C:C,A152,進捗管理!P:P,"出荷済")</f>
        <v>0</v>
      </c>
      <c r="F152" s="33">
        <f t="shared" si="4"/>
        <v>0</v>
      </c>
      <c r="G152" s="34" t="str">
        <f ca="1">IFERROR(MAXIFS(進捗管理!I:I,進捗管理!C:C,A152),"")</f>
        <v/>
      </c>
    </row>
    <row r="153" spans="1:7" ht="21.95" customHeight="1" x14ac:dyDescent="0.4">
      <c r="A153" s="35" t="s">
        <v>381</v>
      </c>
      <c r="B153" s="35">
        <f>COUNTIF(進捗管理!C:C,A153)</f>
        <v>1</v>
      </c>
      <c r="C153" s="35">
        <f>COUNTIFS(進捗管理!C:C,A153,進捗管理!L:L,"完了")</f>
        <v>1</v>
      </c>
      <c r="D153" s="35">
        <f>COUNTIFS(進捗管理!C:C,A153,進捗管理!O:O,"完了")</f>
        <v>1</v>
      </c>
      <c r="E153" s="35">
        <f>COUNTIFS(進捗管理!C:C,A153,進捗管理!P:P,"出荷済")</f>
        <v>0</v>
      </c>
      <c r="F153" s="36">
        <f t="shared" si="4"/>
        <v>1</v>
      </c>
      <c r="G153" s="37" t="str">
        <f ca="1">IFERROR(MAXIFS(進捗管理!I:I,進捗管理!C:C,A153),"")</f>
        <v/>
      </c>
    </row>
    <row r="154" spans="1:7" ht="21.95" customHeight="1" x14ac:dyDescent="0.4">
      <c r="A154" s="32" t="s">
        <v>382</v>
      </c>
      <c r="B154" s="32">
        <f>COUNTIF(進捗管理!C:C,A154)</f>
        <v>1</v>
      </c>
      <c r="C154" s="32">
        <f>COUNTIFS(進捗管理!C:C,A154,進捗管理!L:L,"完了")</f>
        <v>0</v>
      </c>
      <c r="D154" s="32">
        <f>COUNTIFS(進捗管理!C:C,A154,進捗管理!O:O,"完了")</f>
        <v>0</v>
      </c>
      <c r="E154" s="32">
        <f>COUNTIFS(進捗管理!C:C,A154,進捗管理!P:P,"出荷済")</f>
        <v>0</v>
      </c>
      <c r="F154" s="33">
        <f t="shared" si="4"/>
        <v>0</v>
      </c>
      <c r="G154" s="34" t="str">
        <f ca="1">IFERROR(MAXIFS(進捗管理!I:I,進捗管理!C:C,A154),"")</f>
        <v/>
      </c>
    </row>
    <row r="155" spans="1:7" ht="21.95" customHeight="1" x14ac:dyDescent="0.4">
      <c r="A155" s="35" t="s">
        <v>385</v>
      </c>
      <c r="B155" s="35">
        <f>COUNTIF(進捗管理!C:C,A155)</f>
        <v>8</v>
      </c>
      <c r="C155" s="35">
        <f>COUNTIFS(進捗管理!C:C,A155,進捗管理!L:L,"完了")</f>
        <v>5</v>
      </c>
      <c r="D155" s="35">
        <f>COUNTIFS(進捗管理!C:C,A155,進捗管理!O:O,"完了")</f>
        <v>5</v>
      </c>
      <c r="E155" s="35">
        <f>COUNTIFS(進捗管理!C:C,A155,進捗管理!P:P,"出荷済")</f>
        <v>3</v>
      </c>
      <c r="F155" s="36">
        <f t="shared" si="4"/>
        <v>0.625</v>
      </c>
      <c r="G155" s="37" t="str">
        <f ca="1">IFERROR(MAXIFS(進捗管理!I:I,進捗管理!C:C,A155),"")</f>
        <v/>
      </c>
    </row>
    <row r="156" spans="1:7" ht="21.95" customHeight="1" x14ac:dyDescent="0.4">
      <c r="A156" s="32" t="s">
        <v>393</v>
      </c>
      <c r="B156" s="32">
        <f>COUNTIF(進捗管理!C:C,A156)</f>
        <v>14</v>
      </c>
      <c r="C156" s="32">
        <f>COUNTIFS(進捗管理!C:C,A156,進捗管理!L:L,"完了")</f>
        <v>6</v>
      </c>
      <c r="D156" s="32">
        <f>COUNTIFS(進捗管理!C:C,A156,進捗管理!O:O,"完了")</f>
        <v>6</v>
      </c>
      <c r="E156" s="32">
        <f>COUNTIFS(進捗管理!C:C,A156,進捗管理!P:P,"出荷済")</f>
        <v>4</v>
      </c>
      <c r="F156" s="33">
        <f t="shared" si="4"/>
        <v>0.42857142857142855</v>
      </c>
      <c r="G156" s="34" t="str">
        <f ca="1">IFERROR(MAXIFS(進捗管理!I:I,進捗管理!C:C,A156),"")</f>
        <v/>
      </c>
    </row>
    <row r="157" spans="1:7" ht="21.95" customHeight="1" x14ac:dyDescent="0.4">
      <c r="A157" s="35" t="s">
        <v>405</v>
      </c>
      <c r="B157" s="35">
        <f>COUNTIF(進捗管理!C:C,A157)</f>
        <v>1</v>
      </c>
      <c r="C157" s="35">
        <f>COUNTIFS(進捗管理!C:C,A157,進捗管理!L:L,"完了")</f>
        <v>0</v>
      </c>
      <c r="D157" s="35">
        <f>COUNTIFS(進捗管理!C:C,A157,進捗管理!O:O,"完了")</f>
        <v>0</v>
      </c>
      <c r="E157" s="35">
        <f>COUNTIFS(進捗管理!C:C,A157,進捗管理!P:P,"出荷済")</f>
        <v>0</v>
      </c>
      <c r="F157" s="36">
        <f t="shared" si="4"/>
        <v>0</v>
      </c>
      <c r="G157" s="37" t="str">
        <f ca="1">IFERROR(MAXIFS(進捗管理!I:I,進捗管理!C:C,A157),"")</f>
        <v/>
      </c>
    </row>
    <row r="158" spans="1:7" ht="21.95" customHeight="1" x14ac:dyDescent="0.4">
      <c r="A158" s="32" t="s">
        <v>407</v>
      </c>
      <c r="B158" s="32">
        <f>COUNTIF(進捗管理!C:C,A158)</f>
        <v>1</v>
      </c>
      <c r="C158" s="32">
        <f>COUNTIFS(進捗管理!C:C,A158,進捗管理!L:L,"完了")</f>
        <v>0</v>
      </c>
      <c r="D158" s="32">
        <f>COUNTIFS(進捗管理!C:C,A158,進捗管理!O:O,"完了")</f>
        <v>0</v>
      </c>
      <c r="E158" s="32">
        <f>COUNTIFS(進捗管理!C:C,A158,進捗管理!P:P,"出荷済")</f>
        <v>0</v>
      </c>
      <c r="F158" s="33">
        <f t="shared" si="4"/>
        <v>0</v>
      </c>
      <c r="G158" s="34" t="str">
        <f ca="1">IFERROR(MAXIFS(進捗管理!I:I,進捗管理!C:C,A158),"")</f>
        <v/>
      </c>
    </row>
    <row r="159" spans="1:7" ht="21.95" customHeight="1" x14ac:dyDescent="0.4">
      <c r="A159" s="35" t="s">
        <v>408</v>
      </c>
      <c r="B159" s="35">
        <f>COUNTIF(進捗管理!C:C,A159)</f>
        <v>1</v>
      </c>
      <c r="C159" s="35">
        <f>COUNTIFS(進捗管理!C:C,A159,進捗管理!L:L,"完了")</f>
        <v>0</v>
      </c>
      <c r="D159" s="35">
        <f>COUNTIFS(進捗管理!C:C,A159,進捗管理!O:O,"完了")</f>
        <v>0</v>
      </c>
      <c r="E159" s="35">
        <f>COUNTIFS(進捗管理!C:C,A159,進捗管理!P:P,"出荷済")</f>
        <v>0</v>
      </c>
      <c r="F159" s="36">
        <f t="shared" si="4"/>
        <v>0</v>
      </c>
      <c r="G159" s="37" t="str">
        <f ca="1">IFERROR(MAXIFS(進捗管理!I:I,進捗管理!C:C,A159),"")</f>
        <v/>
      </c>
    </row>
    <row r="160" spans="1:7" ht="21.95" customHeight="1" x14ac:dyDescent="0.4">
      <c r="A160" s="32" t="s">
        <v>409</v>
      </c>
      <c r="B160" s="32">
        <f>COUNTIF(進捗管理!C:C,A160)</f>
        <v>3</v>
      </c>
      <c r="C160" s="32">
        <f>COUNTIFS(進捗管理!C:C,A160,進捗管理!L:L,"完了")</f>
        <v>1</v>
      </c>
      <c r="D160" s="32">
        <f>COUNTIFS(進捗管理!C:C,A160,進捗管理!O:O,"完了")</f>
        <v>1</v>
      </c>
      <c r="E160" s="32">
        <f>COUNTIFS(進捗管理!C:C,A160,進捗管理!P:P,"出荷済")</f>
        <v>0</v>
      </c>
      <c r="F160" s="33">
        <f t="shared" si="4"/>
        <v>0.33333333333333331</v>
      </c>
      <c r="G160" s="34" t="str">
        <f ca="1">IFERROR(MAXIFS(進捗管理!I:I,進捗管理!C:C,A160),"")</f>
        <v/>
      </c>
    </row>
    <row r="161" spans="1:7" ht="21.95" customHeight="1" x14ac:dyDescent="0.4">
      <c r="A161" s="35" t="s">
        <v>411</v>
      </c>
      <c r="B161" s="35">
        <f>COUNTIF(進捗管理!C:C,A161)</f>
        <v>8</v>
      </c>
      <c r="C161" s="35">
        <f>COUNTIFS(進捗管理!C:C,A161,進捗管理!L:L,"完了")</f>
        <v>7</v>
      </c>
      <c r="D161" s="35">
        <f>COUNTIFS(進捗管理!C:C,A161,進捗管理!O:O,"完了")</f>
        <v>7</v>
      </c>
      <c r="E161" s="35">
        <f>COUNTIFS(進捗管理!C:C,A161,進捗管理!P:P,"出荷済")</f>
        <v>3</v>
      </c>
      <c r="F161" s="36">
        <f t="shared" si="4"/>
        <v>0.875</v>
      </c>
      <c r="G161" s="37" t="str">
        <f ca="1">IFERROR(MAXIFS(進捗管理!I:I,進捗管理!C:C,A161),"")</f>
        <v/>
      </c>
    </row>
    <row r="162" spans="1:7" ht="21.95" customHeight="1" x14ac:dyDescent="0.4">
      <c r="A162" s="32" t="s">
        <v>417</v>
      </c>
      <c r="B162" s="32">
        <f>COUNTIF(進捗管理!C:C,A162)</f>
        <v>2</v>
      </c>
      <c r="C162" s="32">
        <f>COUNTIFS(進捗管理!C:C,A162,進捗管理!L:L,"完了")</f>
        <v>2</v>
      </c>
      <c r="D162" s="32">
        <f>COUNTIFS(進捗管理!C:C,A162,進捗管理!O:O,"完了")</f>
        <v>2</v>
      </c>
      <c r="E162" s="32">
        <f>COUNTIFS(進捗管理!C:C,A162,進捗管理!P:P,"出荷済")</f>
        <v>0</v>
      </c>
      <c r="F162" s="33">
        <f t="shared" ref="F162:F182" si="5">IF(B162=0,"",D162/B162)</f>
        <v>1</v>
      </c>
      <c r="G162" s="34" t="str">
        <f ca="1">IFERROR(MAXIFS(進捗管理!I:I,進捗管理!C:C,A162),"")</f>
        <v/>
      </c>
    </row>
    <row r="163" spans="1:7" ht="21.95" customHeight="1" x14ac:dyDescent="0.4">
      <c r="A163" s="35" t="s">
        <v>419</v>
      </c>
      <c r="B163" s="35">
        <f>COUNTIF(進捗管理!C:C,A163)</f>
        <v>2</v>
      </c>
      <c r="C163" s="35">
        <f>COUNTIFS(進捗管理!C:C,A163,進捗管理!L:L,"完了")</f>
        <v>2</v>
      </c>
      <c r="D163" s="35">
        <f>COUNTIFS(進捗管理!C:C,A163,進捗管理!O:O,"完了")</f>
        <v>2</v>
      </c>
      <c r="E163" s="35">
        <f>COUNTIFS(進捗管理!C:C,A163,進捗管理!P:P,"出荷済")</f>
        <v>0</v>
      </c>
      <c r="F163" s="36">
        <f t="shared" si="5"/>
        <v>1</v>
      </c>
      <c r="G163" s="37" t="str">
        <f ca="1">IFERROR(MAXIFS(進捗管理!I:I,進捗管理!C:C,A163),"")</f>
        <v/>
      </c>
    </row>
    <row r="164" spans="1:7" ht="21.95" customHeight="1" x14ac:dyDescent="0.4">
      <c r="A164" s="32" t="s">
        <v>429</v>
      </c>
      <c r="B164" s="32">
        <f>COUNTIF(進捗管理!C:C,A164)</f>
        <v>1</v>
      </c>
      <c r="C164" s="32">
        <f>COUNTIFS(進捗管理!C:C,A164,進捗管理!L:L,"完了")</f>
        <v>0</v>
      </c>
      <c r="D164" s="32">
        <f>COUNTIFS(進捗管理!C:C,A164,進捗管理!O:O,"完了")</f>
        <v>0</v>
      </c>
      <c r="E164" s="32">
        <f>COUNTIFS(進捗管理!C:C,A164,進捗管理!P:P,"出荷済")</f>
        <v>0</v>
      </c>
      <c r="F164" s="33">
        <f t="shared" si="5"/>
        <v>0</v>
      </c>
      <c r="G164" s="34" t="str">
        <f ca="1">IFERROR(MAXIFS(進捗管理!I:I,進捗管理!C:C,A164),"")</f>
        <v/>
      </c>
    </row>
    <row r="165" spans="1:7" ht="21.95" customHeight="1" x14ac:dyDescent="0.4">
      <c r="A165" s="35" t="s">
        <v>500</v>
      </c>
      <c r="B165" s="35">
        <f>COUNTIF(進捗管理!C:C,A165)</f>
        <v>4</v>
      </c>
      <c r="C165" s="35">
        <f>COUNTIFS(進捗管理!C:C,A165,進捗管理!L:L,"完了")</f>
        <v>4</v>
      </c>
      <c r="D165" s="35">
        <f>COUNTIFS(進捗管理!C:C,A165,進捗管理!O:O,"完了")</f>
        <v>4</v>
      </c>
      <c r="E165" s="35">
        <f>COUNTIFS(進捗管理!C:C,A165,進捗管理!P:P,"出荷済")</f>
        <v>4</v>
      </c>
      <c r="F165" s="36">
        <f t="shared" si="5"/>
        <v>1</v>
      </c>
      <c r="G165" s="37" t="str">
        <f ca="1">IFERROR(MAXIFS(進捗管理!I:I,進捗管理!C:C,A165),"")</f>
        <v/>
      </c>
    </row>
    <row r="166" spans="1:7" ht="21.95" customHeight="1" x14ac:dyDescent="0.4">
      <c r="A166" s="32" t="s">
        <v>506</v>
      </c>
      <c r="B166" s="32">
        <f>COUNTIF(進捗管理!C:C,A166)</f>
        <v>1</v>
      </c>
      <c r="C166" s="32">
        <f>COUNTIFS(進捗管理!C:C,A166,進捗管理!L:L,"完了")</f>
        <v>0</v>
      </c>
      <c r="D166" s="32">
        <f>COUNTIFS(進捗管理!C:C,A166,進捗管理!O:O,"完了")</f>
        <v>0</v>
      </c>
      <c r="E166" s="32">
        <f>COUNTIFS(進捗管理!C:C,A166,進捗管理!P:P,"出荷済")</f>
        <v>0</v>
      </c>
      <c r="F166" s="33">
        <f t="shared" si="5"/>
        <v>0</v>
      </c>
      <c r="G166" s="34" t="str">
        <f ca="1">IFERROR(MAXIFS(進捗管理!I:I,進捗管理!C:C,A166),"")</f>
        <v/>
      </c>
    </row>
    <row r="167" spans="1:7" ht="21.95" customHeight="1" x14ac:dyDescent="0.4">
      <c r="A167" s="35" t="s">
        <v>426</v>
      </c>
      <c r="B167" s="35">
        <f>COUNTIF(進捗管理!C:C,A167)</f>
        <v>2</v>
      </c>
      <c r="C167" s="35">
        <f>COUNTIFS(進捗管理!C:C,A167,進捗管理!L:L,"完了")</f>
        <v>1</v>
      </c>
      <c r="D167" s="35">
        <f>COUNTIFS(進捗管理!C:C,A167,進捗管理!O:O,"完了")</f>
        <v>1</v>
      </c>
      <c r="E167" s="35">
        <f>COUNTIFS(進捗管理!C:C,A167,進捗管理!P:P,"出荷済")</f>
        <v>1</v>
      </c>
      <c r="F167" s="36">
        <f t="shared" si="5"/>
        <v>0.5</v>
      </c>
      <c r="G167" s="37" t="str">
        <f ca="1">IFERROR(MAXIFS(進捗管理!I:I,進捗管理!C:C,A167),"")</f>
        <v/>
      </c>
    </row>
    <row r="168" spans="1:7" ht="21.95" customHeight="1" x14ac:dyDescent="0.4">
      <c r="A168" s="32" t="s">
        <v>432</v>
      </c>
      <c r="B168" s="32">
        <f>COUNTIF(進捗管理!C:C,A168)</f>
        <v>1</v>
      </c>
      <c r="C168" s="32">
        <f>COUNTIFS(進捗管理!C:C,A168,進捗管理!L:L,"完了")</f>
        <v>1</v>
      </c>
      <c r="D168" s="32">
        <f>COUNTIFS(進捗管理!C:C,A168,進捗管理!O:O,"完了")</f>
        <v>1</v>
      </c>
      <c r="E168" s="32">
        <f>COUNTIFS(進捗管理!C:C,A168,進捗管理!P:P,"出荷済")</f>
        <v>1</v>
      </c>
      <c r="F168" s="33">
        <f t="shared" si="5"/>
        <v>1</v>
      </c>
      <c r="G168" s="34" t="str">
        <f ca="1">IFERROR(MAXIFS(進捗管理!I:I,進捗管理!C:C,A168),"")</f>
        <v/>
      </c>
    </row>
    <row r="169" spans="1:7" ht="21.95" customHeight="1" x14ac:dyDescent="0.4">
      <c r="A169" s="35" t="s">
        <v>434</v>
      </c>
      <c r="B169" s="35">
        <f>COUNTIF(進捗管理!C:C,A169)</f>
        <v>19</v>
      </c>
      <c r="C169" s="35">
        <f>COUNTIFS(進捗管理!C:C,A169,進捗管理!L:L,"完了")</f>
        <v>13</v>
      </c>
      <c r="D169" s="35">
        <f>COUNTIFS(進捗管理!C:C,A169,進捗管理!O:O,"完了")</f>
        <v>13</v>
      </c>
      <c r="E169" s="35">
        <f>COUNTIFS(進捗管理!C:C,A169,進捗管理!P:P,"出荷済")</f>
        <v>11</v>
      </c>
      <c r="F169" s="36">
        <f t="shared" si="5"/>
        <v>0.68421052631578949</v>
      </c>
      <c r="G169" s="37" t="str">
        <f ca="1">IFERROR(MAXIFS(進捗管理!I:I,進捗管理!C:C,A169),"")</f>
        <v/>
      </c>
    </row>
    <row r="170" spans="1:7" ht="21.95" customHeight="1" x14ac:dyDescent="0.4">
      <c r="A170" s="32" t="s">
        <v>454</v>
      </c>
      <c r="B170" s="32">
        <f>COUNTIF(進捗管理!C:C,A170)</f>
        <v>1</v>
      </c>
      <c r="C170" s="32">
        <f>COUNTIFS(進捗管理!C:C,A170,進捗管理!L:L,"完了")</f>
        <v>1</v>
      </c>
      <c r="D170" s="32">
        <f>COUNTIFS(進捗管理!C:C,A170,進捗管理!O:O,"完了")</f>
        <v>1</v>
      </c>
      <c r="E170" s="32">
        <f>COUNTIFS(進捗管理!C:C,A170,進捗管理!P:P,"出荷済")</f>
        <v>0</v>
      </c>
      <c r="F170" s="33">
        <f t="shared" si="5"/>
        <v>1</v>
      </c>
      <c r="G170" s="34" t="str">
        <f ca="1">IFERROR(MAXIFS(進捗管理!I:I,進捗管理!C:C,A170),"")</f>
        <v/>
      </c>
    </row>
    <row r="171" spans="1:7" ht="21.95" customHeight="1" x14ac:dyDescent="0.4">
      <c r="A171" s="35" t="s">
        <v>460</v>
      </c>
      <c r="B171" s="35">
        <f>COUNTIF(進捗管理!C:C,A171)</f>
        <v>22</v>
      </c>
      <c r="C171" s="35">
        <f>COUNTIFS(進捗管理!C:C,A171,進捗管理!L:L,"完了")</f>
        <v>16</v>
      </c>
      <c r="D171" s="35">
        <f>COUNTIFS(進捗管理!C:C,A171,進捗管理!O:O,"完了")</f>
        <v>16</v>
      </c>
      <c r="E171" s="35">
        <f>COUNTIFS(進捗管理!C:C,A171,進捗管理!P:P,"出荷済")</f>
        <v>14</v>
      </c>
      <c r="F171" s="36">
        <f t="shared" si="5"/>
        <v>0.72727272727272729</v>
      </c>
      <c r="G171" s="37" t="str">
        <f ca="1">IFERROR(MAXIFS(進捗管理!I:I,進捗管理!C:C,A171),"")</f>
        <v/>
      </c>
    </row>
    <row r="172" spans="1:7" ht="21.95" customHeight="1" x14ac:dyDescent="0.4">
      <c r="A172" s="32" t="s">
        <v>481</v>
      </c>
      <c r="B172" s="32">
        <f>COUNTIF(進捗管理!C:C,A172)</f>
        <v>1</v>
      </c>
      <c r="C172" s="32">
        <f>COUNTIFS(進捗管理!C:C,A172,進捗管理!L:L,"完了")</f>
        <v>1</v>
      </c>
      <c r="D172" s="32">
        <f>COUNTIFS(進捗管理!C:C,A172,進捗管理!O:O,"完了")</f>
        <v>1</v>
      </c>
      <c r="E172" s="32">
        <f>COUNTIFS(進捗管理!C:C,A172,進捗管理!P:P,"出荷済")</f>
        <v>1</v>
      </c>
      <c r="F172" s="33">
        <f t="shared" si="5"/>
        <v>1</v>
      </c>
      <c r="G172" s="34" t="str">
        <f ca="1">IFERROR(MAXIFS(進捗管理!I:I,進捗管理!C:C,A172),"")</f>
        <v/>
      </c>
    </row>
    <row r="173" spans="1:7" ht="21.95" customHeight="1" x14ac:dyDescent="0.4">
      <c r="A173" s="35" t="s">
        <v>456</v>
      </c>
      <c r="B173" s="35">
        <f>COUNTIF(進捗管理!C:C,A173)</f>
        <v>2</v>
      </c>
      <c r="C173" s="35">
        <f>COUNTIFS(進捗管理!C:C,A173,進捗管理!L:L,"完了")</f>
        <v>1</v>
      </c>
      <c r="D173" s="35">
        <f>COUNTIFS(進捗管理!C:C,A173,進捗管理!O:O,"完了")</f>
        <v>1</v>
      </c>
      <c r="E173" s="35">
        <f>COUNTIFS(進捗管理!C:C,A173,進捗管理!P:P,"出荷済")</f>
        <v>1</v>
      </c>
      <c r="F173" s="36">
        <f t="shared" si="5"/>
        <v>0.5</v>
      </c>
      <c r="G173" s="37" t="str">
        <f ca="1">IFERROR(MAXIFS(進捗管理!I:I,進捗管理!C:C,A173),"")</f>
        <v/>
      </c>
    </row>
    <row r="174" spans="1:7" ht="21.95" customHeight="1" x14ac:dyDescent="0.4">
      <c r="A174" s="32" t="s">
        <v>494</v>
      </c>
      <c r="B174" s="32">
        <f>COUNTIF(進捗管理!C:C,A174)</f>
        <v>1</v>
      </c>
      <c r="C174" s="32">
        <f>COUNTIFS(進捗管理!C:C,A174,進捗管理!L:L,"完了")</f>
        <v>0</v>
      </c>
      <c r="D174" s="32">
        <f>COUNTIFS(進捗管理!C:C,A174,進捗管理!O:O,"完了")</f>
        <v>0</v>
      </c>
      <c r="E174" s="32">
        <f>COUNTIFS(進捗管理!C:C,A174,進捗管理!P:P,"出荷済")</f>
        <v>0</v>
      </c>
      <c r="F174" s="33">
        <f t="shared" si="5"/>
        <v>0</v>
      </c>
      <c r="G174" s="34" t="str">
        <f ca="1">IFERROR(MAXIFS(進捗管理!I:I,進捗管理!C:C,A174),"")</f>
        <v/>
      </c>
    </row>
    <row r="175" spans="1:7" ht="21.95" customHeight="1" x14ac:dyDescent="0.4">
      <c r="A175" s="35" t="s">
        <v>495</v>
      </c>
      <c r="B175" s="35">
        <f>COUNTIF(進捗管理!C:C,A175)</f>
        <v>2</v>
      </c>
      <c r="C175" s="35">
        <f>COUNTIFS(進捗管理!C:C,A175,進捗管理!L:L,"完了")</f>
        <v>1</v>
      </c>
      <c r="D175" s="35">
        <f>COUNTIFS(進捗管理!C:C,A175,進捗管理!O:O,"完了")</f>
        <v>1</v>
      </c>
      <c r="E175" s="35">
        <f>COUNTIFS(進捗管理!C:C,A175,進捗管理!P:P,"出荷済")</f>
        <v>1</v>
      </c>
      <c r="F175" s="36">
        <f t="shared" si="5"/>
        <v>0.5</v>
      </c>
      <c r="G175" s="37" t="str">
        <f ca="1">IFERROR(MAXIFS(進捗管理!I:I,進捗管理!C:C,A175),"")</f>
        <v/>
      </c>
    </row>
    <row r="176" spans="1:7" ht="21.95" customHeight="1" x14ac:dyDescent="0.4">
      <c r="A176" s="32" t="s">
        <v>497</v>
      </c>
      <c r="B176" s="32">
        <f>COUNTIF(進捗管理!C:C,A176)</f>
        <v>1</v>
      </c>
      <c r="C176" s="32">
        <f>COUNTIFS(進捗管理!C:C,A176,進捗管理!L:L,"完了")</f>
        <v>1</v>
      </c>
      <c r="D176" s="32">
        <f>COUNTIFS(進捗管理!C:C,A176,進捗管理!O:O,"完了")</f>
        <v>1</v>
      </c>
      <c r="E176" s="32">
        <f>COUNTIFS(進捗管理!C:C,A176,進捗管理!P:P,"出荷済")</f>
        <v>1</v>
      </c>
      <c r="F176" s="33">
        <f t="shared" si="5"/>
        <v>1</v>
      </c>
      <c r="G176" s="34" t="str">
        <f ca="1">IFERROR(MAXIFS(進捗管理!I:I,進捗管理!C:C,A176),"")</f>
        <v/>
      </c>
    </row>
    <row r="177" spans="1:7" ht="21.95" customHeight="1" x14ac:dyDescent="0.4">
      <c r="A177" s="35" t="s">
        <v>483</v>
      </c>
      <c r="B177" s="35">
        <f>COUNTIF(進捗管理!C:C,A177)</f>
        <v>7</v>
      </c>
      <c r="C177" s="35">
        <f>COUNTIFS(進捗管理!C:C,A177,進捗管理!L:L,"完了")</f>
        <v>3</v>
      </c>
      <c r="D177" s="35">
        <f>COUNTIFS(進捗管理!C:C,A177,進捗管理!O:O,"完了")</f>
        <v>3</v>
      </c>
      <c r="E177" s="35">
        <f>COUNTIFS(進捗管理!C:C,A177,進捗管理!P:P,"出荷済")</f>
        <v>3</v>
      </c>
      <c r="F177" s="36">
        <f t="shared" si="5"/>
        <v>0.42857142857142855</v>
      </c>
      <c r="G177" s="37" t="str">
        <f ca="1">IFERROR(MAXIFS(進捗管理!I:I,進捗管理!C:C,A177),"")</f>
        <v/>
      </c>
    </row>
    <row r="178" spans="1:7" ht="21.95" customHeight="1" x14ac:dyDescent="0.4">
      <c r="A178" s="32" t="s">
        <v>453</v>
      </c>
      <c r="B178" s="32">
        <f>COUNTIF(進捗管理!C:C,A178)</f>
        <v>2</v>
      </c>
      <c r="C178" s="32">
        <f>COUNTIFS(進捗管理!C:C,A178,進捗管理!L:L,"完了")</f>
        <v>2</v>
      </c>
      <c r="D178" s="32">
        <f>COUNTIFS(進捗管理!C:C,A178,進捗管理!O:O,"完了")</f>
        <v>2</v>
      </c>
      <c r="E178" s="32">
        <f>COUNTIFS(進捗管理!C:C,A178,進捗管理!P:P,"出荷済")</f>
        <v>2</v>
      </c>
      <c r="F178" s="33">
        <f t="shared" si="5"/>
        <v>1</v>
      </c>
      <c r="G178" s="34" t="str">
        <f ca="1">IFERROR(MAXIFS(進捗管理!I:I,進捗管理!C:C,A178),"")</f>
        <v/>
      </c>
    </row>
    <row r="179" spans="1:7" ht="21.95" customHeight="1" x14ac:dyDescent="0.4">
      <c r="A179" s="35" t="s">
        <v>420</v>
      </c>
      <c r="B179" s="35">
        <f>COUNTIF(進捗管理!C:C,A179)</f>
        <v>4</v>
      </c>
      <c r="C179" s="35">
        <f>COUNTIFS(進捗管理!C:C,A179,進捗管理!L:L,"完了")</f>
        <v>1</v>
      </c>
      <c r="D179" s="35">
        <f>COUNTIFS(進捗管理!C:C,A179,進捗管理!O:O,"完了")</f>
        <v>1</v>
      </c>
      <c r="E179" s="35">
        <f>COUNTIFS(進捗管理!C:C,A179,進捗管理!P:P,"出荷済")</f>
        <v>0</v>
      </c>
      <c r="F179" s="36">
        <f t="shared" si="5"/>
        <v>0.25</v>
      </c>
      <c r="G179" s="37" t="str">
        <f ca="1">IFERROR(MAXIFS(進捗管理!I:I,進捗管理!C:C,A179),"")</f>
        <v/>
      </c>
    </row>
    <row r="180" spans="1:7" ht="21.95" customHeight="1" x14ac:dyDescent="0.4">
      <c r="A180" s="32" t="s">
        <v>423</v>
      </c>
      <c r="B180" s="32">
        <f>COUNTIF(進捗管理!C:C,A180)</f>
        <v>4</v>
      </c>
      <c r="C180" s="32">
        <f>COUNTIFS(進捗管理!C:C,A180,進捗管理!L:L,"完了")</f>
        <v>1</v>
      </c>
      <c r="D180" s="32">
        <f>COUNTIFS(進捗管理!C:C,A180,進捗管理!O:O,"完了")</f>
        <v>1</v>
      </c>
      <c r="E180" s="32">
        <f>COUNTIFS(進捗管理!C:C,A180,進捗管理!P:P,"出荷済")</f>
        <v>0</v>
      </c>
      <c r="F180" s="33">
        <f t="shared" si="5"/>
        <v>0.25</v>
      </c>
      <c r="G180" s="34" t="str">
        <f ca="1">IFERROR(MAXIFS(進捗管理!I:I,進捗管理!C:C,A180),"")</f>
        <v/>
      </c>
    </row>
    <row r="181" spans="1:7" ht="21.95" customHeight="1" x14ac:dyDescent="0.4">
      <c r="A181" s="35" t="s">
        <v>424</v>
      </c>
      <c r="B181" s="35">
        <f>COUNTIF(進捗管理!C:C,A181)</f>
        <v>1</v>
      </c>
      <c r="C181" s="35">
        <f>COUNTIFS(進捗管理!C:C,A181,進捗管理!L:L,"完了")</f>
        <v>1</v>
      </c>
      <c r="D181" s="35">
        <f>COUNTIFS(進捗管理!C:C,A181,進捗管理!O:O,"完了")</f>
        <v>1</v>
      </c>
      <c r="E181" s="35">
        <f>COUNTIFS(進捗管理!C:C,A181,進捗管理!P:P,"出荷済")</f>
        <v>0</v>
      </c>
      <c r="F181" s="36">
        <f t="shared" si="5"/>
        <v>1</v>
      </c>
      <c r="G181" s="37" t="str">
        <f ca="1">IFERROR(MAXIFS(進捗管理!I:I,進捗管理!C:C,A181),"")</f>
        <v/>
      </c>
    </row>
    <row r="182" spans="1:7" ht="21.95" customHeight="1" x14ac:dyDescent="0.4">
      <c r="A182" s="32" t="s">
        <v>425</v>
      </c>
      <c r="B182" s="32">
        <f>COUNTIF(進捗管理!C:C,A182)</f>
        <v>4</v>
      </c>
      <c r="C182" s="32">
        <f>COUNTIFS(進捗管理!C:C,A182,進捗管理!L:L,"完了")</f>
        <v>1</v>
      </c>
      <c r="D182" s="32">
        <f>COUNTIFS(進捗管理!C:C,A182,進捗管理!O:O,"完了")</f>
        <v>1</v>
      </c>
      <c r="E182" s="32">
        <f>COUNTIFS(進捗管理!C:C,A182,進捗管理!P:P,"出荷済")</f>
        <v>0</v>
      </c>
      <c r="F182" s="33">
        <f t="shared" si="5"/>
        <v>0.25</v>
      </c>
      <c r="G182" s="34" t="str">
        <f ca="1">IFERROR(MAXIFS(進捗管理!I:I,進捗管理!C:C,A182),"")</f>
        <v/>
      </c>
    </row>
  </sheetData>
  <autoFilter ref="A1:G1"/>
  <phoneticPr fontId="6"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8.75" x14ac:dyDescent="0.4"/>
  <cols>
    <col min="1" max="1" width="80" customWidth="1"/>
  </cols>
  <sheetData>
    <row r="1" spans="1:1" ht="24" x14ac:dyDescent="0.5">
      <c r="A1" s="38" t="s">
        <v>538</v>
      </c>
    </row>
    <row r="2" spans="1:1" x14ac:dyDescent="0.4">
      <c r="A2" t="s">
        <v>32</v>
      </c>
    </row>
    <row r="3" spans="1:1" x14ac:dyDescent="0.4">
      <c r="A3" t="s">
        <v>539</v>
      </c>
    </row>
    <row r="4" spans="1:1" x14ac:dyDescent="0.4">
      <c r="A4" t="s">
        <v>540</v>
      </c>
    </row>
    <row r="5" spans="1:1" x14ac:dyDescent="0.4">
      <c r="A5" t="s">
        <v>541</v>
      </c>
    </row>
    <row r="6" spans="1:1" x14ac:dyDescent="0.4">
      <c r="A6" t="s">
        <v>542</v>
      </c>
    </row>
    <row r="7" spans="1:1" x14ac:dyDescent="0.4">
      <c r="A7" t="s">
        <v>543</v>
      </c>
    </row>
    <row r="8" spans="1:1" x14ac:dyDescent="0.4">
      <c r="A8" t="s">
        <v>544</v>
      </c>
    </row>
    <row r="9" spans="1:1" x14ac:dyDescent="0.4">
      <c r="A9" t="s">
        <v>32</v>
      </c>
    </row>
    <row r="10" spans="1:1" x14ac:dyDescent="0.4">
      <c r="A10" t="s">
        <v>545</v>
      </c>
    </row>
    <row r="11" spans="1:1" x14ac:dyDescent="0.4">
      <c r="A11" t="s">
        <v>546</v>
      </c>
    </row>
    <row r="12" spans="1:1" x14ac:dyDescent="0.4">
      <c r="A12" t="s">
        <v>547</v>
      </c>
    </row>
    <row r="13" spans="1:1" x14ac:dyDescent="0.4">
      <c r="A13" t="s">
        <v>548</v>
      </c>
    </row>
    <row r="14" spans="1:1" x14ac:dyDescent="0.4">
      <c r="A14" t="s">
        <v>32</v>
      </c>
    </row>
    <row r="15" spans="1:1" x14ac:dyDescent="0.4">
      <c r="A15" t="s">
        <v>549</v>
      </c>
    </row>
    <row r="16" spans="1:1" x14ac:dyDescent="0.4">
      <c r="A16" t="s">
        <v>550</v>
      </c>
    </row>
    <row r="17" spans="1:1" x14ac:dyDescent="0.4">
      <c r="A17" t="s">
        <v>551</v>
      </c>
    </row>
    <row r="18" spans="1:1" x14ac:dyDescent="0.4">
      <c r="A18" t="s">
        <v>32</v>
      </c>
    </row>
    <row r="19" spans="1:1" x14ac:dyDescent="0.4">
      <c r="A19" t="s">
        <v>552</v>
      </c>
    </row>
    <row r="20" spans="1:1" x14ac:dyDescent="0.4">
      <c r="A20" t="s">
        <v>553</v>
      </c>
    </row>
    <row r="21" spans="1:1" x14ac:dyDescent="0.4">
      <c r="A21" t="s">
        <v>554</v>
      </c>
    </row>
    <row r="22" spans="1:1" x14ac:dyDescent="0.4">
      <c r="A22" t="s">
        <v>555</v>
      </c>
    </row>
    <row r="23" spans="1:1" x14ac:dyDescent="0.4">
      <c r="A23" t="s">
        <v>32</v>
      </c>
    </row>
    <row r="24" spans="1:1" x14ac:dyDescent="0.4">
      <c r="A24" t="s">
        <v>556</v>
      </c>
    </row>
    <row r="25" spans="1:1" x14ac:dyDescent="0.4">
      <c r="A25" t="s">
        <v>557</v>
      </c>
    </row>
    <row r="26" spans="1:1" x14ac:dyDescent="0.4">
      <c r="A26" t="s">
        <v>558</v>
      </c>
    </row>
  </sheetData>
  <phoneticPr fontId="6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リードタイム</vt:lpstr>
      <vt:lpstr>製品マスター</vt:lpstr>
      <vt:lpstr>進捗管理</vt:lpstr>
      <vt:lpstr>製品別サマリー</vt:lpstr>
      <vt:lpstr>使い方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2026-04-01T02:10:01Z</dcterms:created>
  <dcterms:modified xsi:type="dcterms:W3CDTF">2026-04-02T09:15:42Z</dcterms:modified>
  <cp:category/>
</cp:coreProperties>
</file>